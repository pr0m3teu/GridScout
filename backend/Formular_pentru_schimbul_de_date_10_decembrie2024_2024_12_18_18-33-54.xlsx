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14385" yWindow="-15" windowWidth="14430" windowHeight="12240" tabRatio="768" activeTab="12"/>
  </bookViews>
  <sheets>
    <sheet name="Eolian" sheetId="1" r:id="rId1"/>
    <sheet name="Hidro" sheetId="2" r:id="rId2"/>
    <sheet name="Cogenerare" sheetId="5" r:id="rId3"/>
    <sheet name="Biomasa" sheetId="3" r:id="rId4"/>
    <sheet name="Biogaz" sheetId="4" r:id="rId5"/>
    <sheet name="Fotovoltaic" sheetId="6" r:id="rId6"/>
    <sheet name="Geotermal" sheetId="10" r:id="rId7"/>
    <sheet name="Termo (centrale clasice)" sheetId="7" r:id="rId8"/>
    <sheet name="Consumatori" sheetId="8" r:id="rId9"/>
    <sheet name="Instalații electrice" sheetId="9" r:id="rId10"/>
    <sheet name="IS" sheetId="11" r:id="rId11"/>
    <sheet name="CEM" sheetId="12" r:id="rId12"/>
    <sheet name="Gaz" sheetId="13" r:id="rId13"/>
  </sheets>
  <externalReferences>
    <externalReference r:id="rId14"/>
  </externalReferences>
  <definedNames>
    <definedName name="_xlnm._FilterDatabase" localSheetId="8" hidden="1">Consumatori!$A$14:$W$16</definedName>
    <definedName name="_xlnm._FilterDatabase" localSheetId="5" hidden="1">Fotovoltaic!$A$14:$W$21</definedName>
  </definedNames>
  <calcPr calcId="145621"/>
</workbook>
</file>

<file path=xl/calcChain.xml><?xml version="1.0" encoding="utf-8"?>
<calcChain xmlns="http://schemas.openxmlformats.org/spreadsheetml/2006/main">
  <c r="A489" i="8" l="1"/>
  <c r="A490" i="8" s="1"/>
  <c r="A491" i="8" s="1"/>
  <c r="A492" i="8" s="1"/>
  <c r="A493" i="8" s="1"/>
  <c r="A494" i="8" s="1"/>
  <c r="A495" i="8" s="1"/>
  <c r="A496" i="8" s="1"/>
  <c r="A497" i="8" s="1"/>
  <c r="A498" i="8" s="1"/>
  <c r="A499" i="8" s="1"/>
  <c r="A500" i="8" s="1"/>
  <c r="A501" i="8" s="1"/>
  <c r="A502" i="8" s="1"/>
  <c r="A503" i="8" s="1"/>
  <c r="A504" i="8" s="1"/>
  <c r="A505" i="8" s="1"/>
  <c r="A506" i="8" s="1"/>
  <c r="A507" i="8" s="1"/>
  <c r="A508" i="8" s="1"/>
  <c r="A509" i="8" s="1"/>
  <c r="A510" i="8" s="1"/>
  <c r="A511" i="8" s="1"/>
  <c r="A512" i="8" s="1"/>
  <c r="A513" i="8" s="1"/>
  <c r="A514" i="8" s="1"/>
  <c r="A515" i="8" s="1"/>
  <c r="A516" i="8" s="1"/>
  <c r="A517" i="8" s="1"/>
  <c r="A716" i="8" l="1"/>
  <c r="A717" i="8" s="1"/>
  <c r="A718" i="8" s="1"/>
  <c r="A719" i="8" s="1"/>
  <c r="A40" i="11" l="1"/>
  <c r="A41" i="11" s="1"/>
  <c r="W39" i="5"/>
  <c r="W15" i="12" l="1"/>
  <c r="W292" i="6"/>
  <c r="W291" i="6"/>
  <c r="W290" i="6"/>
  <c r="W289" i="6" l="1"/>
  <c r="W288" i="6"/>
  <c r="W287" i="6"/>
  <c r="V673" i="8" l="1"/>
  <c r="V666" i="8"/>
  <c r="V665" i="8"/>
  <c r="V662" i="8"/>
  <c r="V661" i="8"/>
  <c r="V660" i="8"/>
  <c r="V659" i="8"/>
  <c r="V655" i="8"/>
  <c r="V654" i="8"/>
  <c r="V649" i="8"/>
  <c r="V648" i="8"/>
  <c r="V644" i="8"/>
  <c r="V640" i="8"/>
  <c r="V639" i="8"/>
  <c r="T638" i="8"/>
  <c r="V638" i="8" s="1"/>
  <c r="T636" i="8"/>
  <c r="V636" i="8" s="1"/>
  <c r="T635" i="8"/>
  <c r="V635" i="8" s="1"/>
  <c r="T634" i="8"/>
  <c r="V634" i="8" s="1"/>
  <c r="V633" i="8"/>
  <c r="T632" i="8"/>
  <c r="V632" i="8" s="1"/>
  <c r="T631" i="8"/>
  <c r="V631" i="8" s="1"/>
  <c r="T627" i="8"/>
  <c r="V627" i="8" s="1"/>
  <c r="T626" i="8"/>
  <c r="V626" i="8" s="1"/>
  <c r="T625" i="8"/>
  <c r="V625" i="8" s="1"/>
  <c r="T623" i="8"/>
  <c r="V623" i="8" s="1"/>
  <c r="V622" i="8"/>
  <c r="V620" i="8"/>
  <c r="T616" i="8"/>
  <c r="V616" i="8" s="1"/>
  <c r="V614" i="8"/>
  <c r="T611" i="8"/>
  <c r="V611" i="8" s="1"/>
  <c r="T610" i="8"/>
  <c r="V610" i="8" s="1"/>
  <c r="T607" i="8"/>
  <c r="V607" i="8" s="1"/>
  <c r="V606" i="8"/>
  <c r="V604" i="8"/>
  <c r="V603" i="8"/>
  <c r="V602" i="8"/>
  <c r="T602" i="8"/>
  <c r="V599" i="8"/>
  <c r="T598" i="8"/>
  <c r="V598" i="8" s="1"/>
  <c r="T596" i="8"/>
  <c r="V596" i="8" s="1"/>
  <c r="V593" i="8"/>
  <c r="V589" i="8"/>
  <c r="V588" i="8"/>
  <c r="T587" i="8"/>
  <c r="V587" i="8" s="1"/>
  <c r="V585" i="8"/>
  <c r="T584" i="8"/>
  <c r="V584" i="8" s="1"/>
  <c r="V582" i="8"/>
  <c r="T581" i="8"/>
  <c r="V581" i="8" s="1"/>
  <c r="T580" i="8"/>
  <c r="V580" i="8" s="1"/>
  <c r="T579" i="8"/>
  <c r="V579" i="8" s="1"/>
  <c r="T578" i="8"/>
  <c r="V578" i="8" s="1"/>
  <c r="T577" i="8"/>
  <c r="V577" i="8" s="1"/>
  <c r="T575" i="8"/>
  <c r="V575" i="8" s="1"/>
  <c r="A575" i="8"/>
  <c r="A576" i="8" s="1"/>
  <c r="A577" i="8" s="1"/>
  <c r="A578" i="8" s="1"/>
  <c r="A579" i="8" s="1"/>
  <c r="A580" i="8" s="1"/>
  <c r="A581" i="8" s="1"/>
  <c r="A582" i="8" s="1"/>
  <c r="A583" i="8" s="1"/>
  <c r="A584" i="8" s="1"/>
  <c r="A585" i="8" s="1"/>
  <c r="A586" i="8" s="1"/>
  <c r="A587" i="8" s="1"/>
  <c r="A588" i="8" s="1"/>
  <c r="A589" i="8" s="1"/>
  <c r="A590" i="8" s="1"/>
  <c r="A591" i="8" s="1"/>
  <c r="A592" i="8" s="1"/>
  <c r="A593" i="8" s="1"/>
  <c r="A594" i="8" s="1"/>
  <c r="A595" i="8" s="1"/>
  <c r="A596" i="8" s="1"/>
  <c r="A597" i="8" s="1"/>
  <c r="A598" i="8" s="1"/>
  <c r="A599" i="8" s="1"/>
  <c r="A600" i="8" s="1"/>
  <c r="A601" i="8" s="1"/>
  <c r="A602" i="8" s="1"/>
  <c r="A603" i="8" s="1"/>
  <c r="A604" i="8" s="1"/>
  <c r="A605" i="8" s="1"/>
  <c r="A606" i="8" s="1"/>
  <c r="A607" i="8" s="1"/>
  <c r="A608" i="8" s="1"/>
  <c r="A609" i="8" s="1"/>
  <c r="A610" i="8" s="1"/>
  <c r="A611" i="8" s="1"/>
  <c r="A612" i="8" s="1"/>
  <c r="A613" i="8" s="1"/>
  <c r="A614" i="8" s="1"/>
  <c r="A615" i="8" s="1"/>
  <c r="A616" i="8" s="1"/>
  <c r="A617" i="8" s="1"/>
  <c r="A618" i="8" s="1"/>
  <c r="A619" i="8" s="1"/>
  <c r="A620" i="8" s="1"/>
  <c r="A621" i="8" s="1"/>
  <c r="A622" i="8" s="1"/>
  <c r="A623" i="8" s="1"/>
  <c r="A624" i="8" s="1"/>
  <c r="A625" i="8" s="1"/>
  <c r="A626" i="8" s="1"/>
  <c r="A627" i="8" s="1"/>
  <c r="A628" i="8" s="1"/>
  <c r="A629" i="8" s="1"/>
  <c r="A630" i="8" s="1"/>
  <c r="A631" i="8" s="1"/>
  <c r="A632" i="8" s="1"/>
  <c r="A633" i="8" s="1"/>
  <c r="A634" i="8" s="1"/>
  <c r="A635" i="8" s="1"/>
  <c r="A636" i="8" s="1"/>
  <c r="A637" i="8" s="1"/>
  <c r="A638" i="8" s="1"/>
  <c r="A639" i="8" s="1"/>
  <c r="A640" i="8" s="1"/>
  <c r="A641" i="8" s="1"/>
  <c r="A642" i="8" s="1"/>
  <c r="A643" i="8" s="1"/>
  <c r="A644" i="8" s="1"/>
  <c r="A645" i="8" s="1"/>
  <c r="A646" i="8" s="1"/>
  <c r="A647" i="8" s="1"/>
  <c r="A648" i="8" s="1"/>
  <c r="A649" i="8" s="1"/>
  <c r="A650" i="8" s="1"/>
  <c r="A651" i="8" s="1"/>
  <c r="A652" i="8" s="1"/>
  <c r="A653" i="8" s="1"/>
  <c r="A654" i="8" s="1"/>
  <c r="A655" i="8" s="1"/>
  <c r="A656" i="8" s="1"/>
  <c r="A657" i="8" s="1"/>
  <c r="A658" i="8" s="1"/>
  <c r="A659" i="8" s="1"/>
  <c r="A660" i="8" s="1"/>
  <c r="A661" i="8" s="1"/>
  <c r="A662" i="8" s="1"/>
  <c r="A663" i="8" s="1"/>
  <c r="A664" i="8" s="1"/>
  <c r="A665" i="8" s="1"/>
  <c r="A666" i="8" s="1"/>
  <c r="A667" i="8" s="1"/>
  <c r="A668" i="8" s="1"/>
  <c r="A669" i="8" s="1"/>
  <c r="A670" i="8" s="1"/>
  <c r="A671" i="8" s="1"/>
  <c r="A672" i="8" s="1"/>
  <c r="A673" i="8" s="1"/>
  <c r="A674" i="8" s="1"/>
  <c r="A675" i="8" s="1"/>
  <c r="A676" i="8" s="1"/>
  <c r="A677" i="8" s="1"/>
  <c r="A678" i="8" s="1"/>
  <c r="A679" i="8" s="1"/>
  <c r="A680" i="8" s="1"/>
  <c r="A681" i="8" s="1"/>
  <c r="A682" i="8" s="1"/>
  <c r="A683" i="8" s="1"/>
  <c r="A684" i="8" s="1"/>
  <c r="A685" i="8" s="1"/>
  <c r="A686" i="8" s="1"/>
  <c r="A687" i="8" s="1"/>
  <c r="A688" i="8" s="1"/>
  <c r="A689" i="8" s="1"/>
  <c r="A690" i="8" s="1"/>
  <c r="A691" i="8" s="1"/>
  <c r="A692" i="8" s="1"/>
  <c r="A693" i="8" s="1"/>
  <c r="A694" i="8" s="1"/>
  <c r="A695" i="8" s="1"/>
  <c r="A696" i="8" s="1"/>
  <c r="A697" i="8" s="1"/>
  <c r="A698" i="8" s="1"/>
  <c r="A699" i="8" s="1"/>
  <c r="A700" i="8" s="1"/>
  <c r="A701" i="8" s="1"/>
  <c r="A702" i="8" s="1"/>
  <c r="A703" i="8" s="1"/>
  <c r="A704" i="8" s="1"/>
  <c r="A705" i="8" s="1"/>
  <c r="A706" i="8" s="1"/>
  <c r="A707" i="8" s="1"/>
  <c r="A708" i="8" s="1"/>
  <c r="A709" i="8" s="1"/>
  <c r="A710" i="8" s="1"/>
  <c r="A711" i="8" s="1"/>
  <c r="A712" i="8" s="1"/>
  <c r="A713" i="8" s="1"/>
  <c r="A714" i="8" s="1"/>
  <c r="A715" i="8" s="1"/>
  <c r="T574" i="8"/>
  <c r="V574" i="8" s="1"/>
  <c r="W286" i="6" l="1"/>
  <c r="W285" i="6"/>
  <c r="W284" i="6" l="1"/>
  <c r="W283" i="6"/>
  <c r="W282" i="6" l="1"/>
  <c r="W281" i="6"/>
  <c r="W280" i="6"/>
  <c r="W32" i="6" l="1"/>
  <c r="E32" i="6" l="1"/>
  <c r="A43" i="8" l="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88" i="8" l="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375" i="8" l="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A430" i="8" s="1"/>
  <c r="A431" i="8" s="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456" i="8" s="1"/>
  <c r="A457" i="8" s="1"/>
  <c r="A458" i="8" s="1"/>
  <c r="A459" i="8" s="1"/>
  <c r="A460" i="8" s="1"/>
  <c r="A461" i="8" s="1"/>
  <c r="A462" i="8" s="1"/>
  <c r="A463" i="8" s="1"/>
  <c r="A464" i="8" s="1"/>
  <c r="A465" i="8" s="1"/>
  <c r="A466" i="8" s="1"/>
  <c r="A467" i="8" s="1"/>
  <c r="A468" i="8" s="1"/>
  <c r="A469" i="8" s="1"/>
  <c r="A470" i="8" s="1"/>
  <c r="A471" i="8" s="1"/>
  <c r="A472" i="8" s="1"/>
  <c r="A473" i="8" s="1"/>
  <c r="A474" i="8" s="1"/>
  <c r="A475" i="8" s="1"/>
  <c r="A476" i="8" s="1"/>
  <c r="A477" i="8" s="1"/>
  <c r="A478" i="8" s="1"/>
  <c r="A479" i="8" s="1"/>
  <c r="A480" i="8" s="1"/>
  <c r="A481" i="8" s="1"/>
  <c r="A482" i="8" s="1"/>
  <c r="A483" i="8" s="1"/>
  <c r="A484" i="8" s="1"/>
  <c r="A485" i="8" s="1"/>
  <c r="A486" i="8" s="1"/>
  <c r="A487" i="8" s="1"/>
  <c r="A488" i="8" s="1"/>
  <c r="B69" i="6" l="1"/>
  <c r="A295" i="6" l="1"/>
  <c r="A296" i="6" s="1"/>
  <c r="A297" i="6" s="1"/>
  <c r="W65" i="6" l="1"/>
  <c r="W64" i="6"/>
</calcChain>
</file>

<file path=xl/sharedStrings.xml><?xml version="1.0" encoding="utf-8"?>
<sst xmlns="http://schemas.openxmlformats.org/spreadsheetml/2006/main" count="15901" uniqueCount="6179">
  <si>
    <t>Comentariu</t>
  </si>
  <si>
    <t xml:space="preserve">Emitent </t>
  </si>
  <si>
    <t>Puterea aprobată [MW]</t>
  </si>
  <si>
    <t>Data PIF</t>
  </si>
  <si>
    <t>Denumire investitor</t>
  </si>
  <si>
    <t>Denumire centrală electrică</t>
  </si>
  <si>
    <t>Denumire instalație electrică</t>
  </si>
  <si>
    <t>Date și caracteristici tehnice</t>
  </si>
  <si>
    <t>Denumire consumator</t>
  </si>
  <si>
    <t>Județul</t>
  </si>
  <si>
    <t>Staţia de racord</t>
  </si>
  <si>
    <t>Emitent</t>
  </si>
  <si>
    <t>Nr. ATR</t>
  </si>
  <si>
    <t>Data ATR</t>
  </si>
  <si>
    <t>Nr. CR</t>
  </si>
  <si>
    <t>Data  PIF</t>
  </si>
  <si>
    <t>Nominalizare lucrări de întărire pentru funcționarea la N-1</t>
  </si>
  <si>
    <t>Nominalizare lucrări de întărire pentru funcționarea la N</t>
  </si>
  <si>
    <t>Lucrări de întarire în RET</t>
  </si>
  <si>
    <t>Nr. certificat racordare</t>
  </si>
  <si>
    <t>Data certificat racordare</t>
  </si>
  <si>
    <t>Putere PIF din certificat racordare</t>
  </si>
  <si>
    <t>Observații</t>
  </si>
  <si>
    <t>U [kV]</t>
  </si>
  <si>
    <t>Data CR</t>
  </si>
  <si>
    <t>Nu e cazul</t>
  </si>
  <si>
    <t>Putere PIF conform emitenți [MW]</t>
  </si>
  <si>
    <t>Putere aprobată posibil a mai fi pusă în funcțiune [MW]</t>
  </si>
  <si>
    <t>Nr. crt.</t>
  </si>
  <si>
    <t>Puterea aprobată ATR/CRREIP/CEXRED [MW]</t>
  </si>
  <si>
    <t>SC DEVA GOLD SA</t>
  </si>
  <si>
    <t>loc de consum Deva Gold Certej</t>
  </si>
  <si>
    <t>Hunedoara</t>
  </si>
  <si>
    <t>Mintia</t>
  </si>
  <si>
    <t>racordarea locului de consum Deva Gold Certej în staţia 400/220/110 kV Mintia, la barele de 110 kV, printr-o LES 110 kV de cca. 23 km</t>
  </si>
  <si>
    <t>1/533</t>
  </si>
  <si>
    <t>C248</t>
  </si>
  <si>
    <t>14.12.2016</t>
  </si>
  <si>
    <t>Contractul este in vigoare pana la 31.12.2022</t>
  </si>
  <si>
    <t>Cluster Power SRL</t>
  </si>
  <si>
    <t>loc de consum Centru de date Cluster Power, amplasat în localitatea Mischii</t>
  </si>
  <si>
    <t>Dolj</t>
  </si>
  <si>
    <t>Craiova Nord</t>
  </si>
  <si>
    <t xml:space="preserve"> racordare la instalațiile electrice de interes public din gestiunea CNTEE Transelectrica SA, în staţia 220/110/20 kV Craiova Nord, a locului de consum Centru de date Cluster Power, amplasat în localitatea Mischii, judeţul Dolj aparţinând CNTEE Transelectrica SA</t>
  </si>
  <si>
    <t>7/46581</t>
  </si>
  <si>
    <t>9.11.2020</t>
  </si>
  <si>
    <t>C140</t>
  </si>
  <si>
    <t>09.06.2021</t>
  </si>
  <si>
    <t>31.12.2026</t>
  </si>
  <si>
    <t>52</t>
  </si>
  <si>
    <t>SC PROWIND WINDFARM IVESTI SRL
SC PROWIND WINDFARM BOGDANESTI SRL
SC PROWIND WINDFARM DELENI SRL
SC PROWIND WINDFARM VIISOARA SRL</t>
  </si>
  <si>
    <t>CEE Ivesti</t>
  </si>
  <si>
    <t>Vaslui</t>
  </si>
  <si>
    <t>Banca</t>
  </si>
  <si>
    <t>racord prin statie noua 220/110 kV Banca si racordul LEA 220 kV intrare-iesire in ambele circuite ale LEA
220 kV d.c. Gutinas-Munteni-Fai</t>
  </si>
  <si>
    <t>196;197;198;199;200</t>
  </si>
  <si>
    <t>Omega Eolian Project SRL</t>
  </si>
  <si>
    <t>CEE Stâlpu</t>
  </si>
  <si>
    <t>Buzău</t>
  </si>
  <si>
    <t>Stâlpu</t>
  </si>
  <si>
    <t>se racordează în staţia   220(400)/110/20 kV Stâlpu prin două LES 110 kV de lungime 0,25 km, care vor asigura legătura între staţia aferentă CEE şi celulele 110 kV Energie Verde 1 şi Energie Verde 2 din statia 220(400)/110/20 kV Stâlpu;</t>
  </si>
  <si>
    <t>CNTEE Transelectrica SA</t>
  </si>
  <si>
    <t>5/18749</t>
  </si>
  <si>
    <t>First Look Solutions SRL</t>
  </si>
  <si>
    <t>CEE Buzau</t>
  </si>
  <si>
    <t>Buzau</t>
  </si>
  <si>
    <t>Stalpu</t>
  </si>
  <si>
    <t xml:space="preserve"> se racordează în LEA 400 kV  Stalpu -Gura Ialomitei existentă prin secționarea acesteia la cca.0,4km de stația Stalpu, prin realizarea unui racord 400 kV d.c. 30 km distanta fata de statia 400/220/11/20 kV Stalpu</t>
  </si>
  <si>
    <t>14/57510</t>
  </si>
  <si>
    <t>Nord Wind Power SRL</t>
  </si>
  <si>
    <t>CEE Dumesti</t>
  </si>
  <si>
    <t>Iasi</t>
  </si>
  <si>
    <t>Dumesti</t>
  </si>
  <si>
    <t xml:space="preserve"> se racordează în LEA 220 kV d.c. Intrare-iesire FAI -Suceava existentă si realizarea unei noi 220 kV</t>
  </si>
  <si>
    <t>1/2208</t>
  </si>
  <si>
    <t>Conti Green Projects SRL</t>
  </si>
  <si>
    <t xml:space="preserve">CEF Dănești </t>
  </si>
  <si>
    <t>Călărași</t>
  </si>
  <si>
    <t>Mostiștea</t>
  </si>
  <si>
    <t>racordarea la reţeaua electrică a locului de producere CEF Dănești prin celulă 110 kV in statia 220/110/20 kV Mostiștea</t>
  </si>
  <si>
    <t>C859</t>
  </si>
  <si>
    <t>PIF 04.03.2021</t>
  </si>
  <si>
    <t>Portland Trust Renewables 1 SRL</t>
  </si>
  <si>
    <t>CEF Ratesti</t>
  </si>
  <si>
    <t>Arges</t>
  </si>
  <si>
    <t>Ratesti</t>
  </si>
  <si>
    <t>se racordeaza la RET in noua statie 220 kV Ratesti</t>
  </si>
  <si>
    <t>C133</t>
  </si>
  <si>
    <t>06.06.2021</t>
  </si>
  <si>
    <t>CEF Satu Mare 1</t>
  </si>
  <si>
    <t xml:space="preserve">Satu Mare </t>
  </si>
  <si>
    <t>CNTEE Tanselectrica SA</t>
  </si>
  <si>
    <t>Grup Blauer București SRL</t>
  </si>
  <si>
    <t>CEF Studina</t>
  </si>
  <si>
    <t>Olt</t>
  </si>
  <si>
    <t xml:space="preserve">stație nouă 220 kV Studina </t>
  </si>
  <si>
    <t xml:space="preserve">se racordează în sistem intrare-iesire în LEA 220 kV Craiova Nord-Turnu Măgurele printr-o stație de conexiune nouă 220 kV Studina </t>
  </si>
  <si>
    <t>11/47132</t>
  </si>
  <si>
    <t>VGP PARK TIMISOARA 2 SRL</t>
  </si>
  <si>
    <t>VGP Park Timisoara 2 - construire Hala D</t>
  </si>
  <si>
    <t>Timis</t>
  </si>
  <si>
    <t>PADUREA VERDE</t>
  </si>
  <si>
    <t>E-Distributie Banat SA</t>
  </si>
  <si>
    <t>ORACLE ENGINEERING SRL</t>
  </si>
  <si>
    <t>SALA POLIVALENTA COMERT SI ALIMENTATIE PUBLICA</t>
  </si>
  <si>
    <t>MUNICIPIUL RESITA</t>
  </si>
  <si>
    <t>SCENA FESTIVITATI PLATOU POIANA GOLULUI</t>
  </si>
  <si>
    <t>Caras Severin</t>
  </si>
  <si>
    <t>MOCIUR</t>
  </si>
  <si>
    <t>MUNICIPIUL VULCAN</t>
  </si>
  <si>
    <t>DEPOU VULCAN SI ANEXE</t>
  </si>
  <si>
    <t>CAPRISOARA</t>
  </si>
  <si>
    <t>Arad</t>
  </si>
  <si>
    <t>SC PORKPROD SRL</t>
  </si>
  <si>
    <t>Spatiu de productie si servicii</t>
  </si>
  <si>
    <t>POLTURA</t>
  </si>
  <si>
    <t>-</t>
  </si>
  <si>
    <t>DUMBRAVITA</t>
  </si>
  <si>
    <t>MIHAI CIAMA</t>
  </si>
  <si>
    <t>depozite</t>
  </si>
  <si>
    <t>FREIDORF</t>
  </si>
  <si>
    <t>VOX TEHNOLOGY PARK SRL</t>
  </si>
  <si>
    <t>CLADIRE CU FUNCTIUNE MIXTA</t>
  </si>
  <si>
    <t>BUCOVINA</t>
  </si>
  <si>
    <t>OLTINA IMPEX PROD COM SRL</t>
  </si>
  <si>
    <t>Consumator nou - moara Carani</t>
  </si>
  <si>
    <t>SATCHINEZ</t>
  </si>
  <si>
    <t>GOLDALE REAL ESTATE S.R.L.</t>
  </si>
  <si>
    <t>REABILITARE CLADIRI ANSAMBLU MONUMENT ABATOR</t>
  </si>
  <si>
    <t>VICTORIA</t>
  </si>
  <si>
    <t>Hala Productie</t>
  </si>
  <si>
    <t>I.U.R.T. LUGOJ</t>
  </si>
  <si>
    <t>AMER SPORTS RO SRL</t>
  </si>
  <si>
    <t>Fabrica de productie spor putere Hala Industriala ASR2</t>
  </si>
  <si>
    <t>ORASTIE</t>
  </si>
  <si>
    <t>HALA PRODUCTIE</t>
  </si>
  <si>
    <t>PINCOTA</t>
  </si>
  <si>
    <t>SAPIENT VEST SRL</t>
  </si>
  <si>
    <t>PARC INDUSTRIAL SAPIENT VEST</t>
  </si>
  <si>
    <t>FRATELIA</t>
  </si>
  <si>
    <t>Municipiul Timisoara</t>
  </si>
  <si>
    <t>Substatie de redresare nr.3 (trecere de la 10Kv la 20KV) POD RO005E511728974</t>
  </si>
  <si>
    <t>CETATE</t>
  </si>
  <si>
    <t>MUNICIPIUL TIMISOARA</t>
  </si>
  <si>
    <t>Substatie de redresare nr.4</t>
  </si>
  <si>
    <t>AMPLASARE SI BRANSARE LA UTILITATI SUBSTATIE ALIMENTARE ENERGIE ELECTRICA</t>
  </si>
  <si>
    <t>SPEEH HIDROELECTRICA SA</t>
  </si>
  <si>
    <t>CHE HERCULANE-Spor de putere</t>
  </si>
  <si>
    <t>CARAS-SEVERIN</t>
  </si>
  <si>
    <t>CRUSOVAT 110/20KV</t>
  </si>
  <si>
    <t>E-DISTRIBUTIE BANAT S.A.</t>
  </si>
  <si>
    <t>CHE DUMITRA</t>
  </si>
  <si>
    <t>HUNEDOARA</t>
  </si>
  <si>
    <t>statie de conexiune 110 kV racordata intrare iesire in LEA 110kV Vulcan - Livezeni</t>
  </si>
  <si>
    <t>ALDGATE SOLAR SRL</t>
  </si>
  <si>
    <t>Construire parc fotovoltaic, imprejmuire incinta si racord la SEN</t>
  </si>
  <si>
    <t>TIMIS</t>
  </si>
  <si>
    <t>FAGET</t>
  </si>
  <si>
    <t>SIRIA SOLAR SRL</t>
  </si>
  <si>
    <t>Centrala Electrica Fotovoltaica Siria</t>
  </si>
  <si>
    <t>ARAD</t>
  </si>
  <si>
    <t>MEX DEJ LOGISTIC SRL</t>
  </si>
  <si>
    <t>CEE Tulcea MEX DEJ LOGISTIC SRL</t>
  </si>
  <si>
    <t>TULCEA</t>
  </si>
  <si>
    <t>Marmura</t>
  </si>
  <si>
    <t>E-DISTRIBUTIE DOBROGEA S.A.</t>
  </si>
  <si>
    <t>04/08/2011 actualizat in data de 11.01.2022</t>
  </si>
  <si>
    <t xml:space="preserve">Nu este cazul </t>
  </si>
  <si>
    <t>CEVEDALE SRL</t>
  </si>
  <si>
    <t>CEF BORDUSANI CEVEDALE SRL</t>
  </si>
  <si>
    <t>IALOMITA</t>
  </si>
  <si>
    <t>BORDUSANI 110/20 KV</t>
  </si>
  <si>
    <t>Racordare in antena in statia 110/20 kV Bordusani - racordarea CEF Bordusani se va realiza in celula 20 kV, noua, montata in statia Bordusani, prin intermediul unui punct de conexiune cu 2 compartimente(compartiment E-DISTRIBUTIE si compartiment utilizator), amplasat la circa 100 m de statia de transformare, pe domeniul public al Primariei Facaieni. Lucrari ce se vor executa pentru Racoradrea la RED
a.Lucrări în stația electrică Bordușani:
-Montare celula de adaptare in statia Bordusani pe sectia 1 de bare; -,,Montare celula de linie 20 kV in statia Bordusani, langa celula de adaptare; -Montare echipamente necesare comunicaților ce se vor monta in sala de protecții a stației
b.Pozare LES 20 kV, 3x1x185 mmp cu izolatie XLPE, intre celula 20 kV de linie si punctul de conexiuni, in lungime de circa 100 m.
c.Pozare fibra optica între celula de linie noua din statie si punctul de conexiuni
d.Echiparea compartimentului de racordare (E-DISTRIBUTIE) al punctului de conexiune cu:
- o celula de linie, conform Specificatiei tehnice unificate ENEL, DY 803/416 RO, 24 kV, 400 A, 16 kA, cu separator in SF6, cu actionare motorizata 24 Vcc, cu separator de punere la pamant, detectoare de tensiune cf Specificatiei tehnice unificate ENEL, DY 811 RO, rezistenta anticondens 220 Vca;
- celula de masura conform Specificatiei tehnice unificate ENEL, DY 803M/316 RO echipata cu separator de sarcina cu actionare motorizata 24Vcc, cu 2 transformatoare de masura de tensiune 20/√3/0,1/√/0,1/3KV conform DY 541RO, transformatori de curent 200/5/5A conform DMI 031052RO Ed.01/05/11/2013, cls. 0,2S, rezistenta anticondens 220 Vc.a, integrata in sistemul de telecontrol existent;
- spatiu liber pentru montarea ulterioara a unei celule; - contor electronic trifazat, cu dublu sens, curba de sarcina si sistem de telecomunicații, integrat in sistemul de măsura ARGUS al E-Distributie
- tablou servicii auxiliare TSA conform DY 3016 RO;
- instalație TELECONTROL, aferenta celulei de linie si celulei de utilizator care va cuprinde: unitate periferica UP 2008 ediția 7, panou de servicii auxiliare, modem transmitere date, antena, RG DAT la fiecare celula.</t>
  </si>
  <si>
    <t>CONSTANTA</t>
  </si>
  <si>
    <t>BAYEL SRL</t>
  </si>
  <si>
    <t>MASE PLASTICE Fabrica mase plastice</t>
  </si>
  <si>
    <t xml:space="preserve"> CONSTANTA</t>
  </si>
  <si>
    <t>20</t>
  </si>
  <si>
    <t>Navodari</t>
  </si>
  <si>
    <t>07438104</t>
  </si>
  <si>
    <t>0,450</t>
  </si>
  <si>
    <t>STOIAN LAND COOPERATIVA AGRICOLA</t>
  </si>
  <si>
    <t>Hala de legume-fructe</t>
  </si>
  <si>
    <t>10</t>
  </si>
  <si>
    <t>Tomis Nord</t>
  </si>
  <si>
    <t>07978243</t>
  </si>
  <si>
    <t>0,962</t>
  </si>
  <si>
    <t xml:space="preserve"> IALOMITA</t>
  </si>
  <si>
    <t>O.U.A.I DRAJNA - SRPP. VI</t>
  </si>
  <si>
    <t>Statie de pompare SRPP VI</t>
  </si>
  <si>
    <t>CALARASI</t>
  </si>
  <si>
    <t>Dragalina</t>
  </si>
  <si>
    <t>08952075</t>
  </si>
  <si>
    <t>AGENTIA NATIONALA DE IMBUNATATIRI FUNCIARE</t>
  </si>
  <si>
    <t>SRP Fixa</t>
  </si>
  <si>
    <t>Bordusani</t>
  </si>
  <si>
    <t>06805273</t>
  </si>
  <si>
    <t>SPA Facaeni</t>
  </si>
  <si>
    <t>06806161</t>
  </si>
  <si>
    <t>SRP 1</t>
  </si>
  <si>
    <t>06809061</t>
  </si>
  <si>
    <t>SRP 3 Marculesti</t>
  </si>
  <si>
    <t>Tandarei</t>
  </si>
  <si>
    <t>06809278</t>
  </si>
  <si>
    <t>S.C. INTERCEREAL S.A.</t>
  </si>
  <si>
    <t>Ferma 5 - trup 1</t>
  </si>
  <si>
    <t>Fetesti</t>
  </si>
  <si>
    <t>06854621</t>
  </si>
  <si>
    <t>0,054</t>
  </si>
  <si>
    <t>MUNICIPIUL CONSTANTA</t>
  </si>
  <si>
    <t>Sala polivalenta 5000 locuri</t>
  </si>
  <si>
    <t>07013038</t>
  </si>
  <si>
    <t>EUROPROD ENERGY S.R.L</t>
  </si>
  <si>
    <t>AEE HOTEL S+P+7E - Europrod Energy</t>
  </si>
  <si>
    <t>07814545</t>
  </si>
  <si>
    <t>EXXONMOBIL EXPLORATION AND PRODUCTION ROMANIA LIMITED NASSAU</t>
  </si>
  <si>
    <t>STATIE DE REGLARE SI MASURARE GAZE NATURALE</t>
  </si>
  <si>
    <t>110</t>
  </si>
  <si>
    <t>Costinesti</t>
  </si>
  <si>
    <t>08402857</t>
  </si>
  <si>
    <t>TRACON SRL</t>
  </si>
  <si>
    <t>BAZA DE PRODUCTIE</t>
  </si>
  <si>
    <t>6</t>
  </si>
  <si>
    <t>Palas Sud</t>
  </si>
  <si>
    <t>08508356</t>
  </si>
  <si>
    <t>TOLIL COMPANY S.R.L.</t>
  </si>
  <si>
    <t>EXTINDERE FABRICA DE NUTRETURI COMBINATE SI UNITATE DE DEPOZITARE SI CONDITIONARE CEREALE</t>
  </si>
  <si>
    <t>Baia</t>
  </si>
  <si>
    <t>08901700</t>
  </si>
  <si>
    <t>SPITAL MODULAR COVID 19</t>
  </si>
  <si>
    <t>Centru I</t>
  </si>
  <si>
    <t>08930055</t>
  </si>
  <si>
    <t>Statie Repompare SRP1 - Harsova</t>
  </si>
  <si>
    <t>Harsova</t>
  </si>
  <si>
    <t>08994815</t>
  </si>
  <si>
    <t>Abator</t>
  </si>
  <si>
    <t>ORGANIZATIA UTILIZATORILOR DE APA PENTRU IRIGATII ERAVO</t>
  </si>
  <si>
    <t>Plot de Irigatii SPP5-8 (Statie de Pompare SPP5-8)</t>
  </si>
  <si>
    <t>Mihai Viteazu</t>
  </si>
  <si>
    <t>09178669</t>
  </si>
  <si>
    <t>US ARMY EUROPE, BLACK SEA AREA SUPPORT TEAM</t>
  </si>
  <si>
    <t>ERI - infrastrucutura pentru securitate in cazarma 888 Mihail Kogalniceanu</t>
  </si>
  <si>
    <t>Nicolae Balcescu</t>
  </si>
  <si>
    <t>02289607</t>
  </si>
  <si>
    <t>C.N. ADMINISTRATIA PORTURILOR MARITIME S.A. CONSTANTA</t>
  </si>
  <si>
    <t>Port Constanta Nord</t>
  </si>
  <si>
    <t>02968628</t>
  </si>
  <si>
    <t>PORT MIDIA</t>
  </si>
  <si>
    <t>04640676</t>
  </si>
  <si>
    <t>0,59</t>
  </si>
  <si>
    <t>UNIVERSITATEA OVIDIUS CONSTANTA</t>
  </si>
  <si>
    <t>Camine Studentesti</t>
  </si>
  <si>
    <t>Tabacarie</t>
  </si>
  <si>
    <t>04764274</t>
  </si>
  <si>
    <t>ANIF FIL TERIT IF CALARASI</t>
  </si>
  <si>
    <t>SPA KM 353</t>
  </si>
  <si>
    <t>Calarasi</t>
  </si>
  <si>
    <t>05938202</t>
  </si>
  <si>
    <t>Medgidia</t>
  </si>
  <si>
    <t>Budesti</t>
  </si>
  <si>
    <t>SC IMPACT DEVELOPER &amp; CONTRACTOR SA</t>
  </si>
  <si>
    <t>Ecluza Ovidiu</t>
  </si>
  <si>
    <t>ALEZZI BEACH RESORT SRL</t>
  </si>
  <si>
    <t>A.E.E. ANSAMBLU 4 IMOBILE LOCUINTE COLECTIVE S+P+4E-ALEZZI BEACH RESORT SRL</t>
  </si>
  <si>
    <t>08795043</t>
  </si>
  <si>
    <t>TOMIS PLUS SRL</t>
  </si>
  <si>
    <t>AEE 4 imobile 2S+P+7E Tomis Plus SRL</t>
  </si>
  <si>
    <t>08357358</t>
  </si>
  <si>
    <t>SUN CHALLENGE SRL</t>
  </si>
  <si>
    <t>CONSTRUIRE PARC FOTOVOLTAIC CALUGARENI</t>
  </si>
  <si>
    <t>GIURGIU</t>
  </si>
  <si>
    <t>UZUNU</t>
  </si>
  <si>
    <t>E-Distributie Muntenia</t>
  </si>
  <si>
    <t>06426082</t>
  </si>
  <si>
    <t>BUCURESTI</t>
  </si>
  <si>
    <t>ARCUDA GR</t>
  </si>
  <si>
    <t>ILFOV</t>
  </si>
  <si>
    <t>AFUMATI IF</t>
  </si>
  <si>
    <t>hala</t>
  </si>
  <si>
    <t>VULCAN</t>
  </si>
  <si>
    <t>MASINI GRELE</t>
  </si>
  <si>
    <t>DUDESTI</t>
  </si>
  <si>
    <t>SC PE CARLIG SRL</t>
  </si>
  <si>
    <t>PARC EOLIAN CARLIG 22,8MW - EXTRAVILAN COM. DULCESTI, JUD. NEAMT</t>
  </si>
  <si>
    <t>NEAMT</t>
  </si>
  <si>
    <t>modul hibrid in  LEA 110kV Roman Laminor – Ciritei</t>
  </si>
  <si>
    <t>modul hibrid intrare – ieşire în LEA 110kV Roman Laminor – Ciritei</t>
  </si>
  <si>
    <t>Delgaz Grid SA</t>
  </si>
  <si>
    <t>SC ELECTROCENTRALE BORZESTI SRL -SE BORZESTI - SC BORZESTI WIND SRL</t>
  </si>
  <si>
    <t>STATIE 110/35/6 KV BORZESTI + CEE ONESTI G. VAII 50MW - STR FANTANELE NR. 16, MUN ONESTI, JUD BACAU</t>
  </si>
  <si>
    <t>BACAU</t>
  </si>
  <si>
    <t>BORZESTI (proprietate ELECTROCENTRALE BORZESTI SRL)</t>
  </si>
  <si>
    <t>racord 110kV in statia OD ELECTROCENTRALE BORZESTI SRL</t>
  </si>
  <si>
    <t>SC ELECTROCENTRALE BORZESTI SRL</t>
  </si>
  <si>
    <t>SC MITOC PARTNERS SRL</t>
  </si>
  <si>
    <t>CEE AVRAMENI 75MW - LOC. ADASENI, AVRAMENI, MANOLEASA, JUD. BOTOSANI</t>
  </si>
  <si>
    <t>BOTOSANI</t>
  </si>
  <si>
    <t>LEA 110KV MITOC-SAVENI</t>
  </si>
  <si>
    <t>statie intrare - iesire in LEA 110KV MITOC-SAVENI</t>
  </si>
  <si>
    <t>SC ACK SRL</t>
  </si>
  <si>
    <t>CEE Sticlaria, loc Sticlaria, jud Iasi</t>
  </si>
  <si>
    <t>IASI</t>
  </si>
  <si>
    <t>statie noua Scobinti</t>
  </si>
  <si>
    <t>in statia 110kV Scobinti, racordata intrare-iesire in circuitul 2 LEA 110 kV Pascani-Harlau</t>
  </si>
  <si>
    <t>26.05.2012</t>
  </si>
  <si>
    <t>10.05.2013</t>
  </si>
  <si>
    <t>S.C. MOLDOVA EOLIAN S.R.L.</t>
  </si>
  <si>
    <t>CEE RUGINOASA, loc Ruginoasa, jud Iasi</t>
  </si>
  <si>
    <t>Tg.Frumos</t>
  </si>
  <si>
    <t>racord in LEA 110kV Tg.Frumos-Vatra prin modul hibrid</t>
  </si>
  <si>
    <t>06.04.2012</t>
  </si>
  <si>
    <t>14.06.2013</t>
  </si>
  <si>
    <t>SC DUCIPAL ELECTRIC SRL</t>
  </si>
  <si>
    <t>CEE Siretel, Vanatori, jud Iasi</t>
  </si>
  <si>
    <t>25.05.2012</t>
  </si>
  <si>
    <t>19.12.2013</t>
  </si>
  <si>
    <t>ELAWAN WIND BEREZENI SRL</t>
  </si>
  <si>
    <t>CEE STUHULET 42MW, extravilan loc. Berezeni si Vutcani</t>
  </si>
  <si>
    <t>VASLUI</t>
  </si>
  <si>
    <t>FALCIU</t>
  </si>
  <si>
    <t>celula de linie 110kV nouă pe spaţiul liber sectia A a barei 110 kV, paralel cu celula 110kV şi LEA 110kV Vetrişoaia in statia Falciu şi realizare linie electrică 110kV nouă de la staţia 110/20kV CEE Stuhulet la staţia 110kV Fălciu</t>
  </si>
  <si>
    <t>SC WPD ROMANIA WIND FARM 08 SRL</t>
  </si>
  <si>
    <t>CEE FRUNTISENI 45MW, LOC. ZORLENI SI FRUNTISENI, JUD VASLUI</t>
  </si>
  <si>
    <t>BARLAD</t>
  </si>
  <si>
    <t xml:space="preserve">celula de linie 110kV nouă la sistemul de bare 110kV din statia Barlad şi realizare linie electrică 110kV nouă de la staţia 110kV Barlad la staţia CEE Fruntiseni. </t>
  </si>
  <si>
    <t>NORTH EOLIAN PROJECT SRL</t>
  </si>
  <si>
    <t>CEE DERSCA 1 (47.7MW), EXTRAVILANUL LOC. DERSCA, COM. DERSCA, JUD. BOTOSANI</t>
  </si>
  <si>
    <t>modul hibrid intrare-ieșire în
LEA 110 kV Siret – Dorohoi</t>
  </si>
  <si>
    <t>racordare intrare-ieșire în LEA 110 kV Siret – Dorohoi existenta prin intermediul unui modul hibrid AIS/GIS 123kV</t>
  </si>
  <si>
    <t>SOUTH EOLIAN PROJECT SRL</t>
  </si>
  <si>
    <t>CEE DERSCA 2 (31.8MW), EXTRAVILANUL LOC. DERSCA, COM. DERSCA, JUD. BOTOSANI</t>
  </si>
  <si>
    <t>modul hibrid intrare-ieșire în
LEA 110 kV Siret – Bucecea</t>
  </si>
  <si>
    <t>racordare intrare-ieșire în LEA 110 kV Siret – Bucecea prin intermediul unui modul hibrid AIS/GIS 123kV</t>
  </si>
  <si>
    <t>CHE PASCANI SPEEH HIDROELECTRICA</t>
  </si>
  <si>
    <t>VATRA</t>
  </si>
  <si>
    <t>doua racorduri LES 20 KV in statia Vatra</t>
  </si>
  <si>
    <t>31.12.2022</t>
  </si>
  <si>
    <t>SC SOCERAM SA</t>
  </si>
  <si>
    <t>CE COGEN CORDUN SOCERAM, LOC. CORDUN, JUD NEAMT</t>
  </si>
  <si>
    <t>ROMAN LAMINOR</t>
  </si>
  <si>
    <t>racord MT</t>
  </si>
  <si>
    <t>SC ELECTRO-ALFA INTERNATIONAL SRL</t>
  </si>
  <si>
    <t>CEF BOTOSANI ELECTRO-ALFA INTERNATIONAL, STR. I.C. BRATIANU (ZONA REDIU-NC 53422), MUN. BOTOSANI, JUD. BOTOSANI</t>
  </si>
  <si>
    <t>ABATOR</t>
  </si>
  <si>
    <t>racord MT in statia Abator</t>
  </si>
  <si>
    <t>CEF ONESTI ELECTROCENTRALE BORZESTI, STR FANTANELE NR. 16, MUN ONESTI, JUD BACAU</t>
  </si>
  <si>
    <t>BORZESTI</t>
  </si>
  <si>
    <t>racord 110kV in statia Borzesti</t>
  </si>
  <si>
    <t>SC  ELECTROCENTRALE BORZESTI - SE BORZESTI - SC CARPATHIA SOLAR SRL</t>
  </si>
  <si>
    <t>STATIE 110/35/6 KV BORZESTI + Motor Wartsila, MUN ONESTI, JUD BACAU</t>
  </si>
  <si>
    <t>racord 6kV in statia OD ELECTROCENTRALE BORZESTI SRL</t>
  </si>
  <si>
    <t>OMV PETROM SA</t>
  </si>
  <si>
    <t>CE GAZ MOINESTI OMV PETROM, LOC. MOINESTI-LUCACESTI, JUD. BACAU</t>
  </si>
  <si>
    <t>MOINESTI</t>
  </si>
  <si>
    <t xml:space="preserve"> LEA 6 kV Moinesti-Albotesti </t>
  </si>
  <si>
    <t>SC SEMCONSULT  TOP SRL</t>
  </si>
  <si>
    <t>Dezvoltare in etape:
07.2016: 2,7 MW
01.2007: 4,0 MW
01.2018: 5,0 MW</t>
  </si>
  <si>
    <t>110/20kV Trifesti</t>
  </si>
  <si>
    <t xml:space="preserve">Lucrari intarire retea:
# Inlocuirea trafo T2 de 10 MVA din statia Trifesti cu un trafo nou de 16 MVA (avand dispozitivul de actionare al comutatorului de ploturi de acelasi tip);
# Modificarea reglajului protectiilor in celulele trafo T2  110 kV si 20 kV;
# Integrare celula noua de linie 20 kV in instalatia de telesemnalizari;
# Racordare celula noua de linie 20 kV (Q8) la instalatia EORD existenta in dulapul de tratare neutru (DTN);
# Racordare celula noua de linie 20 kV (Q8) la instalatia DAS-f existenta;
# Integrarea celulei noi in buclele de circuitele secundare ale statiei (semnalizari, blocaje, masura, alimentare cu c.a. si c.c.); </t>
  </si>
  <si>
    <t>SC FIVE CONTINENTS GROUP SRL</t>
  </si>
  <si>
    <t>nu este cazul</t>
  </si>
  <si>
    <t>110/20kV Abator</t>
  </si>
  <si>
    <t>Spor putere de la 950,00 kW la 1.639,00 kW</t>
  </si>
  <si>
    <t>SC SOLO SRL</t>
  </si>
  <si>
    <t>220/110/20/6kV FAI</t>
  </si>
  <si>
    <t>Spor putere de la 850,00 kW la 1.572,21 kW</t>
  </si>
  <si>
    <t>SC SOCIETATEA AGRICOLA MOLDOVA TIGANASI SRL</t>
  </si>
  <si>
    <t>Spor putere de la 250,00 kW la 1.200,00 kW</t>
  </si>
  <si>
    <t>SC ERMES HOLDING SRL</t>
  </si>
  <si>
    <t>110/20kV Delphi</t>
  </si>
  <si>
    <t>Spor putere de la 4.928,00 kW la 9.228,00 kW</t>
  </si>
  <si>
    <t>SC MASPEX ROMANIA SRL</t>
  </si>
  <si>
    <t>SUCEAVA</t>
  </si>
  <si>
    <t>110/20kV Vatra Dornei</t>
  </si>
  <si>
    <t>Spor putere de la 2.000,00 kW la 4.600,00 kW;
Lucrari intarire retea:
Se vor inlocui cele 2 bobine de stingere 100A cat si cele 2 transformatoarele de servicii interne 1200 kVA aferente statiei de transformare 110/20 kV Vatra Dornei, cu 2 bobine de stingere 150 A si 2 transformatoare de servicii interne 20/0,4 kV, 2000 kVA.</t>
  </si>
  <si>
    <t>SPITALUL CLINIC JUDETEAN DE URGENTE SF. SPIRIDON</t>
  </si>
  <si>
    <t>110/20/6kV Centru, 110/20/6kV Bularga</t>
  </si>
  <si>
    <t>Spor putere de la 1.475,00 kW la 1.825,00 kW</t>
  </si>
  <si>
    <t>SC AGRICOLA INTERNATIONAL SA</t>
  </si>
  <si>
    <t>110/20kV Gheraiesti
110/20kV Partizanu</t>
  </si>
  <si>
    <t>Spor putere de la 3.500 kW la 4.950 kW
Lucrari intarire:
# reparametrizare relee de protectie in Statia Gheraiesti;
# reparametrizare releu de protectie in Statia Partizanu;
# modernizare celule trafo in PTCZ 213 (inlocuire intrerupatoare si relee de protectie)</t>
  </si>
  <si>
    <t>SC DOLY COM DISTRIBUTIE SRL</t>
  </si>
  <si>
    <t>Spor putere de la 1.300,00 kW la 2.150,00 kW</t>
  </si>
  <si>
    <t>SC IKOSAR SRL</t>
  </si>
  <si>
    <t>110/20kV Tg. Neamt</t>
  </si>
  <si>
    <t>Spor putere de la 735 kW la 1.635,00 kW</t>
  </si>
  <si>
    <t>SC INDUSTRIES YIELD SRL</t>
  </si>
  <si>
    <t>110/20KV Bacovia</t>
  </si>
  <si>
    <t>110/20kV Bacovia</t>
  </si>
  <si>
    <t>Spor putere de la 810 kW la 2.355,39 kW</t>
  </si>
  <si>
    <t>SC AVASTAR SRL</t>
  </si>
  <si>
    <t>110/20kV Veresti</t>
  </si>
  <si>
    <t>Spor putere de la 680 kW la 1.280,00 kW</t>
  </si>
  <si>
    <t>SC TRUTZI SRL</t>
  </si>
  <si>
    <t>110/20kV Rulmentul</t>
  </si>
  <si>
    <t>SC CEREALCOM SA</t>
  </si>
  <si>
    <t>110/20/10kV Partizanu</t>
  </si>
  <si>
    <t>SC FIO GRUP COMPANY SRL</t>
  </si>
  <si>
    <t>110/20/6kV Bularga</t>
  </si>
  <si>
    <t>contract cofinantare</t>
  </si>
  <si>
    <t>Contract cofinantare pentru extinedere retea
Lucrari intarire:
Inlocuire T2 din statia Bularga 110/22 kV 25 MVA - 1 buc
Celula de linie nr. 1 k de pe secția de bare A se va integra în sistemul SCADA - 1 buc
Celula de linie nr. 34 k de pe secția de bare B se va integra în sistemul SCADA - 1 buc.</t>
  </si>
  <si>
    <t>SC RALUCONT MARITIME SRL</t>
  </si>
  <si>
    <t>110/20kV Crang</t>
  </si>
  <si>
    <t>SC NEWTONE LABORATORIES SRL</t>
  </si>
  <si>
    <t>110/20kV Tutora</t>
  </si>
  <si>
    <t>SC JIFFY PACKAGING SA</t>
  </si>
  <si>
    <t>110/20kV PAL</t>
  </si>
  <si>
    <t>Spor putere de la 1.682 kW la 2.880,00 kW</t>
  </si>
  <si>
    <t>COMUNA MIROSLAVA</t>
  </si>
  <si>
    <t>In functie de evolutia consumului din Statia 110/20 kV Delphi se va avea in vedere amplificarea transformatorului T2 de la 25 MVA la 40 MVA.</t>
  </si>
  <si>
    <t>SPITALUL CLINIC DE URGENTE PENTRU COPII "SF. MARIA"</t>
  </si>
  <si>
    <t>20 si 0.4</t>
  </si>
  <si>
    <t>Spor putere de la 1.004,00 kW la 1.799,00 kW</t>
  </si>
  <si>
    <t xml:space="preserve">Poiect FS Statii-Modernizare statie 110/20 kV Vicov, echipare circuit nr. 2 a LEA 110 kV Radauti – Vicov in vederea buclarii statiei 110/20 kV Vicov cu statiile 110 kV Radauti si EGGER din jud. Suceava </t>
  </si>
  <si>
    <t>SC ICPE ELECTROCOND TECHNOLOGIES SA</t>
  </si>
  <si>
    <t>Racordare la RED a CHEMP Susita situata in localitatea Vaidei, jud.Gorj</t>
  </si>
  <si>
    <t>Gorj</t>
  </si>
  <si>
    <t>Statia 110/20/6 KV Barsesti 2</t>
  </si>
  <si>
    <t xml:space="preserve">stalp nr.36A aferent Racord 20 kV Vaidei aferent LEA 20 kV Dobrita </t>
  </si>
  <si>
    <t>Distributie Energie Oltenia SA</t>
  </si>
  <si>
    <t>08.06.2013</t>
  </si>
  <si>
    <t>02.12.2013</t>
  </si>
  <si>
    <t>Asociatia de Dezvoltare Intercomunitara, Ciupercenii Noi_Desa_Poiana Mare</t>
  </si>
  <si>
    <t>Parc energetic fotovoltaic ADI Ciupercenii Noi- Desa -Poiana Mare , loc. Ciupercenii Noi</t>
  </si>
  <si>
    <t>Statia 110/20 kV Calafat Sud</t>
  </si>
  <si>
    <t>racord 20 kV in cablu subteran si PT 0.4/20 KV, 1250 KVA din derivatia 20 kV Ciuperecnii Noi, din LEA 20 KV Irigatii-Desa</t>
  </si>
  <si>
    <t>Distributie Energie Oltenia</t>
  </si>
  <si>
    <t>da</t>
  </si>
  <si>
    <t>SC GEKO FAIRY LAND SRL</t>
  </si>
  <si>
    <t>Racordare la RED  a CEF situata in Bailesti,str.Eroilor,2.9 MW</t>
  </si>
  <si>
    <t>statia 110/20 kV Bailesti</t>
  </si>
  <si>
    <t>Celula 20 Kv in statia  110/20 Kv Bailesti</t>
  </si>
  <si>
    <t>SC SOLAR KING SRL</t>
  </si>
  <si>
    <t>Parc fotovoltaic Poiana 1, sat Poiana, com.Turburea, jud.Gorj</t>
  </si>
  <si>
    <t>Statia 110/20 kV Filiasi</t>
  </si>
  <si>
    <t xml:space="preserve">stalpul nr.105A al LEA 20KV Turburea -Filiasi </t>
  </si>
  <si>
    <t>S.C. PHOTEIS ENERGIE SOLARA</t>
  </si>
  <si>
    <t>Centrala fotovoltaica, Zimnicea, jud. Teleorman</t>
  </si>
  <si>
    <t>Teleorman</t>
  </si>
  <si>
    <t>Statia110/20 kV Zimnicea</t>
  </si>
  <si>
    <t xml:space="preserve">Celula existenta 20 Kv Ruptoare </t>
  </si>
  <si>
    <t xml:space="preserve">SC SMILY TOURS SRL </t>
  </si>
  <si>
    <t>Racordarea  la RED a centralei  fotovoltaice IANCA TARLAUA 20</t>
  </si>
  <si>
    <t>Statia 110/20 kV Potelu</t>
  </si>
  <si>
    <t>stalpul nr. 66 tip SC 15007 al LEA 20 KV Potelu - Irigatii 1.</t>
  </si>
  <si>
    <t>SC VERTICAL ENERGY VOLT SRL</t>
  </si>
  <si>
    <t>Racordare la RED centrala fotovoltaica Comuna DOMNESTI, str. DOMNESTI, FN , judetul Arges</t>
  </si>
  <si>
    <t>Statia 110/20 kV Electroarges</t>
  </si>
  <si>
    <t>stalp de racord proiectat nr.43 A tip SC 15014 in LEA 20 KV  Musetesti – Schitu la 5 m de stalpul existent nr. 43.</t>
  </si>
  <si>
    <t>SC JRD SOLAR SRL</t>
  </si>
  <si>
    <t>Racordare la RED centrala fotovoltaica in localitatea Mereni</t>
  </si>
  <si>
    <t>statia 110/20 kV Videle</t>
  </si>
  <si>
    <t>Celula 20 Kv in statia 110/20 Kv Videle</t>
  </si>
  <si>
    <t>SC SOLAR ELECTRIC MARUNTEI  SRL URZICENI</t>
  </si>
  <si>
    <t>Racordare la RED centrala fotovoltaica   MARUNTEI , judetul Olt</t>
  </si>
  <si>
    <t>statia 110/20 kV Coteana</t>
  </si>
  <si>
    <t>Celula 20 Kv in statia 110/20 Kv Coteana</t>
  </si>
  <si>
    <t>SC SOLAR ELECTRIC COTEANA SRL URZICENI</t>
  </si>
  <si>
    <t>Racordare la RED centrala fotovoltaica  MARUNTEI , judetul Olt</t>
  </si>
  <si>
    <t>SC NEW CONCEPT SRL</t>
  </si>
  <si>
    <t>Racordarea la RED Centrala fotovoltaica  IANCA TARLAUA 19 i</t>
  </si>
  <si>
    <t>stalpul nr. 66 tip SC 15007 al LEA 20 KV Potelu - Irigatii 2.</t>
  </si>
  <si>
    <t>SC SOLAIRE D'OSTROVENI</t>
  </si>
  <si>
    <t>Racordare la RED Centrala fotovoltaica,com.Ostroveni</t>
  </si>
  <si>
    <t>Statia 110/20 kV Bechet</t>
  </si>
  <si>
    <t>La celula 20kV in distribuitorul 20kV din statia de transformare 110/20kV Bechet.</t>
  </si>
  <si>
    <t>PRIMARIA MUNICIPIULUI SLATINA</t>
  </si>
  <si>
    <t>SLATINA (OT), VLADIMIRESCU TUDOR 169    CENTRALA FO</t>
  </si>
  <si>
    <t>Statia 110/20 kV Curtisoara</t>
  </si>
  <si>
    <t>Stalpul nr.6 al derivatiei 20 kV TCH aferenta LEA 20 kV Curtisoara-SPP 11+12+TCH.</t>
  </si>
  <si>
    <t>SC TFS NEW GREEN ENERGY SRL</t>
  </si>
  <si>
    <t>Racordare la RED centrala fotovoltaica Comuna MOZACENI,  FN , judetul Arges</t>
  </si>
  <si>
    <t>Statia 110/20 kV Mozaceni</t>
  </si>
  <si>
    <t>La stalpul SC 15014, nr. 20A proiectat la 20 m de stalpul existent al LEA 20kV Mozaceni-Stefan cel Mare</t>
  </si>
  <si>
    <t>SC WALDFRUCT SRL</t>
  </si>
  <si>
    <t>Parc fotovoltaic -Robanesti (Lacrita Mare)</t>
  </si>
  <si>
    <t>Statia 110/20 kV Ghercesti</t>
  </si>
  <si>
    <t>Stalpul nr.213 A proiectat in axul LEA 20 kV Ghercesti-FNC-Banu Maracine.</t>
  </si>
  <si>
    <t>SC PROFIELDS SRL</t>
  </si>
  <si>
    <t>Statia 110/20 kV Leu</t>
  </si>
  <si>
    <t>Stalpul nr.405 tip SE1 aferent LEA 20 kV Leu-Robanesti;</t>
  </si>
  <si>
    <t>SC RC DEVELOPMENT TRI RO SRL</t>
  </si>
  <si>
    <t>Racordare la RED centrala fotovoltaica Redea 2</t>
  </si>
  <si>
    <t>Statia 110/20 kV Caracal Vest</t>
  </si>
  <si>
    <t>Celula 20 kV proiectata in statia 110/20 kV Caracal Vest.</t>
  </si>
  <si>
    <t>SC RC NORTH REGION SRL</t>
  </si>
  <si>
    <t>Racordare la RED centrala fotovoltaica Redea 7</t>
  </si>
  <si>
    <t>La stalpul nr. 64 C. proiectat in axul LEA 20kV Caracal V Redea 2.</t>
  </si>
  <si>
    <t>SC REINVEST INDUSTRIAL DEVELOPMENT SRL</t>
  </si>
  <si>
    <t>Parc panouri fotovoltaice, Cosmesti, jud. Teleorman</t>
  </si>
  <si>
    <t>Statia 110/20 kV Blejesti</t>
  </si>
  <si>
    <t>in distribuitorul de 20 kV al statiei 110/20 Blejesti, in celula nou proiectata.</t>
  </si>
  <si>
    <t>SC REINVEST EAST REGION SRL</t>
  </si>
  <si>
    <t>ANTONIE IONICA</t>
  </si>
  <si>
    <t>Racordare la RED Centrala fotovoltaica, comuna Daesti, jud Valcea</t>
  </si>
  <si>
    <t>Valcea</t>
  </si>
  <si>
    <t>Statia 110/20 kV Jiblea</t>
  </si>
  <si>
    <t>stalpul SC15014 nou introdus intre st.1 si 2 in Racordiul 20kV SI CHE Daesti</t>
  </si>
  <si>
    <t>3200008659</t>
  </si>
  <si>
    <t>SC PROENERGETIC SERBAN SRL</t>
  </si>
  <si>
    <t>Racordare la RED centrala fotovoltaica Sirbii Magura 1</t>
  </si>
  <si>
    <t>Statia 110/20 kV Icoana</t>
  </si>
  <si>
    <t>Stalpul nr.23 a Derivatia Ferma Pomicola Sarbii Magura1,din LEA 20KV ICOANA-CORBU</t>
  </si>
  <si>
    <t>SC SOLEK PROJECT IOTA SRL</t>
  </si>
  <si>
    <t>Centrala fotovoltaica, comuna Contesti, com Leu</t>
  </si>
  <si>
    <t>Celula 20 kV proiectata in statia 110/20 kV Leu.</t>
  </si>
  <si>
    <t>SOLAR LIVE ENERGY SRL (fost VOLCINET PARC SRL )</t>
  </si>
  <si>
    <t>Centrala fotovoltaica Sadova</t>
  </si>
  <si>
    <t>Stalpul nr.120 A tip SC15014,proiectat intre stalpii nr.120 si nr.121 ai LEA 20 kV Bechet-Bratovoiesti.</t>
  </si>
  <si>
    <t>SC  PARC SOLAIRE D'OSTROVENI  II</t>
  </si>
  <si>
    <t>Stalpul nr.9,SE1,ce se va inlocui cu stalp tip SC15014,aferent Derivata 20 kV PTA CAP Ostroveni din LEA 20 kV Bechet-Comosteni.</t>
  </si>
  <si>
    <t xml:space="preserve"> SOLAR ENERGY VENUS SRL</t>
  </si>
  <si>
    <t>Racordare la RED centrala fotovoltaica SOLAR ENERGY VENUS SRL</t>
  </si>
  <si>
    <t>Statia 110/20 kV Slatina Nord</t>
  </si>
  <si>
    <t>La stalpul nr. 153 A al LEA 20 kV Slatina Nord Coteana.</t>
  </si>
  <si>
    <t xml:space="preserve">SC SOLAR POWER ALPHA SRL </t>
  </si>
  <si>
    <t>CENTRALA FOTOVOLTAICA DARMANESTI (AG) 1</t>
  </si>
  <si>
    <t>Statia 110/20 kV Mioveni</t>
  </si>
  <si>
    <t>LEA 20 kV Mioveni-Domnesti</t>
  </si>
  <si>
    <t>SC ENG ELECTRIC SRL</t>
  </si>
  <si>
    <t>Centrala fotovoltaica Maldaeni, jud. Teleorman</t>
  </si>
  <si>
    <t>Statia 110/20 kV Rosiori</t>
  </si>
  <si>
    <t>Stalpul special nr.97, tip SC 15014 al LEA 20kV Uzina de Apa.</t>
  </si>
  <si>
    <t>16.04.2013</t>
  </si>
  <si>
    <t>SC ECO VOLTAIC SRL</t>
  </si>
  <si>
    <t>Racordare la RED Centrala fotovoltaica, comuna Maciuca, jud Valcea</t>
  </si>
  <si>
    <t>Statia 110/20 kV Ladesti</t>
  </si>
  <si>
    <t>stalpul nr.198 al LEA 20kV Ladesti - Balcesti</t>
  </si>
  <si>
    <t>FOTON PLUS SRL</t>
  </si>
  <si>
    <t>Racordare la RED centrala fotovoltaica SC  FOTON PLUS SRL-URZICA T15/P2</t>
  </si>
  <si>
    <t>Statia 110/20 kV Corabia</t>
  </si>
  <si>
    <t>Stalpul nr.124 al Derivatie 20 kV Stavaru aferenta LEA 20 kV Corabia-Irigatii 7</t>
  </si>
  <si>
    <t>S.C. SOLANNA INVESTMENT S.R.L.</t>
  </si>
  <si>
    <t>Centrala fotovoltaica, Mosteni, extravilan, jud. Teleorman</t>
  </si>
  <si>
    <t>Statia 110/20 kV Videle</t>
  </si>
  <si>
    <t>Stalpul nr.123A, SC 15014,al Racordului 20 kV PTA 5544 alimentat din LEA 20 kV Draganesti-Stejaru.</t>
  </si>
  <si>
    <t>S.C. R&amp;T GREEN ENERGY 2000 S.R.L.</t>
  </si>
  <si>
    <t>Centrala fotovoltaica, Smardioasa, jud. Teleorman</t>
  </si>
  <si>
    <t>Statia 110/20 kV Zimnicea</t>
  </si>
  <si>
    <t>La stalpul nr. 5B al derivatiei 20kV SD1351 din LEA 20kV Zimnicea-Soimu.</t>
  </si>
  <si>
    <t>S.C. WATTELSE S.R.L.</t>
  </si>
  <si>
    <t>Centrala fotovoltaica, Nanov, extravilan, jud. Teleorman</t>
  </si>
  <si>
    <t>Statia 110/20 kV Alexandria</t>
  </si>
  <si>
    <t xml:space="preserve"> in celula 20 kV  din statia 110/20 kV Alexandria</t>
  </si>
  <si>
    <t>HELIOS POWER BETA SRL-STOICANESTI CF2</t>
  </si>
  <si>
    <t>STOICANESTI (STOICANESTI OT), STOICANESTI T42 2</t>
  </si>
  <si>
    <t>Statia 400/110/20 kV Draganesti Olt</t>
  </si>
  <si>
    <t>Stalpul nr.129 al LEA 20 kV Draganesti Olt-Irigatii ALHS.</t>
  </si>
  <si>
    <t xml:space="preserve">HELIOS POWER-EPSILON SRL </t>
  </si>
  <si>
    <t>STOICANESTI (STOICANESTI OT), STOICANESTI T42 1</t>
  </si>
  <si>
    <t>la stalpul nr.125 al LEA 20kV Irigatii ALHS.</t>
  </si>
  <si>
    <t xml:space="preserve">HELIOS POWER DELTA SRL </t>
  </si>
  <si>
    <t>Parc fotovoltaic  RADOMIRESTI T188/P1/2</t>
  </si>
  <si>
    <t>la stalpul nr. 343 existent in LEA 20 KV Mihaiesti</t>
  </si>
  <si>
    <t>SOLAR NEWPARKS TEIUS SRL</t>
  </si>
  <si>
    <t>Racordare la RED centrala fotovoltaica in Scornicesti2</t>
  </si>
  <si>
    <t>Statia 110/20 kV Scornicesti</t>
  </si>
  <si>
    <t>stalpul 32 A al Derivatiei 20 kV Suica din LEA 20 kV Scornicesti-Lactate.</t>
  </si>
  <si>
    <t xml:space="preserve">PHOTOVOLTAIC PROJECT PARK SRL </t>
  </si>
  <si>
    <t>BIRCA, MIHAI VITEAZUL 268    PARC FOTOVOLTAIC</t>
  </si>
  <si>
    <t>Statia 110/20/6 kV Nedeia</t>
  </si>
  <si>
    <t>stalpul nr.9 al LEA 20kV L3 Irigatii Nedeia, Derivatie Barca-Racord PTA IAS Barca</t>
  </si>
  <si>
    <t>SC MCD Ecologica Sud</t>
  </si>
  <si>
    <t>Centrala fotovoltaica Dobresti</t>
  </si>
  <si>
    <t>Statia 110/20 kV Amarasti</t>
  </si>
  <si>
    <t>La stalpul 4 al Racordului 20 kV PTA 2 Brabeti aferent LEA 20 kV Amarasti - Daneti.</t>
  </si>
  <si>
    <t>SC PVTURRIS Segarcea vale</t>
  </si>
  <si>
    <t>Centrala fotovoltaica Segarcea Vale</t>
  </si>
  <si>
    <t>Statia 220/110/20 kV Turnu Magurele</t>
  </si>
  <si>
    <t>La stalpul nr. 222 al LEA 20kV Turnu Magurele-Olteanca.</t>
  </si>
  <si>
    <t>ART SEEMA SRL</t>
  </si>
  <si>
    <t>Racordarea la RED  CENTRALA  FOTOVOLTAICA -STREJESTII DE SUS</t>
  </si>
  <si>
    <t>Statia 110/20 kV MAMURA</t>
  </si>
  <si>
    <t>stalpul nr.11al racord 20 kV PTA3 Strejesti de Sus din LEA 20 kV MAMURA DRAGASANI</t>
  </si>
  <si>
    <t>SC STAGESAN GROUP SRL</t>
  </si>
  <si>
    <t>Centrala fotovoltaica, situata in satul Telesti, com.Telesti, jud.Gorj</t>
  </si>
  <si>
    <t>Statia 110/20/6 kV Barsesti 2</t>
  </si>
  <si>
    <t>stalpul nr.211 al LEA 20KV Barsesti 2 - Tismana</t>
  </si>
  <si>
    <t>SC BC GREEN ENERGETIC SRL</t>
  </si>
  <si>
    <t>PARC FOTOVOLTAIC</t>
  </si>
  <si>
    <t xml:space="preserve">Statia 110/20 kV Tg Jiu Sud </t>
  </si>
  <si>
    <t>stalpul nr. 37 tip SE8 aferent Racordului 20 kV PTAb Bucureasa 1</t>
  </si>
  <si>
    <t>SUNNY GLADE SRL</t>
  </si>
  <si>
    <t>CENTRALA FOTOVOLTAICA</t>
  </si>
  <si>
    <t>Stalpul nr.11 tip SE8 in axul derivatiei Somanesti a LEA 20kV Godinesti-Ciuperceni</t>
  </si>
  <si>
    <t>LEA 20kV Godinesti-Ciuperceni</t>
  </si>
  <si>
    <t>GREEN FOTOVOLTAIC PARC SRL</t>
  </si>
  <si>
    <t>CENTRALA ELECTRICA FOTOVOLTAICA-CEF PLES</t>
  </si>
  <si>
    <t>stalp nr. 211,tip SC 15014,aferent LEA 20 kV PA Breasta-Brabova.</t>
  </si>
  <si>
    <t>stalp existent nr. 174,tip SC 15014,al  LEA 20 kV PA Breasta-Botosesti Paia.</t>
  </si>
  <si>
    <t>FRAVORT SRL</t>
  </si>
  <si>
    <t>CENTRALA SOLARA</t>
  </si>
  <si>
    <t>Stalpul nr.80 tip SC 15014 ex. in ax-ul LEA 20 kV Traianu-Avicola Traianu.</t>
  </si>
  <si>
    <t>COMPRESOARE 1</t>
  </si>
  <si>
    <t>Alim. de baza: stalpul nr. 3 al Rac. 20kV PTAM Compresoare din st. nr. 46 ax LEA 20kV Icoana Compresoare; ALIM. REZERVA: Din st. nr. 48 ax LEA 20kV Icoana Compresoare 2</t>
  </si>
  <si>
    <t>02.03.2021</t>
  </si>
  <si>
    <t>CAVIGNON SRL</t>
  </si>
  <si>
    <t>CENTRALA EL.FOTOVOLTAICA-IMPREJMUIRE</t>
  </si>
  <si>
    <t>stalpul nr. 22, tip SC 15006 (inlocuit cu SC 15014), al racordului 20 kV PTA Tighina din LEA 20 kV Mamura-Dragasani</t>
  </si>
  <si>
    <t>VIGOLANA SRL</t>
  </si>
  <si>
    <t>CENTR. ELECT.FOTOVOLTAICA T9 AZAL ALEXAN</t>
  </si>
  <si>
    <t>stalpul nr. 37A tip SC 15014 proiectat in ax LEA 20kV Magura Avicola Vitanesti</t>
  </si>
  <si>
    <t>SC GREEN SOLAR POWER SRL</t>
  </si>
  <si>
    <t>CENTRALA FOTOVOLTAICA BOBICESTI</t>
  </si>
  <si>
    <t>Statia de transformare 110/20kV Bals</t>
  </si>
  <si>
    <t>celuila 20kV proiectata in statia de transformare 110/20kV Bals</t>
  </si>
  <si>
    <t>ALTERNATIV INVESTMENT SOLUTIONS SRL</t>
  </si>
  <si>
    <t>LUCRARI CONSTRUIRE PARC FOTOVOLTAIC</t>
  </si>
  <si>
    <t>Statia 110/20kV Preajba</t>
  </si>
  <si>
    <t>celula 110kV proiectata in Statia 110/20kV Preajba</t>
  </si>
  <si>
    <t/>
  </si>
  <si>
    <t>SC DISPAN SRL</t>
  </si>
  <si>
    <t>PRODUCERE ENERGIE</t>
  </si>
  <si>
    <t>Derivatiei 20 kV Piatra –racord PTA CRR Piatra aferenta LEA 20 kV Viisoara-Bogdana</t>
  </si>
  <si>
    <t>stlpul nr 1 al derivatiei 20 kV Piatra –racord PTA CRR Piatra aferenta LEA 20 kV Viisoara-Bogdana</t>
  </si>
  <si>
    <t>ECO VOLTAIC SRL</t>
  </si>
  <si>
    <t>CEF MACIUCA ECO VOLTAIC</t>
  </si>
  <si>
    <t>LEA 20kV Ladesti - Balcesti, de tip SC15006 existent</t>
  </si>
  <si>
    <t>stalpul 198 al LEA 20kV Ladesti - Balcesti, de tip SC15006 existent</t>
  </si>
  <si>
    <t>BIO VANATORI SRL</t>
  </si>
  <si>
    <t>CENTRALA FOTOVOLTAICA VANATORI</t>
  </si>
  <si>
    <t>Mehedinti</t>
  </si>
  <si>
    <t>stalpul nr. 6 tip SC 15014 al rac. 20kV PTA Vinatori 3</t>
  </si>
  <si>
    <t>SC TOPGES CONSULTING SRL</t>
  </si>
  <si>
    <t>110kV in LEA Jilt-Rogojelu.</t>
  </si>
  <si>
    <t>stalpul nr. 71 110kV in LEA Jilt-Rogojelu.</t>
  </si>
  <si>
    <t>TREMALZO SRL</t>
  </si>
  <si>
    <t>DRAGANESTI-VLASCA,</t>
  </si>
  <si>
    <t xml:space="preserve"> ST 110/20 kV Draganesti Vlasca.</t>
  </si>
  <si>
    <t>Celula 20 kV ST 110/20 kV Draganesti Vlasca.</t>
  </si>
  <si>
    <t>SC CHESHAM SOLAR SRL</t>
  </si>
  <si>
    <t>la stalpul nr. 24 (SE 5) aferent Derivatiei 20kV Ciuperceni Noi aferenta LEA 20 kV Calafat Sud – Irigatii Desa</t>
  </si>
  <si>
    <t>Stalpul nr.27 (tip SE 5) al Derivatiei 20 kV Ciupercenii Noi aferenta LEA 20 kV Calafat-Irigatii Desa.</t>
  </si>
  <si>
    <t>MOREGA DRAGOS DAN</t>
  </si>
  <si>
    <t>PARC FOTOVOLTAIC IMPREJ</t>
  </si>
  <si>
    <t xml:space="preserve"> PTA Lelesti 3,</t>
  </si>
  <si>
    <t>stalpul 3 al Racordului 20kV PTA Lelesti 3, de tip SE8 existent.</t>
  </si>
  <si>
    <t xml:space="preserve">OMV PETROM SA </t>
  </si>
  <si>
    <t>Producator+Consumator</t>
  </si>
  <si>
    <t>Celulele de 6 kV din Statia 110/20/6 kV Turburea.</t>
  </si>
  <si>
    <t>24.08.2020</t>
  </si>
  <si>
    <t>28.08.2020</t>
  </si>
  <si>
    <t>SC EUROCOM-EXPANSION SA</t>
  </si>
  <si>
    <t>Stalpul nr.30 in alxul LEA 20kV Mobila Zavoi</t>
  </si>
  <si>
    <t>SC DELTA INVEST SRL</t>
  </si>
  <si>
    <t>in celula de racord 20kV existenta in PC 20kV Smart Plast Solutions</t>
  </si>
  <si>
    <t>ORAS BABENI</t>
  </si>
  <si>
    <t>PC proiectat alimentat la stilpul nr. 7 al racordul 20kV  a PTA 20/0.4kV 63kVA 72-60 Bonciu</t>
  </si>
  <si>
    <t>S.C. COMTECH CO S.R.L.</t>
  </si>
  <si>
    <t>in celula 20kV TEVI SUDATE 2 (Y30) a distribuitorului 20kV aferent statiei 110/20/6kV PORT</t>
  </si>
  <si>
    <t>ALRO S.A. SLATINA</t>
  </si>
  <si>
    <t>LEA 110KV MILCOV-AL3; LEA 110KV GRADISTE-IPA 2-AL.2-TEVI 2</t>
  </si>
  <si>
    <t>SC SAPTE SPICE SA</t>
  </si>
  <si>
    <t>Bara 20kV din PTCZ Moara grau alimentata in bucla 20kV Depozit spirtoase-Dacia Service, intre PTCZ Fabrica de caramida si PTCZ Moara porumb.</t>
  </si>
  <si>
    <t>SC BOROMIR IND SRL RM.VALCEA</t>
  </si>
  <si>
    <t>Celula de linie 20kV CL2 din PTAB Gandacesti</t>
  </si>
  <si>
    <t>HATY SRL</t>
  </si>
  <si>
    <t>celula de racord 20kV din PC Babeni 4</t>
  </si>
  <si>
    <t>SC MINET SA RM.VALCEA</t>
  </si>
  <si>
    <t>in celulele de linie 20kV ale PC Minet</t>
  </si>
  <si>
    <t>JUDETUL DOLJ</t>
  </si>
  <si>
    <t>In ST 110/20 kV ZIE Craiova, in 3 celule de linie 20 kV existente (2 celule de pe o sectie de bare si 1 celula de pe cealalta sectie de bare).</t>
  </si>
  <si>
    <t>SC  DELTA ALUMINIU  SRL</t>
  </si>
  <si>
    <t>papucii de legatura  elctrica ai LES 20kV plecare spre PTCZ DELTA ALUMINIU in celula 20kV din PC DELTA ALUMINIU</t>
  </si>
  <si>
    <t>REWE PROJEKTENTWICKLUNG ROMANIA</t>
  </si>
  <si>
    <t>celula de medie tensiune plecare catre utilizator din PC PENNY Filiasi.</t>
  </si>
  <si>
    <t>SC COMEFIN SA</t>
  </si>
  <si>
    <t>In celula 20 KV in Statia Costesti</t>
  </si>
  <si>
    <t>STECOPAL STRAT 2004 SRL</t>
  </si>
  <si>
    <t>Celula 20kV trafo T4 in PA PAL</t>
  </si>
  <si>
    <t>SPITALUL JUDETEAN ARGES</t>
  </si>
  <si>
    <t>bara I 20 kV si bara 2 20 kV din PA Spital Gavana.</t>
  </si>
  <si>
    <t>SC PLASTIC OMNIUM AUTO INERGY ROMANIA SR</t>
  </si>
  <si>
    <t>celule de linie 20 kV in staţia  110/20 kV Pitesti Nord</t>
  </si>
  <si>
    <t>SC WEBUILD S.p.A</t>
  </si>
  <si>
    <t>stalpul nr. 59A tip SC 15014 plantat in axul LEA 20 KV VALCELE -MANICESTI 2</t>
  </si>
  <si>
    <t>GESTAMP BEYCELIK ROMANIA S.R.L.</t>
  </si>
  <si>
    <t>PC 20 kV MPO existent alimentat din stalpul nr.67 tip SC15015 al liniei LEA 20 kV Mioveni-Domnesti.</t>
  </si>
  <si>
    <t>FMB PLASTICS SRL</t>
  </si>
  <si>
    <t>La stalpul nr.3 din LEA 20 kV racord PTA STATIE GAZE COLIBASI</t>
  </si>
  <si>
    <t>R.A.T SRL Tanasescu Marcel</t>
  </si>
  <si>
    <t>In PTCZ 191, in compartimentul de Medie Tensiune</t>
  </si>
  <si>
    <t>U.M. 02590 - CRAIOVA</t>
  </si>
  <si>
    <t>in celulele de racord 20kV aferente PC proiectat in bucla LES 20 KV DIF –PT 109 Craiova si LES 20 KV DIF-PT 391 Craiova</t>
  </si>
  <si>
    <t>S.C. LINEX-WOLF S.R.L. CRAIOVA</t>
  </si>
  <si>
    <t>celula 20kV Linex Wolf SRL (inscriptionata Feeder 2 Fabrica trafo 2) in distribuitorul statiei de transformare 110/20kV Filiasi</t>
  </si>
  <si>
    <t>U.M. 01047 CRAIOVA</t>
  </si>
  <si>
    <t>Celula de linie de 20 kV din PTCZ 20 KV 242 bl. 46 Valea Rosie.</t>
  </si>
  <si>
    <t>SC MALINA LUX SRL</t>
  </si>
  <si>
    <t>in celula de linie cu separator existenta in PC Malina alimentat in bucla LEA 20kV Caracal S-IRTA cu Caracal V-CARACAL N-CP1</t>
  </si>
  <si>
    <t>S.P.E.P. MUN. PITESTI</t>
  </si>
  <si>
    <t>celulele de plecare nou proiectate in Statia 110/20 kV Prundu, respectiv in PTCZ 7 Sud, plecare spre utilizator.</t>
  </si>
  <si>
    <t>S.C. GIP S.R.L. CRAIOVA</t>
  </si>
  <si>
    <t>la stalpul nr.134 al LEA 20kV Ghercesti-FNC Banu Maracine</t>
  </si>
  <si>
    <t>R.A.AEROPORTUL INTERNATIONAL  CRAIOVA</t>
  </si>
  <si>
    <t>Celula de linie de 20 kV (C12) din PC 20kV 845 High Tech; Celula de linie de 20 kV (C13) din PC 20kV 845 High Tech; stalpul nr. 7 al Derivatie 20 kV PTCZ 140 Sediu Aeroport.</t>
  </si>
  <si>
    <t>TRIBUNALUL TELEORMAN</t>
  </si>
  <si>
    <t>in PC 20kV proiectat in bucla PTAB 6063 Campus Valahia - PTM 1209 Mobilfon - PCZ Pepiniera 2</t>
  </si>
  <si>
    <t>LONGIN S.R.L.</t>
  </si>
  <si>
    <t>Alim. baza: In celula 20kV F-ca Ulei statia 110/20kVRosiori si alimentare de rezerva: din celula 20kV Centrala Termica statia 110/20kVRosiori;</t>
  </si>
  <si>
    <t>PRIMARIA PITESTI</t>
  </si>
  <si>
    <t>celula 20kV nou proiectata in distribuitorul 20kV din statia FMEP.</t>
  </si>
  <si>
    <t>celula 20kV nou proiectata in distribuitorul 20kV din statia FMEP</t>
  </si>
  <si>
    <t>S.C.NATURAL SRL SLATINA</t>
  </si>
  <si>
    <t>LES 20KV Slatina Nord Rulmenti existenta, se alimenteaza PTCZ 20/0,4KV Uniconfex</t>
  </si>
  <si>
    <t>UNITATEA MILITARA 01178</t>
  </si>
  <si>
    <t>PC pr in bucla alimentat din PTAB 39N UM si PTCZ 75 Sediul MAI</t>
  </si>
  <si>
    <t>U.M. 01662 CRAIOVA</t>
  </si>
  <si>
    <t>LES 20 kV PTAB 165 – PTCZ 115 la intersectia strazilor Vasile Alecsandri cu aleea spre PTAB 165</t>
  </si>
  <si>
    <t>BADEA GHEORGHE</t>
  </si>
  <si>
    <t>stalpul nr. 14 al derivatiei ICHV Albota.</t>
  </si>
  <si>
    <t>DINCA CLAUDIU ELTON</t>
  </si>
  <si>
    <t>Sectia A de bare din  St. 110/20 kV ZIE CRAIOVA;Sectia B de bare din  St. 110/20 kV ZIE CRAIOVA;</t>
  </si>
  <si>
    <t>O.U.A.I.MAGLAVIT</t>
  </si>
  <si>
    <t>Stalpul nr. 204 tip SE 7 al LEA 20 kV Basarabi -SRP1-11 Maglavit.</t>
  </si>
  <si>
    <t>KLASS COATING SYSTEM SRL</t>
  </si>
  <si>
    <t>stilpul nr. 7 al racordul 20kV  a PTA Bonciu</t>
  </si>
  <si>
    <t>OUAI PADINA</t>
  </si>
  <si>
    <t>racord 20 kV SPP10- stalp 42 alimentat din LEA 20 nr.3 Vj.Mare</t>
  </si>
  <si>
    <t>racord 20 kV SPP 12+13- stalp 186 alimentat din LEA 20 kV nr.7 Vanju Mare - Irigatii , cod SAP DS-HV-MP041204</t>
  </si>
  <si>
    <t>SC ELGAN AUTOMOTIVE SRL</t>
  </si>
  <si>
    <t>stalpul  210 al LEA 20 kV FMEP-CHE Prundu</t>
  </si>
  <si>
    <t>T.P.S.U.T.SRL MOTRU</t>
  </si>
  <si>
    <t>de la stalpul nr.55  al LEA 20 kV Parangu - Meri</t>
  </si>
  <si>
    <t>CAROLI FOODS GROUP SRL</t>
  </si>
  <si>
    <t>stalpul nr. 21 existent al LEA 20 KV PRUNDU-ABATOR.</t>
  </si>
  <si>
    <t>stalpul nr. 210 al LEA 20kV Stoina - Coltesti</t>
  </si>
  <si>
    <t>stalpul nr. 1 al derivatiei 20 kV Busuioci din LEA 20 kV Pojaru-Logresti</t>
  </si>
  <si>
    <t>ANIF-AGENTIA NATIONALA DE IMBUNATATIRI FUNCIARE</t>
  </si>
  <si>
    <t>stalpul nr.70  din LEA 20 KV Cujmir - Gruia, cod SAP DS-HV-MP040904</t>
  </si>
  <si>
    <t>SC DIAPLAST PRODUCTION SRL</t>
  </si>
  <si>
    <t>La stalpul nr.5A tip SC 15014 din axul Derivatiei 20kV Vila Micesti</t>
  </si>
  <si>
    <t>ELCO SRL</t>
  </si>
  <si>
    <t>in celula de racord + masura a PC 20kV proiectat in bucla 20kV Tomate 2 - PC Stadion prin sectionare LES 20kV.</t>
  </si>
  <si>
    <t>MARTUR AUTOMOTIVE SEATING AND INTERIORS</t>
  </si>
  <si>
    <t>PC 20kV – GMB, racordat din stalpul Nr.61, tip SC 15014 al liniei «LEA 20kV Pitesti Sud – Cateasca</t>
  </si>
  <si>
    <t>MUSTATA CONSTRUCT</t>
  </si>
  <si>
    <t>PC Hala Reciclare 1</t>
  </si>
  <si>
    <t>CER CLEANING EQUIPMENT</t>
  </si>
  <si>
    <t>STATIA 110/20KV ELECTROARGES</t>
  </si>
  <si>
    <t>HIGH-TECH INDUSTRY PARK CRAIOVA SA</t>
  </si>
  <si>
    <t>celula de racord MT a PC 20kV HIGH TECH (DS-TS-200008-1754).</t>
  </si>
  <si>
    <t>SC JUMBO EC. R SRL</t>
  </si>
  <si>
    <t>ORGANIZATIA UTILIZATORILOR DE APA PENTRU IRIGATII"DEVESELU"</t>
  </si>
  <si>
    <t>Stalpul nr. 44 tip SCT3533 din LEA 20KV CARACAL VEST-STUDINA.</t>
  </si>
  <si>
    <t>AVIROM PLUS SRL</t>
  </si>
  <si>
    <t>stalpul nr.8 al LEA 20kV Bucureasa - Alimentare de baza, stalpul nr.29 al LEA 20kV Danesti - Alimentare de rezerva</t>
  </si>
  <si>
    <t>DAFORA SA</t>
  </si>
  <si>
    <t>stalpul nr.89 al LEA 20kV POJARU-NOVACI</t>
  </si>
  <si>
    <t>CTPARK ALPHA SRL</t>
  </si>
  <si>
    <t>PC CTP  alimentat din stalpul nr.23 al liniei « Derivatie LEA 20 kV Silistea ,derivatie racordata  din stalpul nr.211 al liniei LEA 20 kV Pitesti Sud-Oarja II.</t>
  </si>
  <si>
    <t>ML LOGISTIC PARKS S.R.L.</t>
  </si>
  <si>
    <t>stalpul nr. 34 tip SC 15014 existent in bucla LEA 20kV Pitesti Nord-CHE Bascov</t>
  </si>
  <si>
    <t>SC AUTOLIV ROMANIA SRL</t>
  </si>
  <si>
    <t>celula  20kV aferenta  PTCZ 12.</t>
  </si>
  <si>
    <t>ORGANIZATIA UTILIZATORILOR DE APA PENTRU IRIGATII "FERMA OLT</t>
  </si>
  <si>
    <t>papucii de legatura ai conductoarelor, iesire din STE 20kV la stalpul nr. 12 tip SE8 al Racordului 20KV IAS PORCINE PIATRA OLT din stalpul 181 Ax LEA 20KV GRADISTE VALENI</t>
  </si>
  <si>
    <t>WEST-WING RETAIL SRL</t>
  </si>
  <si>
    <t>CLI 20 kV PTCZ 586 PL PT MALL B.</t>
  </si>
  <si>
    <t>CLI 20 kV PTCZ 586 PL PT MALL A.</t>
  </si>
  <si>
    <t>ELEMASTER ELECTRONIC TECHNOLOGIES RO SRL</t>
  </si>
  <si>
    <t>stalpul nr. 45 LEA 20 KV Arges Sud – Conserve Baiculesti(alimentare baza-racord 1, si stalpul nr. 87. LEA 20 KV Arges Sud – Avicola Baiculesti (alimentare rezerva-racord 2</t>
  </si>
  <si>
    <t>O.U.A.I. HIDRO CEZIENI</t>
  </si>
  <si>
    <t>Stalpul nr.237 tip SC15014 din Ax LEA 20kV Caracal Vest-Diosti</t>
  </si>
  <si>
    <t>SC TAMO KO DEVELOPMENT</t>
  </si>
  <si>
    <t>celula de plecare spre utilizator din sectia B de bare a distribuitorului de medie tensiune din Statia 110/20kV Almaj</t>
  </si>
  <si>
    <t>INST NAT DE CERCETARE -DEZV AEROSPATIALA "ELIE CARAFOLI"-I.N.C.A.S. BUCURESTI</t>
  </si>
  <si>
    <t>din celula de medie tensiune de linie nou montata in PC Aeroport(Casa Noastra)</t>
  </si>
  <si>
    <t>RECYCLING MONDO PLAST SRL</t>
  </si>
  <si>
    <t>stalp special SC 15015, nr. 70A  in ax LEA 20 kV Pitesti Nord</t>
  </si>
  <si>
    <t>Consiliul local al orasului Horezu</t>
  </si>
  <si>
    <t>Statiunea montana Varful lui Roman</t>
  </si>
  <si>
    <t>Statia 110/20kV Horezu</t>
  </si>
  <si>
    <t>Statia 110/20kV Horezu, Pmas 3,384 MW</t>
  </si>
  <si>
    <t>DEO</t>
  </si>
  <si>
    <t>8947.F19.1</t>
  </si>
  <si>
    <t>Nu exista ATR si CR. Am inscris in tabel nr. Aviz CTE de la SF si nr. Contract de finantare</t>
  </si>
  <si>
    <t>SC CENTRAL RESIDENCE 2018 SRL</t>
  </si>
  <si>
    <t>Alimentare cu energie electrica blocuri locuinte situate in Mun. Craiova, str. Calea Bucuresti, nr. 117, jud. Dolj</t>
  </si>
  <si>
    <t>DJ</t>
  </si>
  <si>
    <t>20/0.4</t>
  </si>
  <si>
    <t>Craiova Est</t>
  </si>
  <si>
    <t>Pmsa=920 KW</t>
  </si>
  <si>
    <t>DISTRIBUTIE ENERGIE OLTENIA SA</t>
  </si>
  <si>
    <t>Aviz CTE PTE 1599</t>
  </si>
  <si>
    <t>CF 20.1.DJ. 114</t>
  </si>
  <si>
    <t>14.09.2020 (Pif partial)</t>
  </si>
  <si>
    <t>Lucrare Dezvoltator</t>
  </si>
  <si>
    <t>SC AQUA ACCENT SRL</t>
  </si>
  <si>
    <t>Alimentare cu energie electrica ansamblu rezidential situat in Mun. Craiova, str. Constantin Brancoveanu nr.
114, Jud. Dolj_SC AQUA ACCENT SRL</t>
  </si>
  <si>
    <t>Craiovita</t>
  </si>
  <si>
    <t>Pmsa=336,93 KW</t>
  </si>
  <si>
    <t>Aviz CTE SF 3909</t>
  </si>
  <si>
    <t>CF 5707/F19.1</t>
  </si>
  <si>
    <t>Data:</t>
  </si>
  <si>
    <t>Codul culorilor:</t>
  </si>
  <si>
    <t>Situație studii de solutie:</t>
  </si>
  <si>
    <t>1.Transelectrica SA</t>
  </si>
  <si>
    <t>DEER</t>
  </si>
  <si>
    <t>6.Distributie Energie Oltenia SA (fost CEZ)</t>
  </si>
  <si>
    <t>5.Delgaz Grid SA (fost E.ON Moldova)</t>
  </si>
  <si>
    <t>2.E-Distributie Banat SA (fost Enel Distributie Banat)</t>
  </si>
  <si>
    <t>3.E-Distributie Dobrogea SA (fost Enel Distributie Dobrogea)</t>
  </si>
  <si>
    <t>4.E-Distributie Muntenia SA (fost Enel Distributie Muntenia)</t>
  </si>
  <si>
    <t>7.SDEE Muntenia Nord SA (Electrica Muntenia Nord)</t>
  </si>
  <si>
    <t>8.SDEE Transilvania Nord SA (Electrica Transilvania Nord)</t>
  </si>
  <si>
    <t>9.SDEE Transilvania Sud SA (Electrica Transilvania Sud)</t>
  </si>
  <si>
    <t>MAGENTA CONSTRUCT SRL</t>
  </si>
  <si>
    <t>A.E.ED- IMOBILE LOCUINTE COLECTIVE - MAGENTA CONSTRUCT SRL</t>
  </si>
  <si>
    <t>08531220</t>
  </si>
  <si>
    <t xml:space="preserve">	
08-10-2021</t>
  </si>
  <si>
    <t>Parc fotovoltaic</t>
  </si>
  <si>
    <t>Conform Lucrarii EEI-SS-711/2022 -SS revizia1, elaborata de ELECTROECHIPAMENT INDUSTRIAL SRL si avizata de E-Distributie Banat SA cu documentul  Aviz CTE nr. 02/01 /21.02.2022, t inând seama de situaţia energetică din zonă precum şi de datele solicitate de utilizator , racordarea se va realiza prin intermediul unui punct de conexiune de 20 kV, compartimentat (compartiment de racordare, compartiment(e) utilizator) în clădire pusă la dispoziţie de utilizator , cu acţionare din interior şi cu acces separat direct din exterior pentru compartimentul de racordare, inseriat in LEA 20 kV Surgani, alimentata din statia 110/20 kV Padurea Verde.  a)Lucrari pe tarif de racordare : -Plantare stalp special 12G de beton la 12 m de stalpul existent nr.196, in axul LEA 20 kV Surgani , care va fi echipat cu coronament semiorizontal, 2il compozit, STEPnv 24 kV in montaj vertical conf. DY595RO, DRV ZnO conform DY557RO, CT exterior conform DJ4476RO si Rp≤ 4Ω. Stalpul va fi amplasat conform plan de situatie anexat pe marginea canalului existent. -Plantare stalp special 12G de beton la 12 m de stalpul proiectat nr.1, in axul LEA 20 kV, care va fi echipat cu coronament semiorizontal, 2il compozit, STEPnv 24 kV in montaj vertical conf. DY595RO, DRV ZnO conform DY557RO, CT exterior conform DJ4476RO si Rp≤ 4Ω. Stalpul va fi amplasat conform plan de situatie anexat pe marginea canalului existent. - Demontare conductor OlAl 50/8 mmp intre stalpii noi proiectati pe o lungime de 12 m (trifilar) -LES 20 kV intre stalpii proiectati si PC 20 kV proiectat cu canalizare in lungime totala de 2x60 m, cu cablu de Al cu izolaţie din polietilenă reticulată (XLPE) de grosime redusă, conform DC4385 RO, 1x(3x185) mmp, montat în tub din polietilenă conform DS4247 RO. -PC 20 kV proiectat in anvelopa de beton echipat cu: -2 celule de linie motorizate 24 kV, 630A, 16 kA cu separator de sarcina in SF6 conf. DY803/416-LE ed. 2 -o celula de masura cu separator de sarcina in SF6 motorizat si grup de masura format din două transformatoare de tensiune 20/0,1 kV, clasa de precizie 0,5 şi două transformatoare de curent de 400/5A, clasa de precizie 0,2S si contor electronic trifazat static (afisaj LCD), In=5(6)A , Un=3x100/57V, clasa de precizie 0,5S dotat cu curba de sarcina si interfata de comunicatie RS 232 si modul comunicatie GSM amplasat intr-o cutie de masura; cutia de masura se va amplasa intr-o nisa cu posibilitatea vizualizarii atat de catre E-Distributie Banat cat si de catre beneficiar. -integrarea in telecontrol a celulelor de linie si masura din PC 20kV proiectat prin montarea de RGDAT-3 buc , UP 2020 LITE-1 buc, baterii acumulatori -2 buc, TSA-1 buc, router Rugged pt comunicatii 4G - CISCO IR1101, Swich-uri rugged CISCO IE-4000-8S4G-E, dulap pentru echipamente de telecomunicatii FT-045_TLC-M_ed02 - TIP B si accesoriile de conectica: Patch-cord ftp cat. 6e (lungime 1 m), Patch-cord ftp cat. 6e (lungime 10 m) Achizitia si montarea Grupului de masura ( transformatoarele de curent si de tensiune , cordon de legatura si contorul de decontare) revin in sarcina Operatorului de Distributie. Tensiunea 0,4 kV necesara telecontrolului va fi asigurata din instalatiile utilizatorului. Punctul de conexiune 20 kV va fi in anvelopa de beton amplasat pe un teren pus la dispozitie de utilizator,cu acces din domeniu public si va fi alcatuit din doua compartimente cu acces separat fiecare: unul cu acces numai pentru personalul EDB (compartiment de racordare) iar cealalalt cu acces pentru utilizator (compartiment utilizator). Anvelopa va fi prevazuta si cu nisa pentru montarea contorului de decontare cu posibilitatea vizualizarii atat de catre E-Distributie Banat cat si de catre beneficiar. b) Lucrari ce se realizeaza prin grija beneficiarului : - Anvelopa de beton compusa din doua incaperi cu acces separat fiecare, amplasata la limita de proprietate cu acces din drumul de exploatare existent, o incapere fiind pentru montarea echipamentelor 20 kV EDB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loc pentru montare ulterioara a unei celule de MT; - LES 20 kV de Cu 95 mmp, L≤ 20m între celula de măsură din compartimentul de racordare şi celula cu întrerupător din compartimentul utilizatorului ;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mediata la 10 minute.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EDB, semnalele vor fi transmise printr-un cablu special ecranat, care va face parte impreuna cu traductoarele, din instalatia de utilizare. Lungimea cablului nu trebuie sa depaseasca 20m. - LES 20kV intre PC 20kV proiectat si CEF in lungime 0,8km. - Posturi trafo si tablouri jt aferente parcului fotovoltaic - Asigurare accesului la PC 20kV proiectat pentru EDB. - Realizare drum de acces la punctul de conexiune realizat.</t>
  </si>
  <si>
    <t>VOX PROPERTY GROUP SRL</t>
  </si>
  <si>
    <t>CLADIRE LOCUINTE COLECTIVE CU 120 APARTAMENTE</t>
  </si>
  <si>
    <t>BANAT ART OF LIVING SRL</t>
  </si>
  <si>
    <t>CONSTRUCTII CU FUNCTIUNI MIXTE, CORP C1 70 AP + 1 SP. COMUN, CORP C2 35 AP+2 SAD+2 BIROURI, CORP C3 5 AP+1SAD, CORP C4 6 AP</t>
  </si>
  <si>
    <t>CITY OF MARA TREI SA</t>
  </si>
  <si>
    <t>Construire imobil S+P+11E Tronson A (115 apartamente+subsol+spatii comune+3 SAD-uri) si Tronson B (123 apartamente+spatii comune+3 SAD-uri)</t>
  </si>
  <si>
    <t>GENERAL FUTURE PROJECT S.R.L</t>
  </si>
  <si>
    <t>Imobile locuinte colective D+P+4E+Er</t>
  </si>
  <si>
    <t>SEE EXCLUSIVE DEVELOPMENT S.R.L.</t>
  </si>
  <si>
    <t>hala productie, depozitare, birouri si anexe</t>
  </si>
  <si>
    <t>BESSER ROMANIA SRL</t>
  </si>
  <si>
    <t>HALA INDUSTRIALA</t>
  </si>
  <si>
    <t>8700003222</t>
  </si>
  <si>
    <t>EDPR ROMANIA SRL</t>
  </si>
  <si>
    <t>CEF EDPR ROMANIA SRL</t>
  </si>
  <si>
    <t>In celula de 20 kV  din statia 110/20 kV Potelu</t>
  </si>
  <si>
    <t>West Power Investments</t>
  </si>
  <si>
    <t>CEF Arad</t>
  </si>
  <si>
    <t>stație nouă 400 kV Graniceri</t>
  </si>
  <si>
    <t>Transelectrica SA</t>
  </si>
  <si>
    <t>6/13061</t>
  </si>
  <si>
    <t>RTG Solar Energy</t>
  </si>
  <si>
    <t>CEF Iepuresti</t>
  </si>
  <si>
    <t>Giurgiu</t>
  </si>
  <si>
    <t>CEF SC CHESHAM SOLAR SRL</t>
  </si>
  <si>
    <t>3200078609</t>
  </si>
  <si>
    <t>CEF FRAVORT SRL</t>
  </si>
  <si>
    <t>CEF TREMALZO SRL</t>
  </si>
  <si>
    <t>AMV SOLAR SRL</t>
  </si>
  <si>
    <t>CEF AMV SOLAR SRL</t>
  </si>
  <si>
    <t>PTAB 20 KV SC AMV SOLAR HELIOS</t>
  </si>
  <si>
    <t>PA AMV alimentat de la stalpul nr.120 al LEA 20 kV Barsesti 2-Pestisani.</t>
  </si>
  <si>
    <t>HELIOS POWER BETA</t>
  </si>
  <si>
    <t>CEF HELIOS POWER BETA</t>
  </si>
  <si>
    <t>stalpul 126 LEA 20 kV Draganesti Olt-Irigatii ALHS</t>
  </si>
  <si>
    <t>HELIOS POWER-EPSILON SRL</t>
  </si>
  <si>
    <t>CEF HELIOS POWER-EPSILON SRL</t>
  </si>
  <si>
    <t>stalpul nr. 126 aferent LEA 20 kV Draganesti-Irigatii</t>
  </si>
  <si>
    <t>CLARITA RO SOLAR S.R.L.</t>
  </si>
  <si>
    <t>CEF CLARITA RO SOLAR S.R.L.</t>
  </si>
  <si>
    <t>SC PENTAROM SRL</t>
  </si>
  <si>
    <t>stalpul nr.126A tip SC 15014 existent in ax LEA 20kV Mioveni - Domnesti</t>
  </si>
  <si>
    <t>MUNICIPIUL CRAIOVA</t>
  </si>
  <si>
    <t>intre PTCZ 402 – PTCZ 403 pentru alimentare in bucla a PTAB 20/0,4 kV 1600 kVA proiectat</t>
  </si>
  <si>
    <t>WPD ROMANIA WIND FARM 04 SRL</t>
  </si>
  <si>
    <t>PARC EOLIAN BARAGANUL 1-8 MW</t>
  </si>
  <si>
    <t>BRAILA</t>
  </si>
  <si>
    <t>ST. BARAGANU 110/20 KV</t>
  </si>
  <si>
    <t>racord MT in statia Baraganu</t>
  </si>
  <si>
    <t>11.08.2021</t>
  </si>
  <si>
    <t>BRAILA WINDS ENERGY SRL</t>
  </si>
  <si>
    <t>CENTRALA ELECTRICA EOLIANA 8 MW</t>
  </si>
  <si>
    <t>ST. ROMANU 110/20 KV</t>
  </si>
  <si>
    <t>Racord LES 20kV si PT-uri noi.</t>
  </si>
  <si>
    <t>10.11.2021</t>
  </si>
  <si>
    <t>WPD ROMANIA WIND FARM 01 SRL</t>
  </si>
  <si>
    <t>PARC EOLIAN GROPENI 10 MW</t>
  </si>
  <si>
    <t>ST. GROPENI 110/20 KV</t>
  </si>
  <si>
    <t>31.08.2021</t>
  </si>
  <si>
    <t>VECTOR WIND EXPERT S.R.L.</t>
  </si>
  <si>
    <t>CEE VECTOR 24.8MW</t>
  </si>
  <si>
    <t>GALATI</t>
  </si>
  <si>
    <t>ST. SRP5 FRUMUSITA 110/20/6 KV</t>
  </si>
  <si>
    <t>Racord LES 110kV - 4,4km si statie interna 33/110kV</t>
  </si>
  <si>
    <t>19.11.2021</t>
  </si>
  <si>
    <t>DRAGHIESCU PARTNERS SRL</t>
  </si>
  <si>
    <t>CENTRALA ELECTRICA EOLIANA FOLTESTI</t>
  </si>
  <si>
    <t>ST. FOLTESTI 110/20 KV</t>
  </si>
  <si>
    <t>Racord LES 110kV si statie 110/20kV CEE Foltesti</t>
  </si>
  <si>
    <t>21.12.2021</t>
  </si>
  <si>
    <t>LIR RET:Montarea celui de-al treilea transformator in Statia Smardan;LEA 400 kV Cernavoda - Stalpu; Trecerea la 400 kV LEA 220 kV Brazi Vest - Teleajean - Stalpu si LEA 400 kV Smardan - Gutinas;reconductorare LEA 220kV Stejaru-Gheorghieni</t>
  </si>
  <si>
    <t>OMEGA EOLIAN PROJECT SRL</t>
  </si>
  <si>
    <t>Centrala electrica eoliana - 120MW</t>
  </si>
  <si>
    <t>BUZAU</t>
  </si>
  <si>
    <t>ST. STALPU-TERTI 220/110/20 KV</t>
  </si>
  <si>
    <t>2 LES 110kV si statie de transformare 110/30kV</t>
  </si>
  <si>
    <t>08.04.2022</t>
  </si>
  <si>
    <t>Reconductorare LEA 110kV Valeni-Olteni si LEA 110kV CHE Izvoarele-Maneciu</t>
  </si>
  <si>
    <t>CEE Tulucesti Nord</t>
  </si>
  <si>
    <t>ST. VANATORI 110/20 KV</t>
  </si>
  <si>
    <t>LES 110kV pana la statia noua 110/20kV CEE Tulucesti Nord</t>
  </si>
  <si>
    <t xml:space="preserve">LIR RED: reconductorare LEA 110 kV d.c. Smardan - SRP 1 Vanatori; </t>
  </si>
  <si>
    <t>LIR RET:Montarea celui de-al treilea transformator in Statia Smardan; LEA 400 kV Cernavoda - Stalpu; Trecerea la 400 kV LEA 220 kV Brazi Vest - Teleajean - Stalpu si LEA 400 kV Smardan - Gutinas; reconductorare LEA 220kV Stejaru-Gheorghieni</t>
  </si>
  <si>
    <t>CEE Tulucesti Sud</t>
  </si>
  <si>
    <t>INALTA TENSIUNE</t>
  </si>
  <si>
    <t>LES 110kV pana la statia noua 110/20kV CEE Tulucesti Sud</t>
  </si>
  <si>
    <t>DEER_MN</t>
  </si>
  <si>
    <t>DAMBOVITA</t>
  </si>
  <si>
    <t>Racord LES 20 kV si PTAB nou, tip abonat</t>
  </si>
  <si>
    <t>HORECO SERVICE SRL</t>
  </si>
  <si>
    <t>CENTRALA ELECTRICA FOTOVOLTAICA</t>
  </si>
  <si>
    <t xml:space="preserve">LEA 20 KV SMEENI </t>
  </si>
  <si>
    <t>Racordare 20 kV si PC din LEA 20 kV Smeeni</t>
  </si>
  <si>
    <t>02.11.2021</t>
  </si>
  <si>
    <t>ENERGO NATUR IMPEX SRL</t>
  </si>
  <si>
    <t xml:space="preserve">LEA 20 KV PETRESTI 2 </t>
  </si>
  <si>
    <t>CRIPVSOL ENERGY SRL</t>
  </si>
  <si>
    <t>CONSTRUIRE CENTRALA FOTOVOLTAICA 2.9 MW</t>
  </si>
  <si>
    <t xml:space="preserve">LEA 20 KV VALEA CINEPII </t>
  </si>
  <si>
    <t>Racord LES 20 kV si PC 20kV nou</t>
  </si>
  <si>
    <t>09.11.2021</t>
  </si>
  <si>
    <t>ENVOLTECO ENERGY SRL</t>
  </si>
  <si>
    <t xml:space="preserve">LEA 20 KV SPP 4 </t>
  </si>
  <si>
    <t>Racord LES 20kV si PC 20kV nou</t>
  </si>
  <si>
    <t>Dambovita</t>
  </si>
  <si>
    <t>05.11.2021</t>
  </si>
  <si>
    <t>SOLAR SYSTEM PROJECT SRL</t>
  </si>
  <si>
    <t>CENTRALA ELECTRICA HIBRIDA</t>
  </si>
  <si>
    <t>PRAHOVA</t>
  </si>
  <si>
    <t>LEA 110 KV VALEA CALUGAREASCA-URZICENI 3</t>
  </si>
  <si>
    <t>04.11.2021</t>
  </si>
  <si>
    <t>GREEN ENERGY CONSULTANCY &amp; INVESTMENTS S.R.L.</t>
  </si>
  <si>
    <t>VRANCEA</t>
  </si>
  <si>
    <t>ST. VULTURU 110/20 KV</t>
  </si>
  <si>
    <t>Retrofit celula 20kV din St Vulturu , racord LES 20kV si PC nou.</t>
  </si>
  <si>
    <t>06.01.2022</t>
  </si>
  <si>
    <t>GEBELEIZIS EOLIAN SRL</t>
  </si>
  <si>
    <t>CEF STALPU 4.95MW</t>
  </si>
  <si>
    <t>LEA 20 KV ZORESTI</t>
  </si>
  <si>
    <t>Racord LES 20kV si PC nou.</t>
  </si>
  <si>
    <t>14.01.2022</t>
  </si>
  <si>
    <t>SMART POWER GENERATION ALFA SRL</t>
  </si>
  <si>
    <t>CENTRALA ELECTRICA HIBRIDA 38.4 MW CUDALBI 2 (EOLIAN. SOLAR SI STOCARE)</t>
  </si>
  <si>
    <t>ST. CUDALBI 110/20 KV</t>
  </si>
  <si>
    <t>WATFORD SOLAR SRL</t>
  </si>
  <si>
    <t>CEF Sahateni 2</t>
  </si>
  <si>
    <t>ST. SAHATENI 110/20 KV</t>
  </si>
  <si>
    <t>Racord LES 20kV 1,5km si PC 20kV nou</t>
  </si>
  <si>
    <t>10.12.2021</t>
  </si>
  <si>
    <t>COIN DIY UNIC S.R.L.</t>
  </si>
  <si>
    <t>CENTRALA ELECTRICA FOTOVOLTAICA ZAPLAZI</t>
  </si>
  <si>
    <t>PA PC 0006 CEF_6 ZAPLAZI</t>
  </si>
  <si>
    <t>17.02.2022</t>
  </si>
  <si>
    <t>DERZELAS EOLIAN S.R.L.</t>
  </si>
  <si>
    <t>CEF 3MW Stalpu 2</t>
  </si>
  <si>
    <t>LEA 20kV Monteoru</t>
  </si>
  <si>
    <t>11.04.2022</t>
  </si>
  <si>
    <t>SOCIETATEA DE ADMINISTRARE A PARTICIPATIILOR IN ENERGIE S.A.</t>
  </si>
  <si>
    <t>CEF</t>
  </si>
  <si>
    <t>Statia 110/20kV Valea Calugareasca</t>
  </si>
  <si>
    <t>12.04.2022</t>
  </si>
  <si>
    <t>EWE FRUMUSITA SRL</t>
  </si>
  <si>
    <t>Statia 110/20kV SRP 5 Frumusita</t>
  </si>
  <si>
    <t>Racord 110kV in lungime de 3km si  statie 33/110kV-80MVA.</t>
  </si>
  <si>
    <t>18.02.2021</t>
  </si>
  <si>
    <t>Statia 110/20kV Sahateni</t>
  </si>
  <si>
    <t>ELCOCEN RESOURCES  S.R.L.</t>
  </si>
  <si>
    <t>Centrala TERMOELECTRICA CU GAZE</t>
  </si>
  <si>
    <t>ST. ANINOASA 110/20 KV</t>
  </si>
  <si>
    <t>02.03.2022</t>
  </si>
  <si>
    <t>INSTALATIE NOUA</t>
  </si>
  <si>
    <t>SPOR DE PUTERE</t>
  </si>
  <si>
    <t>17.05.2021</t>
  </si>
  <si>
    <t>02.06.2021</t>
  </si>
  <si>
    <t>TGS GERMAN ENTERPRISE SRL</t>
  </si>
  <si>
    <t>LES 20KV STICLA 1 si LES 20KV STICLA 2</t>
  </si>
  <si>
    <t>16.06.2021</t>
  </si>
  <si>
    <t>30.08.2021</t>
  </si>
  <si>
    <t>GENERAL ME.EL ELECTIC  SRL</t>
  </si>
  <si>
    <t>ST 110/20KV Movila Vulpii</t>
  </si>
  <si>
    <t>13.07.2021</t>
  </si>
  <si>
    <t>MN 890</t>
  </si>
  <si>
    <t>14.06.2021</t>
  </si>
  <si>
    <t>PLOIESTI INDUSTRIAL PARC  SA</t>
  </si>
  <si>
    <t xml:space="preserve">LES 20KV SERE 2 din ST. 110/20KV TATARANI </t>
  </si>
  <si>
    <t>BOROMIR IND SRL</t>
  </si>
  <si>
    <t>LES 6KV MOARA din PA 0012 MOARA</t>
  </si>
  <si>
    <t>22.12.2021</t>
  </si>
  <si>
    <t>ST 110/6KV BUZAU SUD</t>
  </si>
  <si>
    <t>PRAGOSA ROMANIA SRL</t>
  </si>
  <si>
    <t>Deriv. 20kV la PTA 2034 Aricesti</t>
  </si>
  <si>
    <t>06.08.2021</t>
  </si>
  <si>
    <t>14.04.2022</t>
  </si>
  <si>
    <t>INTERMEDIO GENERAL GRUP SA</t>
  </si>
  <si>
    <t>PC 20KV MOVILA VULPII</t>
  </si>
  <si>
    <t>15.07.2021</t>
  </si>
  <si>
    <t>MN 894</t>
  </si>
  <si>
    <t>18.02.2022</t>
  </si>
  <si>
    <t>08.02.2022</t>
  </si>
  <si>
    <t>09.05.2022</t>
  </si>
  <si>
    <t>02.12.2021</t>
  </si>
  <si>
    <t>17.09.2021</t>
  </si>
  <si>
    <t>28.09.2021</t>
  </si>
  <si>
    <t>15.09.2021</t>
  </si>
  <si>
    <t>19.04.2022</t>
  </si>
  <si>
    <t>26.05.2022</t>
  </si>
  <si>
    <t>05.04.2022</t>
  </si>
  <si>
    <t>15.12.2021</t>
  </si>
  <si>
    <t>ORGANIZATIA UTILIZATORILOR DE APA PENTRU IRIGATII SPP33_34 GRADISTEA</t>
  </si>
  <si>
    <t>LEA 20KV SPP 33+34</t>
  </si>
  <si>
    <t>21.01.2022</t>
  </si>
  <si>
    <t>07.02.2022</t>
  </si>
  <si>
    <t>04.05.2022</t>
  </si>
  <si>
    <t>01.03.2022</t>
  </si>
  <si>
    <t>ALEXANDRION SABER DISTILLERIES 1789 SRL</t>
  </si>
  <si>
    <t>LEA 20KV PLEASA 1</t>
  </si>
  <si>
    <t>28.02.2022</t>
  </si>
  <si>
    <t>DUCTIL SA</t>
  </si>
  <si>
    <t>30.06.2021</t>
  </si>
  <si>
    <t>MN 10047</t>
  </si>
  <si>
    <t>09.12.2021</t>
  </si>
  <si>
    <t>02.04.2021</t>
  </si>
  <si>
    <t>FORJA ROTEC SRL</t>
  </si>
  <si>
    <t>ST 110/6 KV BUZAU FUM</t>
  </si>
  <si>
    <t>27.09.2021</t>
  </si>
  <si>
    <t>POLICALITA SRL</t>
  </si>
  <si>
    <t>PC 2851 Transare Carne</t>
  </si>
  <si>
    <t>3040220205089</t>
  </si>
  <si>
    <t>18.04.2022</t>
  </si>
  <si>
    <t>CEMACON S.A.</t>
  </si>
  <si>
    <t>COGENERARE</t>
  </si>
  <si>
    <t>SALAJ</t>
  </si>
  <si>
    <t>PTAB 8147 CEMACON 2</t>
  </si>
  <si>
    <t>DEER TN</t>
  </si>
  <si>
    <t>GRENERG SRL</t>
  </si>
  <si>
    <t>BIOGAZ</t>
  </si>
  <si>
    <t>SATU MARE</t>
  </si>
  <si>
    <t>LEA 20 KV ST.CAREI 1 - CRAIDOROLT(AXA)</t>
  </si>
  <si>
    <t>06.10.2021</t>
  </si>
  <si>
    <t>GES - GREEN ENERGY SPECIALISTS</t>
  </si>
  <si>
    <t>BISTRITA NASAUD</t>
  </si>
  <si>
    <t>LEA 20 KV LECHINTA - TEACA</t>
  </si>
  <si>
    <t>21.05.2021</t>
  </si>
  <si>
    <t>COMCRIS ENERGY</t>
  </si>
  <si>
    <t>LEA 110 kV SUPLAC-SARM</t>
  </si>
  <si>
    <t>MARAMURES</t>
  </si>
  <si>
    <t>CLUJ</t>
  </si>
  <si>
    <t>06.09.2021</t>
  </si>
  <si>
    <t>GREEN ENERGY VISION SRL</t>
  </si>
  <si>
    <t>LEA 110 kV  POROLISSUM-SIMLEU</t>
  </si>
  <si>
    <t>PURE SOLAR POWER SRL</t>
  </si>
  <si>
    <t>ECO SUN ORADEA SRL</t>
  </si>
  <si>
    <t>BIHOR</t>
  </si>
  <si>
    <t>ST.110/20 KV CET II ORADEA</t>
  </si>
  <si>
    <t>23.11.2021</t>
  </si>
  <si>
    <t>TN1975</t>
  </si>
  <si>
    <t>17.12.2021</t>
  </si>
  <si>
    <t>SUNWIND ENERGY SRL</t>
  </si>
  <si>
    <t>LEA 110 KV ABATOR-TURT</t>
  </si>
  <si>
    <t>KNAUF GIPS S.R.L.</t>
  </si>
  <si>
    <t>PTZ Blocuri Victoriei Huedin:, ST. 110/20 kV Huedin</t>
  </si>
  <si>
    <t>UNITATEA MILITARA 01969 CAMPIA TURZII</t>
  </si>
  <si>
    <t>Statia 220/110/20kV Campia Turzii, PC Baza 71 Aeriana</t>
  </si>
  <si>
    <t>JUDETUL CLUJ</t>
  </si>
  <si>
    <t>LES 20 KV SUD - ORANGE</t>
  </si>
  <si>
    <t>KAUFLAND ROMANIA SCS</t>
  </si>
  <si>
    <t>BOGLAR CHAMP SRL</t>
  </si>
  <si>
    <t>SPITALUL MILITAR DE URGENTA ..DR. CONSTANTIN PAPILIAN.. CLUJ-NAPOCA</t>
  </si>
  <si>
    <t>Distribuitor LES 10 kV Gheorgheni 2 alimentat din Statia 110/20/10kV Cluj-Sud, LES 10 kV intre PTZ CMM  Pata si PTZ Cipariu 1, PTZ Spital Nlilita</t>
  </si>
  <si>
    <t>LEA 20kV Salonta-Ant</t>
  </si>
  <si>
    <t>TECHTEX SRL</t>
  </si>
  <si>
    <t>LEA 20 KV SEINI - CICARLAU</t>
  </si>
  <si>
    <t>COSMA ROMANIA S.R.L.</t>
  </si>
  <si>
    <t>PTAB 340 BAIA MARE-COZMA ROM</t>
  </si>
  <si>
    <t>NERVIA SRL</t>
  </si>
  <si>
    <t>LES 20kV, LEA 20 KV BIHARIA SACUENI</t>
  </si>
  <si>
    <t>03.11.2021</t>
  </si>
  <si>
    <t>SOBIS SOLUTIONS SRL</t>
  </si>
  <si>
    <t>CARTISOARA</t>
  </si>
  <si>
    <t>SIBIU</t>
  </si>
  <si>
    <t xml:space="preserve">LEA 20 KV CARTISOARA-CARTISAOARA1 </t>
  </si>
  <si>
    <t>LEA 20KV CARTISOARA-CARTISOARA 1 SI LEA 20KV CARTISOARA-HIDRO OLT, LEA 20 KV CARTISOARA-CARTISAOARA1 7</t>
  </si>
  <si>
    <t>DEER TS</t>
  </si>
  <si>
    <t xml:space="preserve"> CARTISOARA</t>
  </si>
  <si>
    <t>LEA 20 KV CARTISOARA-CARTISOARA 1 SI LEA 20KV CARTISOARA-HIDRO OLT, LEA 20 KV CARTISOARA-CARTISAOARA1</t>
  </si>
  <si>
    <t>SC TRANSAVIA SA</t>
  </si>
  <si>
    <t>GALDA DE JOS. OIEJDEA</t>
  </si>
  <si>
    <t>ALBA</t>
  </si>
  <si>
    <t>LEA 20 KV TEIUS 2 7D01O312</t>
  </si>
  <si>
    <t>Statia 110/20 kV BARABANT - LEA 20 kV TEIUS 2</t>
  </si>
  <si>
    <t xml:space="preserve">DERR TS </t>
  </si>
  <si>
    <t>CRISTESTI</t>
  </si>
  <si>
    <t>MURES</t>
  </si>
  <si>
    <t>GLODENI ENERGY SRL</t>
  </si>
  <si>
    <t xml:space="preserve"> GLODENI</t>
  </si>
  <si>
    <t>LEA 110 KV UNGHENI-REGHIN2</t>
  </si>
  <si>
    <t xml:space="preserve">Stație electrică nouă MT/110 kV racordată în sistem intrare - ieșire la LEA 110 kV Ungheni - Reghin CEF Glodeni Energy SRL </t>
  </si>
  <si>
    <t>BRASOV</t>
  </si>
  <si>
    <t>ML&amp;MV GREEN ENERGY SRL</t>
  </si>
  <si>
    <t xml:space="preserve"> IERNUT</t>
  </si>
  <si>
    <t>LEA 20 KV LUDUS-CIPAU</t>
  </si>
  <si>
    <t>Realizare punct de conexiune si transformare 20/0,4 kV, racordat in bucla pe LEA 20 kV Ludus – Cipau, cu executarea urmatoarelor lucrari</t>
  </si>
  <si>
    <t>MM &amp; MV FOTOSOLAR SRL</t>
  </si>
  <si>
    <t xml:space="preserve"> REGHIN</t>
  </si>
  <si>
    <t xml:space="preserve">LEA 20 KV REGHIN-RACIU </t>
  </si>
  <si>
    <t>Realizare punct de conexiune si transformare 20/0,4 kV, racordat in bucla pe LEA 20 kV Reghin – Raciu</t>
  </si>
  <si>
    <t>SUN GROW LUCIA SRL</t>
  </si>
  <si>
    <t>HARGHITA</t>
  </si>
  <si>
    <t>MEDIAS</t>
  </si>
  <si>
    <t>TARGU MURES</t>
  </si>
  <si>
    <t>HELIOLUX SRL</t>
  </si>
  <si>
    <t>PARAU</t>
  </si>
  <si>
    <t xml:space="preserve">BRASOV </t>
  </si>
  <si>
    <t>statia Parau pr., la bornele separatorului din celula trafo 110 kV spre trafo 20/110 kV (producator)</t>
  </si>
  <si>
    <t>Pentru varianta de racordare la SEN a parcului fotovoltaic se propune introducerea in bucla 110 kV existenta a unei statii electrice 20/110 kV. S-a studiat racordarea in LEA 110 kV s.c. 3x185/32 mmp Al-OL Hoghiz - Fagaras a unei statii 110 kV, prin introducerea in aliniamentul liniei a unui stalp 110 kV tip ITn 110 114. La stalpul proiectat se va realiza trecerea din LEA in LES prin 2 cabluri 110 kV, cu sectiune 500 mmp.
Acordul pentru instalarea stalpului pe terenul confom situatiei proiectate intra in grija investitorului, iar in faza ulterioara de proiectare se va obtine Autorizatie de Construire.
A) Lucrari pe tarif de racordare:
LES 110 kV:
Trecerea din LEA in LES se executa la stalpul 110 kV proiectat, prin jonctionarea fiecarei faze stanga - dreapta prin cutii terminale 110 kV compozite si DRV 110 kV cu Zn-O suspendate sub console. Racordurile electrice 110 kV pentru racordarea la SEN a CEF PARAU, se va realiza cu cabluri 110 kV, cablu monopolar 64/110 kV, cu izolatie din XLPE, protectie longo-transversala la apa, manta exterioara PE, cablu Al: A2XS(FL)2Y 500/50 Cu. Montajul cablurilor se va realiza in canalizatie subterana - canivou, iar in zonele de subtraversare se va realiza protejarea in tubulatura specifica. Racordul se va face prin LES 110 kV, lungime traseu = 1,00 km de-a lungul DE 2251 si DE 2265.
Solutia constructiva pentru statia 110 kV:
Se realizeaza statie electrica 20/110 kV echipata cu bare colectoare simple, rigide sectionate prin cupla:
- 2 celule linie echipate fiecare cu separator de linie cu 2 CLP, intreruptor 110 kV, separator de bara cu 1 CLP spre celula trafo, 3xTC 600/5/5/5/5 A, cls 0.2S, si 3 x TT 110/√3 / 0,1/√3 / 0,1/√3 / 0,1, cls 0.2, descarcatori ZnO 10 kA;
- 2 celule trafo, celula trafo completa, Un = 110 kV echipate fiecare cu separator de bara cu 1 CLP spre celula, interuptor 110 kV, 3xTC 300/5/5/5/5 A, cls 0.2S, 3 descarcatoare ZnO 10 kA, separator de linie cu 2 CLP-uri;
- 1 celula cupla echipata cu 2 separatoare cu cate 2 CLP-uri fiecare.
Pentru aceasta varianta de racordare se prevede constructia cladirii OD care va contine: camera de comanda, grup sanitar, camera baterie de acumulatoare. Se va avea in vedere dotarea camerei de comanda cu sistem antiefractie. Intreg volumul cladirii aferent camerei de comanda va fi incalzit. 
In incaperea/containerul separat(a) pentru Operatorul de Distributie vor fi amplasate panourile de protectie si comanda pentru celulele de 110 kV. Se vor prevedea servicii interne de c.a si c.c. separate pentru Operatorul de Distributie.
Statia proiectata va fi integrata in sistemul de teleconducere SAD - SCADA al Operatorului de Distrubutie. 
Se prevad functii de protectii si automatizari conf. NTE 011/12/00, realizate cu echipamente distincte pentru protectii de baza si de rezerva. Suplimentar, se vor prevedea protectie PDL pentru LEA + LES, cat si functia DRRI.
Alimentarea permanenta a serviciilor interne 0,4 kV ale O.D. se va realiza prin grija beneficiarului, din tablourile de servii interne ale acestuia, prin doua surse, avand ca rezerva un generator termic.
Pentru realizarea comunicatiei cu statiile adiacente se vor avea in vedere cutii de comunicatie, calea de comunicatie: FO - ADSS.
Se vor utiliza echipamente digitale cu functii complexe in vederea functionarii statiei fara personal, integrata in sistemul de teleconducere operativa SCADA al SDEE TS. 
Conducerea statiei (comanda - supraveghere): 
- teleconducere SCADA; 
- arhitectura sistemului: descentralizata;
- tensiunea operativa: 220 Vc.c. 
Se vor reparametriza protectiile in statiile 110 kV Hoghiz, respectiv Fagaras. Se vor executa lucrari de circuite secundare in panourile de protectii si semnalizari cu includere relee digitale pentru asigurarea noilor protectii implementate.
B) Lucrari pe fond beneficiar (producator):
Transformatoare ridicatoare:
La celulele de transformator 110 kV, prevazute in statia CEF Parau proiectata se vor racorda 2 transformatoare ridicatoare 20/110 kV, 40 MVA. Acestea se vor racorda la nivelul de 20 kV prin 2 celule medie tensiune aflate in substatia 20 kV proiectata.
Substatia 20 kV:
Conexiunea de 20 kV interioara tip container metal/beton, echipata cu celule 20 kV cu intreruptoare in vid si bare simple.
Conexiune 20 kV cu doua sectii de bare, fiecare sectie echipata identic, astfel:
- 13 celule pentru sosiri din centrala fotovoltaica;
- 1 celula alimentare trafo servicii proprii;
- 1 celula masura;
- celula alimentare grup tratare neutru; 
- 1 celula alimentare trafo 20/110 kV;
- 2 trafo servicii proprii 20/0,4 kV - 250 kVA;
- 2 grupuri tratare neutru montate la exterior;
- 2 bobine de compensare Petersen 20/√3 kV - 10 ÷ 100 A.
Valoarea curentilor capacitivi de peste 36,62 A a retelei interne a producatorului, impune instalarea unor bobine de stingere de 10 - 100 A.
Corp comanda/control: 
Statia va avea un container destinat protectiilor - comenzilor - controlului si serviciilor proprii de curent continuu si curent alternativ. Alimentarea seviciilor proprii c.c. se va face dintr-un dulap climatizat de acumulatoare performante cu gel de 220 V c.c. - 150 Ah, legat in tampon cu redresor automat. 
Serviciile proprii de c.a. se vor asigura din trafo SI 20/0,4 kV - 250 kVA si din grupuri generatoare.
Protectii: echipamente digitale cu functii complexe integrate in sistem de teleconducere SCADA. 
Se prevad functii de protectii si automatizari conf. NTE 011/12/00, realizate cu echipamente distincte pentru protectii de baza si de rezerva.
Centrala va fi capabila sa se deconecteze automat de la sistem in cazul pierderii stabilitatii. Centrala trebuie sa fie capabila sa se separe de SEN din orice punct de functionare din diagrama P-Q a grupului generator si sa functioneze cu alimentarea serviciilor proprii cel putin o ora si in conditii de insularizare peste minimul tehnic cel putin 3 ore, in vederea restaurarii functionarii SEN.
Asigurarea sincronismului cu sistemul:
Sincronizarea cu sistemul se realizeaza la nivelul modulelor generatoare (invertoarelor).
Invertoarele ce intra in componenta CEF au capabilitatea de resincronizare rapida in cazul deconectarii de la retea.
Resincronizarea modulelor generatoare se va realiza in conformitate cu planul de protectii convenit cu ORR in limita posibilitatilor tehnice ale modulelor generatoare asa cum prevede ordinul 208/2018. 
Evitarea functionarii in regim insularizat a CEF:
Modulele generatoare (invertoarele) au reglaje si setari interne ce au ca scop evitarea functionarii in regim insularizat.
Functionarea in regim insularizat a CEF va fi evitata atat prin protectiile interne existente la nivelul tuturor modulelor generatoare, cat si prin protectii redundante externe specifice ce vor fi instalate la nivelul CEF.</t>
  </si>
  <si>
    <t>TARLUNGENI</t>
  </si>
  <si>
    <t>GHIMBAV</t>
  </si>
  <si>
    <t>JF FURNIR SRL</t>
  </si>
  <si>
    <t>DIMINUARE PUTERE</t>
  </si>
  <si>
    <t>COMPANIA NATIONALA DE CAI FERATE CFR SA</t>
  </si>
  <si>
    <t>FAGARAS</t>
  </si>
  <si>
    <t>SERVICIUL PUBLIC LOCAL DE TERMOFICARE BRASOV</t>
  </si>
  <si>
    <t>PCT 25.20.09 Schulte&amp;Schmidt si in PT 58.28.13,</t>
  </si>
  <si>
    <t xml:space="preserve">Realizare Punct de Conexiune si Transformare in anvelopa 20 kV - PCT SPLT proiectat </t>
  </si>
  <si>
    <t>08.03.2021</t>
  </si>
  <si>
    <t>ASOCIATIA FUTBALL KLUB CSIKSZEREDA MIERCUREA-CIUC</t>
  </si>
  <si>
    <t>MIERCUREA-CIUC</t>
  </si>
  <si>
    <t>LES 20 kV Morii intre PA 14 si PTAB 167 Lidl</t>
  </si>
  <si>
    <t>SELIMBAR</t>
  </si>
  <si>
    <t>TARNAVENI</t>
  </si>
  <si>
    <t>HRRTR S.R.L</t>
  </si>
  <si>
    <t>LES 20KV PT 73-PT 129 MEDIAS,</t>
  </si>
  <si>
    <t>Se va monta un post de transformare compact (in anvelopa beton) PT 20/0,4kV proiectat</t>
  </si>
  <si>
    <t>04.02.2022</t>
  </si>
  <si>
    <t>COMPANIA NATIONALA DE CAI FERATE CFR S.A.</t>
  </si>
  <si>
    <t>PREDEAL</t>
  </si>
  <si>
    <t>LEA 110 kV Predeal - CFR Predeal - LEA 110 kV Bușteni - Azuga - CFR Predeal / 110 kV</t>
  </si>
  <si>
    <t>V, STATIA PREDEAL 110/20 KV</t>
  </si>
  <si>
    <t>CISNADIE</t>
  </si>
  <si>
    <t>COPSA MICA</t>
  </si>
  <si>
    <t>PIROCHIM VICTORIA SA</t>
  </si>
  <si>
    <t>Stația Victoria 110 / 6 kV, Z17 (Stația 5) / 6 kV, STATIA VICTORIA 110/6 KV</t>
  </si>
  <si>
    <t>Stația Victoria 110 / 6 kV</t>
  </si>
  <si>
    <t>08.04.2021</t>
  </si>
  <si>
    <t>AKTOR SOCIETATE TEHNICA ANONIMA (AKTOR SA) - GRECIA - SUCURSALA BUCURESTI. ROMANIA</t>
  </si>
  <si>
    <t>ORMENIS</t>
  </si>
  <si>
    <t>110 kV, la derivatie tip “T” din st. nr. 49 nou al LEA 110 kV s.c. Hoghiz – Capeni</t>
  </si>
  <si>
    <t>Statia Hoghiz</t>
  </si>
  <si>
    <t>LACROIX AMBALAJE SRL</t>
  </si>
  <si>
    <t>SIGHISOARA</t>
  </si>
  <si>
    <t>celulele nr. 4 si nr. 5 trafo, din PC 108 Sighisoara</t>
  </si>
  <si>
    <t>19.04.2021</t>
  </si>
  <si>
    <t>SCHULTE &amp; SCHMIDT REAL ESTATE SRL</t>
  </si>
  <si>
    <t>PCT SCHULTE &amp; SC</t>
  </si>
  <si>
    <t>SPOR DE PUTERE S-a solicitat un spor de putere de 1,4 MW</t>
  </si>
  <si>
    <t>18.10.2021</t>
  </si>
  <si>
    <t>IERNUT</t>
  </si>
  <si>
    <t>PETELEA</t>
  </si>
  <si>
    <t>ECOFLAM S.R.L.</t>
  </si>
  <si>
    <t>Stația 110/6 kV Astra</t>
  </si>
  <si>
    <t>06.04.2022</t>
  </si>
  <si>
    <t>VGP ZONE BRASOV SRL</t>
  </si>
  <si>
    <t>Sectiunea 1 de bare 20 kV din PCT 46.20.08 Quin - 2, PTAB 7023 20/0,4 KV PCT BRASOV</t>
  </si>
  <si>
    <t>Punct de Conexiune şi Transformare 20 kV</t>
  </si>
  <si>
    <t>GREEN PC AMBALAJE S.R.L.</t>
  </si>
  <si>
    <t>LES 20 kV – LEA 20 kV CIP Sercaia,</t>
  </si>
  <si>
    <t>intre LEA 20 kV CIP Sercaia si PCT 95 Berg Banat, LEA 20 KV SERCAIA ST FAGARAS</t>
  </si>
  <si>
    <t>QUALIS PROPERTIES SA</t>
  </si>
  <si>
    <t>celula PT+Masura din PCT 61.22.05 Modulis</t>
  </si>
  <si>
    <t>LES 20 kV de racord între PCT 61.22.05 Modulis şi PT Modulis Narciselor</t>
  </si>
  <si>
    <t>VANATORI</t>
  </si>
  <si>
    <t>LEA 110 kV HOGHIZ – MURENI</t>
  </si>
  <si>
    <t>Staţia de Subtracţiune Electrica - STE Mureni</t>
  </si>
  <si>
    <t>SC HERMANN LOGISTICS SPACE SRL</t>
  </si>
  <si>
    <t xml:space="preserve"> LES 20kV PT1 Cisnadie</t>
  </si>
  <si>
    <t>St.110/20kV Cisnadie -</t>
  </si>
  <si>
    <t>Constanta</t>
  </si>
  <si>
    <t xml:space="preserve">	
1,60085</t>
  </si>
  <si>
    <t>SC CUSTOMLINE ENERGY SRL</t>
  </si>
  <si>
    <t>CEE BALENI</t>
  </si>
  <si>
    <t>ST. BUJORU 110/20KV</t>
  </si>
  <si>
    <t>Racord 20 kV si PC 20kV proiectat.</t>
  </si>
  <si>
    <t>3050210905435</t>
  </si>
  <si>
    <t>EE PROJECT CO2</t>
  </si>
  <si>
    <t>3060210905547</t>
  </si>
  <si>
    <t>10.05.2022</t>
  </si>
  <si>
    <t>U.M. 02417</t>
  </si>
  <si>
    <t>LES 20kV Spital din Statia 110/20kV Magura</t>
  </si>
  <si>
    <t>SC SAREROM SRL</t>
  </si>
  <si>
    <t>Din Statia 110/20/6kV Turda, prin Distribuitor LES/LEA 20 kV L2 SMA, pana la PTZ Sortare Seminte</t>
  </si>
  <si>
    <t>REENERGY SOLARFUN</t>
  </si>
  <si>
    <t>MURES. SINCAI. SINCAI-FANATE. SINCAI-FINATE. fn</t>
  </si>
  <si>
    <t>LEA 20 KV RACIU-SAULIA 7D27O312</t>
  </si>
  <si>
    <t>Realizare circuit radial LEA 20 kV, racordat la derivația 20 kV PTA 1 IȘTANTĂU - Distribuitorul LEA 20 kV ȘĂULIA din Stația 110 / 20 kV Râciu, în lungime de aprox. 0,75 km prin cablu torsadat 20 kV, montat pe stâlpi de beton centrifugați. Racordul se realizeaza prin intercalarea unui stâlp special nr. 8A proiectat, echipat cu consolă de susținere (spre PTA 1 IȘTANTĂU), respectiv consolă de derivație (derivație pentru LEA 20 kV proiectată), între stâlpii nr. 8 și nr. 9 ai derivației 20 kV la PTA 1 IȘTANTĂU - Distribuitorul LEA 20 kV ȘĂULIA din Stația 110 / 20 kV Râciu. Traseul LEA 20 kV proiectat presupune traseu comun cu rețeaua de joasă tensiune existentă pe calea de acces la CEF (drum comunal DC 132). Realizarea acestui traseu necesită reamenajarea circuitelor LEA JT existente, prin reamplasarea lor pe traseu comun cu LEA 20 kV proiectată, prin montarea de conductor torsadat pe stâlpii de beton proiectați (circuitele cu conductor neizolat se înlocuiesc cu circuite cu conductor torsadat), respectiv reamenajarea branșamentelor existente pe traseul LEA JT reamplasate și demontarea LEA JT existente (stâlpi de beton vibrați, conductoare clasice). - Montare stâlp nr. 1 pr. tip SC15014 echipat cu separator derivatie, în montaj orizontal, CLP ; - Realizarea unui racord prin LEA 20 kV în sistem radial la Derivația PT 1 IȘTANTĂU - Distribuitorul LEA 20 kV ȘĂULIA din Stația 110 / 20 kV Râciu (conform soluției descrise anterior), executat cu 3 stâlpi de beton, echipați după cum urmează : - 1 stâlp pr. tip SC15014 echipat cu separator derivatie, în montaj orizontal, CLP ; - 1 stâlp pr. tip SC15014 echipat cu reanclanșator telecomandat ; - 1 stâlp pr. tip SC15014 echipat cu grup de măsură aerian 20 kV, format din 3 x (TT), 3 x (TC) și dulap măsură</t>
  </si>
  <si>
    <t>RATBV S.A.</t>
  </si>
  <si>
    <t>LES 20 kV intre PT 53.29.03 si PT 53.29.08 Soho (intercalare PCT 20 kV pr.)</t>
  </si>
  <si>
    <t>Realizare PCT 20 kV (RAT Harmanului)</t>
  </si>
  <si>
    <t>DVI PRODUCTION S.R.L.</t>
  </si>
  <si>
    <t>LEA 20 kV Luduș – Cipău</t>
  </si>
  <si>
    <t>Intercalare PC 20 kV (proiectat) prin secționarea LEA 20 kV Luduș – Cipău, intre stâlpul nr. 256A (proiectat) de la care LEA 20 kV va trece în cablu LES 20 kV (L = aprox. 520 m până la PC 20 kV pr.) spre PA Cipău (pentru inchiderea buclei) prin realizare legătură în derivație de la stâlpul nr. 263 (existent) al LEA 20 kV Luduș - Cipău, la un stâlp de derivație nou proiectat, de la care LEA 20 kV va trece în cablu LES 20 kV (L = aprox. 60 m până la PC 20 kV pr.)</t>
  </si>
  <si>
    <t>UNITATEA MILITAR_ 02310 SIBIU</t>
  </si>
  <si>
    <t>SC  ELECTROCENTRALE BORZESTI - SE BORZESTI - SC TACTIC ENERGY SRL</t>
  </si>
  <si>
    <t>STATIE 110/35/6 KV BORZESTI + Motor Wartsila II, MUN ONESTI, JUD BACAU</t>
  </si>
  <si>
    <t>SC DEDEMAN SRL</t>
  </si>
  <si>
    <t>DEPOZIT LOGISTIC, BACAU, STR. IZVOARE NR. 54, JUD. BACAU</t>
  </si>
  <si>
    <t xml:space="preserve">110/20/6kV Letea </t>
  </si>
  <si>
    <t>DUE ELLE TIMIS THREE SRL</t>
  </si>
  <si>
    <t>Centrala Electrica Fotovoltaica Satchinez</t>
  </si>
  <si>
    <t>Satchinez</t>
  </si>
  <si>
    <t>Conform lucrarii: EEI-SS-L. nr. 712/2022-revizuit editia 30.03.2022, elaborata de ELECTROECHIPAMENT INDUSTRIAL SRL si avizata de E-Distributie Banat SA cu documentul Aviz CTE nr. 12/01/30.03.2022 , tinand seama de situatia energetica din zona precum si de datele solicitate de utilizator racordarea se va realiza prin intermediul unui punct de conexiune de 20 kV, echipat conform cerintelor E-Distributie.
Punctul de conexiune 20kV va fi compartimentat (compartiment de racordare, compartiment(e) utilizator) in cladire pusa la dispozitie de beneficiar, cu actionare din interior si cu acces separat direct din exterior pentru compartimentul de racordare.
Pentru realizarea variantei de racordare prezentata mai sus sunt necesare urmatoarele lucrari:
a) Lucrari pe tarif de racordare :
· Realizare racord 20kV intrare – iesire intre punctul de racordare ( la 8,7 km de Statia de transformare 110/20kV Satchinez ) si punctul de conexiune, pe o distanta de 0,01 km;
· Montare LES dublu circuit (intrareiesire) cu cablu tip XLPE 3x(1x185mm2) pe o distanta de aproximativ 2x0.01 km intre celulele de linie LE din PC si locul de mansonare in LES 20kV Fornetti
· echipare punct de conexiune compartiment OD cu:
- 2 celule de linie (1LE) conform specificatiei ENEL DY 803/2 – RO – LE – 24 kV – 400A – 16 kA
- 1 celula de masura (1UT) pentru CEF Satchinez, cu plecare in cablu, conform specificatiei ENEL DY 803/4– RO – UT – 24 kV – 400A – 16 kA, echipata cu 2 transformatoare de curent 400/5A, cls.0,2S si 2 transformatoare de tensiune 20/0.1kV cls. 0,2;
- Loc pentru montarea unei noi celule.
· Echipamente pentru integrarea in sistemul de telecontrol EDistributie Banat SA a celulelor de linie si masura: 
-montarea de RGDAT-3 buc , UP 2020 LITE-1 buc, baterii acumulatori -2 buc, TSA-1 buc, 
- router Rugged pentru comunicatii 4G-CISCO IR1101, Swich-uri rugged CISCO IE-4000-8S4GE, dulap pentru echipamente de telecomunicatii FT-045_TLC-M - TIP B si accesoriile de conectica: Patch-cord ftp cat. 6e (lungime 1 m); Patch-cord ftp cat. 6e (lungime 10 m).
Achizitia si montarea contorului de decontare revin in sarcina Operatorului de Distributie. 
Tensiunea 0,4 kV necesara telecontrolului va fi asigurata din instalatiile utilizatorului.
Punctul de conexiune 20 kV va fi in anvelopa de beton amplasat pe un teren pus la dispozitie de utilizator,cu acces din domeniu public si va fi alcatuit din doua compartimente cu acces separat fiecare: unul cu acces numai pentru personalul EDB (compartiment de racordare) iar cealalalt cu acces pentru utilizator (compartiment utilizator).
Anvelopa va fi prevazuta si cu nisa pentru montarea contorului de decontare cu posibilitatea vizualizarii atat de catre E-Distributie Banat cat si de catre beneficiar.
b) Lucrari ce se realizeaza prin grija beneficiarului :
- Echipare punct de conexiune compartiment Utilizator, conform PD_IO 1815-EDB -PL86 “Criterii tehnice de racordare a clientilor la retelele de IT, MT, JT” si anume:
- 1 celula avand functia DG cu izolatie in aer, 24 kV – 630A – 16 kA, echipata cu separator si intreruptor, transformatoare de masurare de curent 300/5A cl. min 0,5; 10Ipn, transformator de curent homopolar tip toroidal 100/1A montat pe cablurile MT.
Intreruptorul este prevazut cu protectie digitala si modul de comunicatie integrabil in sistemul de telecontrol E Distributie Banat.
- 1 celula de abonat – sosire CEF, cu functie DI, gabarit normal cu izolatie in aer, de 24 kV – 630 A – 16 kA cu intreruptor si separator de sarcina avand mediul de stingere a arcului electric in SF6, cu cutite de legare la pamant, prevazute cu lampi de semnalizare prezenta tensiune in celula, cu rezistenta de incalzire 50 W – 220 V.c.a, cu releu de semnalizarea scurtcircuitelor mono si polifazate; TC toroidal 100/1A montat pe cablul de sosire CEF, protectii antiinsularizare;
- 1 celula trafo servicii interne, 24 kV – 400 A – 16 kA, gabarit normal cu izolatie aer, echipata cu separator de sarcina si sigurante fuzibile 6,3 A, pentru transformator de putere trifazat de 4 kVA, 20/0,4 kV.
- 1 transformator de putere trifazat, de 4 kVA, 20/0,23 kV, usc = 4%;
- 1 tablou general servicii interne abonat. - Instalatia de iluminat, prize si instalatia de legare la pamant a cladirii punctului de conexiune;
- Montare analizor pentru monitorizarea calitatii energiei electrice; echipamentul va trebui sa asigure, in principal, cerintele tehnice din FT 111_MAT "ANALIZOR STATIONAR DE CALITATE A ENERGIEI ELECTRICE".
- sistem pentru culegere informatii si transmitere a marimilor P, Q , U si pozitie intreruptor DG la DET prin dispecerul EDist ributie. In compartimentul utilizator, se vor instala traductoarele de putere active P, putere reactiva Q si tensiune U. Acestea se vor racorda in circuitele de masura ale transfomatoarelor de curent si de tensiune.
Semnalele de iesire ale traductoarelor, impreuna cu cel de pozitie al dispozitivului general DG, vor fi disponibile intr-un sir cleme.
De la sirul de cleme pana la UP2020 amplasat in compartimentul OD, semnalele vor fi transmise printr-un cabluspecial ecranat, care va face parte impreuna cu traductoarele din instalatia de utilizare.
Lungimea cablului nu va depasi 20 m.
Punctul de Conexiuni va fi prevazut cu priza de legare la pamant combinata interior-exterior, a carei rezistenta de dispersie sa fie R &lt; 4 .
Sistemul de protectie general (SPG) asociat DG cuprinde: - protectie maximala de curent cel putin pe doua faze, cu trei trepte. Prima treapta se foloseste impotriva suprasarcinii, a doua pentru a permite o functionare temporizata si a treia pentru a permite o interventie rapida;
- protectie homopolara directionala cu doua trepte (o treapta pentru punerile la pamant simple, si a doua treapta pentru duble puneri la pamant) 
Sistemul de protectie SPI asociat DI contine relee de frecventa, de tensiune si eventual de tensiune homopolara si cuprinde:
- functie protectie de tensiune minima /maxima in 2 trepte;
- functie protectie de frecventa minima /maxima in 2 trepte;
- functie de protectiede maxima de tensiune mediata la 10minute.
- Racord LES 20 kV intre PC utilizator si PC OD. Din celula DG va pleca un cablu de 20 kV Cu sectiune 3x1x95 mm²) cu L=25m si se va conecta in punctul de conexiuni 20 kV ce apartine E-Distributie Banat, celula de masura.
Realizare LES 20 kV cu cablu 20kV Al 3x95mmp cu lungimea de 1,55 km intre punctul de conexiune PC 20kV ce se va amplasa langa punctul de racordare si CEF.</t>
  </si>
  <si>
    <t>SC IRATOSU SOLAR SRL</t>
  </si>
  <si>
    <t>CENTRALA ELECTRICA FOTOVOLTAICA IRATOSU 1</t>
  </si>
  <si>
    <t>Poltura</t>
  </si>
  <si>
    <t>Conform lucrarii nr. 010710/2021 faza Studiu de Solutie, editia revizuita 3, elaborat de S.C. INFOWATT S.R.L., avizat de E-Distributie Banat SA cu Aviz CTE nr. 15/01/17.05.2022-Varianta 2-pentru care utilizatorul a optat in scris prin adresa nr.117300/15.06.2022, solutia de racordare consta in punctul de racordare la bara 20 kV Statia 110/20 kV Poltura la tensiunea 20 kV.
 a) Lucrări pe tarif de racordare:
1. Echiparea unei celule de linie 20 kV, unificata conform DY696 A, in spatiul liber – celula Nr. 26 – pe bara 2 20 kV (bara verde) Statia Poltura, izolatia barelor in aer, intrerupator in vid debrosabil, cutite pentru legarea in scurtcircuit si la pamant, transformatori de curent 300/5/5, echipamente identice cu ale celulelor de linie existente in statie, cu caracteristicile 24 kV, 1600 A, 25 kA. Protectii numerice: maximala de curent rapida, maximala de curent temporizata, homopolara. Masura energiei activa/reactiva, inductiv/capacitiva, dublu sens pentru balanta. In Statia Poltura dulapurile de balanta existente sunt ocupate integral. Este necesara montarea unui dulap de masura pentru balanta, exista spatiu necesar.
2. Echiparea compartimentului operatorului de distributie al unui punct de conexiune, în anvelopă din beton cu acţionarea echipamentelor din interior. Anvelopa din beton se realizeaza pe fondurile beneficiarului si se amplaseaza pe domeniul public, in zona Strazii Campul Linistii Arad, langa gardul Statiei Poltura, pe teren pentru care utilizatorul va obtine dreptul de folosinta.
Compartimentul operatorului de distributie se echipează cu celule modulare de medie tensiune, cu izolaţia barelor în aer, separatoarele în SF6, cu caracteristicile 50 Hz, 24 kV, 630 A, 16 kA (1s) şi configuraţia:
1. 1 buc. celula cu rol de linie, de interior, simplu sistem de bare, extensibila, independenta, conform normei DY803/4, echipata cu separator de sarcina si c.l.p., indicatoare prezenta tensiune, rezistenta anticondens si motor de actionare 24 Vcc, pentru racordare PC la Statia Poltura;
2. 1. buc. celulă cu rol de măsură, de interior, simplu sistem de bare, extensibila, independenta, conform normei DY803/M/316, echipata cu 2 transformatoare de curent 400/5clasa 0.2s, conform DM031052 RO si 2 transformatoare de tensiune 20/0.1 kV, clasa 0.5 conform DMIO31015 RO, separator de sarcina cu c.l.p., rezistenta anticondens;
3. Spaţiu de rezervă pentru o celulă modulara;
4 Tablou servicii interne si instalaţie electrică pentru priza de serviciu 230 V c.a. si iluminat;
5. Cablu 12/20 Kv, ARE4H5EX 3*1*185 mmp, cca. 35 m, in sapatura, racordat cu terminale de interior la celula din statia Poltura si la celula din PC.
Lucrari pentru integrarea in telecontrol:
Fibra optica intre celula de racord din statia de transformare si punctul de conexiune 20kV, traseu comun cu cablul de 20 kV, montarea de RGDAT-1 buc, UP 2020 LITE-1 buc, baterii acumulatori-2 buc, TSA-1 buc, Router Rugged pentru comunicatii 4G - CISCO IR1101, Swich-uri rugged CISCO IE-4000-8S4G-E, dulap pentru echipamente de telecomunicatii FT-045_TLC-M - TIP B si accesoriile de conectica: modul SFP CISCO GLC_FE-100LX-RGD de tip SM - FT-277_MAT – 2 buc, Patch-cord duplex LC/PC – E2000 APC, 2m – 2 buc, PATCH-PANNEL FO MONOMODE pentru 24 fibre oprice - E2000/APC complet echipat – 2 buc, Patch-cord ftp cat. 6e (lungime 1 m), Patch-cord ftp cat. 6e (lungime 10 m).
Daca nu exista posibilitatea de integrare a noiilor instalatii (celule MT) in sistemul de telecomunicatie existent la nivelul statiei de transformare in care se realizeaza racordarea se vor prevedea suplimentar in statie:
- dulap pentru echipamente de telecomunicatii FT-045_TLC Dulap TC tip A; - switch Cisco IE-4010-16S12P conform FT-278;
- Patchcord optic duplex multimode, LCPC_LCPC conform FT-349.
b) Lucrari ce se realizeaza prin grija beneficiarului:
Anvelopa din beton pentru un punct de conexiune.
Amenajare fundatie anvelopa si realizare priza de pamant cu dirijare de potential, Rp≤4 Ω
Anvelopa din beton se realizeaza pe fondurile beneficiarului si se amplaseaza pe domeniul public, in zona Strazii Campul Linistii Arad, langa gardul Statiei Poltura, pe teren pentru care utilizatorul va obtine dreptul de folosinta.
Punctul de conexiune se echipează cu celule modulare de medie tensiune, cu izolaţia barelor în aer, separatorul în SF6, intrerupatorul in vid, cu caracteristicile 24 kV, 630 A, 16 kA şi configuraţia:
1. 1 buc. celula de racord la PC echipata cu intrerupator, separator, c.l.p., indicator prezenta tensiunii, 3 transformatori de masura curent 200/5, 3 transformatori de masura tensiune 20/0.1 kV, rezistenta anticondens, releu numeric de protectie cu functiile I&gt;, I&gt;&gt;, F&lt;, F&gt;, U &lt;, U&gt;, Ie&gt;, Ue&gt;;
2. 1 buc. celulă cu rol de servicii interne echipata cu separator de sarcina cu c.l.p., siguranta 24 kV/600 mA, indicator prezenta tensiunii, transformator servicii interne 20/0.23 kV, 4 kVA, rezistenta anticondens;
3. 1 buc. celula de racord la CEF echipata cu intrerupator, indicator prezenta tensiunii, rezistenta anticondens, releu numeric de protectie cu functiile I&gt;&gt;, Io&gt;&gt;;
4. Tablou servicii interne TSI c.a./c.c. pentru alimentarea circuitelor rezistenţe anticondens, priza de serviciu 230 V c.a., iluminat, alimentare releu protectie;
5. Instalaţie electrică pentru priza de serviciu 230 V c.a., iluminat;
6. Analizator de calitate energie;
7. Unitate periferica pentru culegere informatii si transmitere a marimilor P, Q, U, f si pozitie intrerupator, la dispecerul operatorului de retea, transmitere date prin FO instalata pe traseul LES 20 kV de la PC la Statia Poltura;
8. Cablu 12/20 kV NA2XS(FL)2Y 3*1*120/25 mmp 11,600 km, amplasat pe domeniul public, pe cel mai scurt traseu, in zona drumurilor DJ 709 C, DN 7 – E 68 si Strada Campul Linistii Arad;
9. Cabluri 12/20 kV kV NA2XS(FL)2Y 3*1*120/25 mmp, 2 posturi de transformare ridicatoare, transformatoare cu tensiunea 0,8/20 kV, 3150 kVA, 20 invertoare 800 V, 250 kVA, cabluri c.c., cabluri c.a., prize de pamant, protectii, automatizari, instalatii de monitorizare si telecontrol si altele, aferente parcului fotovoltaic.</t>
  </si>
  <si>
    <t>ADRIAN SMADU</t>
  </si>
  <si>
    <t>LOCUINTE COLECTIVE</t>
  </si>
  <si>
    <t>Bucovina</t>
  </si>
  <si>
    <t>Consta într-un PTanvelopa 20/0,4 kV, racordat la LES 20kV 11 Bucovina intre T 52078 si T 52084, cu realizarea urmatoarelor lucrari: -In T52084 se va dezlega LES20 kv sosire din T52078 si se va racorda la celula de linie sosirea in noul post proiectat. -Din postul nou proiectat se va poza un cablu in celula de linie sosire din T52084, astfel postul nou proiectat va fi inseriat intre T52084 si T52078 -Se va poza (in domeniul public) un cablu de medie tensiune tripolar cu elice vizibila pentru montare subterana, izolat in polietilena reticulara de grosime redusa, Al 3x1x185 mmp, cu ecran in tub de aluminiu sub invelis de PVC sau PE (cf. DC 4385 RO), in lungime de 1x25m folosit pentru realizarea buclarii intre posturi. -Cablul se va poza in sapatura deschisa la o adincime de 0.8-1 m, protejat in tub de polietilena reticulara, acoperit cu un strat de nisip de 20 cm masurat de la partea superioara a tubului, semnalizat cu benzi avertizoare cf. DS 4235RO si DS 4247 RO. - post de transformare (PT) in anvelopa, 20/0,4 kV-2x630 kVA, cu gabarit pentru trafo 2x630 kVA, (cf. DG 2092RO Ed.01), echipat cu: - 2 buc celula linie 24 kV, 630 A, Isc=16 kA, cu separator de sarcina in SF6 (cf. DY 803/2), telecontrolate; PT trebuie sa permita o dezvoltare ulterioara cu inca o celula de linie; - 2 buc. celula trafo cu separator de sarcina in SF6 si sigurante (cf. DY 803/3); - 2 buc. transformator 20/0,4 kV-630 kVA cu pierderi reduse (cf. DT 796 RO); - 3 buc. tablou JT cu doua iesiri (cf. DY 3009/2 RO) echipat cu intrerupator tetrapolar automat JT, 350A (cf. DY 3102/4 RO) – 6 buc. - instalatie completa de iluminat interior/exterior si prize, tablou electric pentru servicii auxiliare, instalatie de iluminat si o priza bipolara cu întrerupator 16 A - 230 V cu siguranta automata; - rezistente in celulele MT – 3buc. si termohigrostat in PT – 3 buc.; - PT va fi amplasat astfel incat accesul in PT sa fie direct din domeniul public; - realizare priza de pamant de potential maxim 4 ohmi, 1 buc., la PT proiectat; - legaturile electrica intre bornele trafo si tablourile JT se vor realiza cu cablu unipolar de CU cu sectiunea de 150 mmp (cf. DC 4141 RO), lungime 3x(4x8) m; Circuitul 1 CF413313 blocuri 12F si 12G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250m, protejat in tub (cf. DS 4247 RO) pe toata lungimea, prevazut in PT cu adaptori pentru scurtcircuitoare; - montare firida E2+4 de distributie din poliester armat cu fibra de sticla, cu separatoare cu MPR, cu actionare pol cu pol si bare de cupru stanat, piulita fixata in bara, sistem de fixare cu coliere a cablurilor, cu soclu incastrat in beton prevazuta cu o priza de pamant de maxim 4 ohmi –E2+4 - ; - se vor monta 2 Tablouri de distributie si contorizare tip TDC13(un TDC13 la blocul 12F si un TDC 13 la blocul 12G ) - legatura electrica intre Firida E2+4 proiectata si cele 2 TDC13 proiectate se va realiza cu cablu trifazat Al 3x50+25 C (cf.DC4126RO) in lungime totala de 40m,(20m la fiecare TDC) - Fiecare TDC va fi echipat cu intrerupatoare automate tetrapolar fixe de 40 A (total 26 apartamente ) -Fiecare TDC se va lega la o priza de pamânt cu valoarea de maxim 4 ohmi realizata prin grija beneficiarului Compartimentul de alimentare al TDC va fi echipat cu cate un separator de 80A,pentru fiecare grup de cate 12 contoare (cf. FT-135_MAT),in total 4 separatoare 80A -se vor monta doua BMPTi 80A pentru spatiile comun (un BMPTi la blocul 12F si un BMPTi la blocul 12G) -montarea unui contor electronic trifazat de energie electrica 5(20)A intr-un BMPTi 80A din poliester armat cu fibra desticla (cf.FT 124_MAT si FT 133_MAT), echipat cu separator jt si intrerupator automat tetrapolar jt, In=80A, transformatoare de curent 3xTC 250/5A - legatura electrica intre Firida E2+4 proiectata si cele doua BMPTi-80A proiectate se va realiza cu cablu trifazat Al 3x50+25 C (cf.DC4126RO) in lungime totala de 40m,(20m la fiecare BMPTi) Circuitul 2 CF413316 blocurile 12I si 12H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200m, protejat in tub (cf. DS 4247 RO) pe toata lungimea, prevazut in PT cu adaptori pentru scurtcircuitoare; - montare firida E2+4 de distributie din poliester armat cu fibra de sticla, cu separatoare cu MPR, cu actionare pol cu pol si bare de cupru stanat, piulita fixata in bara, sistem de fixare cu coliere a cablurilor, cu soclu incastrat in beton, prevazuta cu o priza de pamant de maxim 4 ohmi –E2+4 - - se vor monta 2 Tablouri de distributie si contorizare tip TDC12 (un TDC12 la blocul 12I si un TDC 12 la blocul 12H) - legatura electrica intre Firida E2+4 proiectata si cele 2 TDC12 proiectate se va realiza cu cablu trifazat Al 3x50+25 C (cf.DC4126RO) in lungime totala de 50m,(25m la fiecare TDC) - Fiecare TDC va fi echipat cu intrerupatoare automate tetrapolar fixe de 40 A (total 24 apartamente ) . -Fiecare TDC se va lega la o priza de pamânt cu valoarea de maxim 4 ohmi realizata prin grija beneficiarului Compartimentul de alimentare al TDC va fi echipat cu cate un separator de 80A,pentru fiecare grup de cate 12 contoare (cf. FT-135_MAT),in total 4 separatoare 80A -se vor monta doua BMPTi 80A pentru spatiile comun (un BMPTi la blocul 12I si un BMPTi la blocul 12H) -montarea unui contor electronic trifazat de energie electrica 5(20)A intr-un BMPTi 80A din poliester armat cu fibra de sticla (cf.FT 124_MAT si FT 133_MAT), echipat cu separator jt si intrerupator automat tetrapolar jt, In=80A, transformatoare de curent 3xTC 250/5A - legatura electrica intre Firida E2+4 proiectata si cele doua BMPTi-80A proiectate se va realiza cu cablu trifazat Al 3x50+25 C (cf.DC4126RO) in lungime totala de 50m,(25m la fiecare BMPTi) Circuitul 3 CF414123 blocul 14B si 14A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60m, protejat in tub (cf. DS 4247 RO) pe toata lungimea, prevazut in PT cu adaptori pentru scurtcircuitoare; - montare firida E2+4 de distributie din poliester armat cu fibra de sticla, cu separatoare cu MPR, cu actionarepol cu pol si bare de cupru stanat, piulita fixata in bara, sistem de fixare cu coliere a cablurilor, cu soclu incastrat in beton, prevazuta cu o priza de pamant de maxim 4 ohmi –E2+4 - ; - se vor monta 2 Tablouri de distributie si contorizare tip TDC14 (un TDC14 la blocul 14B si un TDC 14 la blocul 14A ) - legatura electrica intre Firida E2+4 proiectata si cele 2 TDC14 proiectate se va realiza cu cablu trifazat Al 3x50+25 C (cf.DC4126RO) in lungime totala de 95m,(80m la TDC14 proiectat pentru 14B si 15m la TDC 14 proiectat pentru 14A) - Fiecare TDC va fi echipat cu intrerupatoare automate tetrapolar fixe de 40 A (total 28 apartamente ) .-Fiecare TDC se va lega la o priza de pamânt cu valoarea de maxim 4 ohmi realizata prin grija beneficiarului Compartimentul de alimentare al TDC va fi echipat cu cate un separator de 80A,pentru fiecare grup de cate 12 contoare (cf. FT-135_MAT),in total 4 separatoare 80A -se vor monta doua BMPTi 80A pentruspatiile comun (un BMPTi la blocul 14B si un BMPTi la blocul 14A) -montarea unui contor electronic trifazat de energie electrica 5(20)A intr-un BMPTi 80A din poliester armat cu fibra de sticla (cf.FT 124_MAT si FT 133_MAT), echipat cu separator jt si intrerupator automat tetrapolar jt, In=80A, transformatoare de curent 3xTC 250/5A - legatura electrica intre Firida E2+4 proiectata si cele doua BMPTi-80A proiectate se va realiza cu cablu trifazat Al 3x50+25 C (cf.DC4126RO) in lungime totala de 95m,( 80m la BMPTi proiectat pentru 14B si 15m la BMPTi proiectat pentru 14A) Circuitul 4 CF413314 blocurl 12E si CF413315 blocul 12D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250m, protejat in tub (cf. DS 4247RO) pe toata lungimea, prevazut in PT cu adaptori pentru scurtcircuitoare; - montare firida E2+4 de distributie din poliester armat cu fibra de sticla, cu separatoare cu MPR, cu actionare pol cu pol si bare de cupru stanat, piulita fixata in bara, sistem de fixare cu coliere a cablurilor, cu soclu incastrat in beton, prevazuta cu o priza de pamant de maxim 4 ohmi –E2+4 - ; - se vor monta 2 Tablouri de distributie si contorizare tip TDC12 (un TDC12 la blocul 12E si un TDC 12 la blocul 12D) - legatura electrica intre Firida E2+4 proiectata si cele 2 TDC12 proiectate se va realiza cu cablu trifazat Al 3x50+25 C (cf.DC4126RO) in lungime totala de 55m,( 45m la TDC12 proiectat pentru blocul 12D si 10m la TDC12 proiectat pentru blocul 12E ) - Fiecare TDC va fi echipat cu intrerupatoare automate tetrapolar fixe de 40 A (total 24 apartamente ) .-Fiecare TDC se va lega la o priza de pamânt cu valoarea de maxim 4 ohmi realizata prin grija beneficiarului Compartimentul de alimentare al TDC va fi echipat cu cate un separator de 80A,pentru fiecare grup de cate 12 contoare (cf. FT-135_MAT),in total 4 separatoare 80A -se vor monta doua BMPTi 80A pentru spatiile comun (un BMPTi la blocul 12E si un BMPTi la blocul 12D) -montarea unui contor electronic trifazat de energie electrica 5(20)A intr-un BMPTi 80A din poliester armat cu fibra de sticla (cf.FT 124_MAT si FT 133_MAT), echipat cu separator jt si intrerupator automat tetrapolar jt, In=80A, transformatoare de curent 3xTC 250/5A - legatura electrica intre Firida E2+4 proiectata si cele doua BMPTi-80A proiectate se va realiza cu cablu trifazat Al 3x50+25 C (cf.DC4126RO) in lungime totala de 55m,( 45m la BMPTi proiectat pentru blocul 12D si 10m la BMPTi proiectat pentru blocul 12E) Circuitul 5 CF413321 12C,CF413322 12B, CF413323 12A, CF413324 8A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150m, protejat in tub (cf. DS 4247 RO) pe toata lungimea, prevazut in PT cu adaptori pentru scurtcircuitoare; - montare firida E2+4 de distributie din poliester armat cu fibra de sticla, cu separatoare cu MPR, cu actionare pol cu pol si bare de cupru stanat, piulita fixata in bara, sistem de fixare cu coliere a cablurilor, cu soclu incastrat in beton, prevazuta cu o priza de pamant de maxim 4 ohmi –E2+4 - ; - se vor monta 4 Tablouri de distributie si contorizare tip (3xTDC12 si 1xTDC8) - legatura electrica intre Firida E2+4 proiectata si cele 4 TDC-uri proiectate se va realiza cu cablu trifazat Al 3x50+25 C (cf.DC4126RO) in lungime totala de 200m,(25m la TDC12 proiectat pentru blocul 12C , 25m la TDC12 proiectat pentru blocul 12B, 65m la TDC12 proiectat pentru blocul 12A, 85m la TDC8 proietat pentru blocul 8A) - Fiecare TDC va fi echipat cu intrerupatoare automate tetrapolar fixe de 40 A (total 44 apartamente ) .-Fiecare TDC se va lega la o priza de pamânt cu valoarea de maxim 4 ohmi realizata prin grija beneficiarului Compartimentul de alimentare al TDC va fi echipat cu cate un separator de 80A,pentru fiecare grup de cate 12 contoare (cf. FT-135_MAT),in total 4 separatoare 80A -se va monta un BMPTi 80A spatiul comun pentru blocul 12C -montarea unui contor electronic trifazat de energie electrica 5(20)A intr-un BMPTi 80A din poliester armat cu fibra de sticla (cf.FT 124_MAT si FT 133_MAT), echipat cu separator jt si intrerupator automat tetrapolar jt, In=80A, transformatoare de curent 3xTC 250/5A - legatura electrica intre Firida E2+4 proiectata si cele doua BMPTi-80A proiectate se va realiza cu cablu trifazat Al 3x50+25 C (cf.DC4126RO) in lungime totala de 25m Circuitul 6 CF413321 12C ,CF413322 12B, CF413323 12A, CF413324 8A - legatura electrica intre intrerupatorul tetrapolar automat JT, 350A din postul de transformare (PT) proiectat si firida E2+4 de distributieproiectata se va realiza cu cablu tetrapolar cu elice vizibila cu conductoare Al3x240+150N , izolate cu cauciuc sub manta de PVC (cf. DC 4146 RO), lungime 150m, protejat in tub (cf. DS 4247 RO) pe toata lungimea, prevazut in PT cu adaptori pentru scurtcircuitoare; - montare firida E2+4 de distributie din poliester armat cu fibra de sticla, cu separatoare cu MPR, cu actionare pol cu pol si bare de cupru stanat, piulita fixata in bara, sistem de fixare cu coliere a cablurilor, cu soclu incastrat in beton,prevazuta cu o priza de pamant de maxim 4 ohmi –E2+4 - ; -se vor monta patru BMPTi 80A , 3 pentru spatiile comun si 1 pentru spatiu comercial -montarea unui contor electronic trifazat de energie electrica 5(20)A intr-un BMPTi 80A din poliester armat cu fibra de sticla (cf.FT 124_MAT si FT 133_MAT), echipat cu separator jt si intrerupator automat tetrapolar jt, In=80A, transformatoare de curent 3xTC 250/5A -legatura electrica intre Firida E2+4 proiectata si cele patru BMPTi-80A proiectate se va realiza cu cablu trifazat Al 3x50+25 C (cf.DC4126RO) in lungime totala de 180m,( 30m la un BMPTi pentru blocul 12A , 35m la un BMPTi proiectat pentru blocul 8A , 35m la un BMPTi proiectat pentru spatial commercial de la blocul 8A , 80m la un BMPTi proiectat pentru blocul 12B) In cazul in care instalatia de racordare si/sau deviere ocupa/traverseaza terenuri private se vor constitui/recunoaste drepturile reale de superficie/uz si servitute, dupa caz, in favoarea Enel, aferente imobilelor afectate de instalatia de racordare/capacitatile deviate. - Materialele si echipamentele care se utilizeaza la realizarea instalatiei trebuie sa fie conforme cu cerintele din specificatiile tehnice unificate ENEL. Celelalte materiale si echipamente pentru care nu sunt elaborate specificatii tehnice unificate, trebuie sa fie noi, compatibile cu starea tehnica a instalatiei, sa indeplineasca cerintele specifice de fiabilitate si siguranta.</t>
  </si>
  <si>
    <t>SEDAKO GROUP SRL</t>
  </si>
  <si>
    <t>Locuinte colective cu 201 ap. , 10 spatii comerciale si amenajari parcari</t>
  </si>
  <si>
    <t>Dumbravita</t>
  </si>
  <si>
    <t>Conform chestionarului energetic se solicita urmatoarele date: - factorul de putere mediu la care vor functiona consumatorii: cos φ = 0,92 Ţinând cont de prevederile normativului PE132/2003 „Normativ pentru proiectarea reţelelor electrice de distribuţie publică”, pentru calculul de dimensionare a reţelelor a rezultat o putere maxim simultan absorbită în zona de studiu de: Puterea maxim simultan absorbita va fi de 596,27 kW ( 550,92 kVA). Conform PE 132/2003 pentru puterile de calcul s-au luat in considerare puterile active si de calcul cf. tabelului 1 – mediu Urban. Situatia energetica existenta a zonei La cca 100 m de obiectivul studiat exista LES 20 kV nr.11 Dumbravita, alimentat din statia 110/20 kV Dumbravita. LES 20 kV nr.11 Dumbravita poate prelua puterea solicitata. Tinând seama de situaţia energetică existenta si de datele solicitate prin cererea de racordare 08923553, asamblul de locuinte va fi alimentat dintr-un post trafo 20/0,4 kV 630 kVA proiectat ce se va inseria intre T 52079 si T51997 in LES 20 kV existent nr.11 racordat in statia 110/20/10 kV Dumbravita. Pentru realizarea solutiei de alimentare sunt necesare realizarea urmatoarelor lucrari: - 2xLES 20 kV proiectat, cu cablu tripolar de MT cu conductoare de Al pentru montare subterana ,3x1x185 mmp conform DC4385/2 RO, de la locul mansonarii pana la PT proiectat in lungime de 2x0,1 km. - PT in anvelopa de tipul 20/0,4 kV -trafo de 630 kVA care se va amplasa pe terenul beneficiarului si care se va echipa cu : _-2 celule de linie 24 kV,Isc=16 kA ,cu separator de sarcina in SF6 ,cf. DY 803/2-LE, ed.3 _-1 celula de trafo cu separator de sarcina in SF6,cf. DY 803/3-T, ed.3 _-1 transformator 20/0,4 kV -630 kVA , conf.GST 001 _-2 tablouri j.t echipate cu intrerupatoare pentru realizarea a 4 circuite j.t din care: -2 tablouri j.t cf. DY 3011 echipat cu 4 buc. intrerupator de 350 A cf. DY 3102 RO - legaturile electrice intre bornele trafo si tablourile j.t se vor realiza cu cabluri de cupru cu sectiunea de 150 mmp . -montare termo-higrostat cf. FT169MAT si sistem de incalzire pentru celule MT cf. FT170MAT. Din cele 2 tablouri de j.t alimentate de la bornele transformatorului se vor realiza 4 circuite: - circuitul 1 va alimenta corpul I: SAD 1, SAD 2, un spatiu comun si 52 apartamente. Intre intrerupatorul din PT de 350 A si firida E2+6 se va folosi cablu subteran trifazat Al 3x240+150 N cf. DC 4146 RO. Intre firida E2+6 si 2xTDC 17M, TDC 18M, s-a prevazut Al 3x50+25 N cf.DC 4126 RO. Intre firida E2+6 si TDC 2T, BMPT s-a prevazut Al 3x25+16C cf.DC 4126 RO. S-au prevazut: cablu Al3x240+150 N in lungime totala cca.0,7 km, Al 3x50+25 C in lungime totala de 0,060 km, Al 3x25+16 C in lungime totala de 0,040 km, TDC 17M-2 buc. , TDC 18M-1 buc. , TDC 2T-1 buc. si BMPT-1 buc. se vor monta la parter intr-o camera tehnica pusa la dispozitie de beneficiar. - circuitul 2 va alimenta corpul J: SAD 1, SAD 2, un spatiu comun si 44 apartamente. Intre intrerupatorul din PT de 350 A si firida E2+6 se va folosi cablu subteran trifazat Al 3x240+150 N cf. DC 4146 RO. Intre firida E2+6 si 2xTDC 15M, TDC 14M, s-a prevazut Al 3x50+25 N cf.DC 4126 RO. Intre firida E2+6 si TDC 2T, BMPT s-a prevazut Al 3x25+16C cf.DC 4126 RO. S-au prevazut: cablu Al3x240+150 N in lungime totala cca.0,7 km, Al 3x50+25 C in lungime totala de 0,060 km, Al 3x25+16 C in lungime totala de 0,040 km, TDC 15M-2 buc. , TDC 14M-1 buc. , TDC 2T-1 buc. si BMPT-1 buc. si se vor monta la parter intr-o camera tehnica pusa la dispozitie de beneficiar. - circuitul 3 va alimenta corpul K: SAD 1, SAD 2, SAD 3, un spatiu comun si 53 apartamente. Intre intrerupatorul din PT de 350 A si firida E2+6 se va folosi cablu subteran trifazat Al 3x240+150 N cf. DC 4146 RO. Intre firida E2+6 si 2xTDC 18M, TDC 17M, s-a prevazut Al 3x50+25 N cf.DC 4126 RO. Intre firida E2+6 si TDC 3T, BMPT s-a prevazut Al 3x25+16C cf.DC 4126 RO. S-au prevazut: cablu Al3x240+150 N in lungime totala cca.0,4 km, Al 3x50+25 C in lungime totala de 0,060 km, Al 3x25+16 C in lungime totala de 0,040 km, TDC 18M-2 buc. , TDC 17M-1 buc. , TDC 3T-1 buc. si BMPT-1 buc. se vor monta la parter intr-o camera tehnica pusa la dispozitie de beneficiar. - circuitul 4 va alimenta corpul L: SAD 1, SAD 2&lt;(&gt;,&lt;)&gt; SAD 3, un spatiu comun si 52 apartamente. Intre intrerupatorul din PT de 350 A si firida E2+6 se va folosi cablu subteran trifazat Al 3x240+150 N cf. DC 4146 RO. Intre firida E2+6 si 2xTDC 17M, TDC 18M, s-a prevazut Al 3x50+25 N cf.DC 4126 RO. Intre firida E2+6 si TDC 3T, BMPT s-a prevazut Al 3x25+16C cf.DC 4126 RO. S-au prevazut: cablu Al3x240+150 N in lungime totala cca.0,4 km, Al 3x50+25 C in lungime totala de 0,060 km, Al 3x25+16 C in lungime totala de0,040 km, TDC 17M-2 buc. , TDC 18M-1 buc. , TDC 3T-1 buc. si BMPT-1 buc. se vor monta la parter intr-o camera tehnica pusa la dispozitie de beneficiar.</t>
  </si>
  <si>
    <t>INLAND PROPERTY SRL</t>
  </si>
  <si>
    <t>imobil</t>
  </si>
  <si>
    <t>Cetate</t>
  </si>
  <si>
    <t>Conform Fs 7421/2021- ansamblul de locuinte va fi alimentat dintr-un post trafo 20/0,4 kV-2x400 kVA proiectat care se va inseria in LES 20 kV existenta nr. 12 racordata in Statia 110/20 kV Cetate, tronsonul cuprins intre Statia 110/20 kV Cetate si PT 52103. Pentru realizarea solutiei de alimentare sunt necesare realizarea urmatoarelor lucrari : 1.,,Lucrari pe tarif de racordare conform ORD 59/2013, ce vor deveni proprietatea E-DISTRIBUTIE BANAT : -identificare in teren a LES 20 kV nr. 12 racordata in Statia 110/20 kV Cetate pe tronsonul cuprins intre Statia 110/20 kV Cetate si PT 52103. -LES 20 kV ( 2 cabluri in profil ) proiectat pe un traseu in lungime de cca. 0,150 km realizat cu cablu tripolar de medie tensiune cu conductoare de Al pentru montare subterana ,izolat in polietilena reticulara de grosime redusa ,cu ecran in tub de Al sub invelis de PE ,3x185 mmp (conform DC 4385 RO), de la locul sectionarii pana la PT Anvelopa proiectat in zona obiectivului, -1 buc. PT in Anvelopa de tipul 20/0,4 kV – 2x 400 kVA proiectate cf. DG 2092 RO care se va amplasa pe terenul beneficiarului si care se vor echipa cu: _-2 buc celule linie 24 kV, 400 A, Isc=16 kA, cu separator de sarcina in SF6, cf. DY 803/416-LE - loc ptr a treia celula linie _- 2 buc.celule trafo cu separator de sarcina in SF6 si sigurante, cf. DY 803/216-T, _- 2 buc. transformatoare 20/0,4 kV-400 kVA cu pierderi reduse, cf. GST001 _- tablouri j.t. echipate cu intrerupatoare cf. specificatiilor Enel; pe trofo 1 se vor monta 2 tablouri jt in care se vor racorda apartamentele, 1 SAD si spatiile comune de la corpul A, consumatorii vitali si statiile de incarcare electrice iar pe trafo 2 se va monta 1 tablou jt in care se vor racorda apartamentele corp B si C, 4 sad-uri si 2 spatii comune _- cleme de scurtcircuit pe plecarile din tablourile j.t. _- legaturile electrice intre bornele trafo si tablourile j.t. se vor realiza cu cabluri de Cu cu sectiunea de 240 mmp cf. DC4141/7 RO _- montare echipamente de telecontrol cf. specificatiilor Enel ( UP standard pentru PT cf. DX1215RO, modul GSM cf. DX1226RO, antena cf. DN760RO, acumulatori cf. DY815RO) _- termo higrostat (FT169 MAT-ED.01) si sistem de incalzire ptr celulele mt (FT 170 MAT ED.01) _- realizarea unei prize de pamant exterioare si a unei prize de pamant interioare _- instalatie interioara de iluminat si prize Distributia pe j.t. din tablourile j.t. alimentate de pe bornele trafo pana la firidele de distributie si cutiile de masura proiectate se va realiza cu: - cabluri j.t. de tipul : Al 3x150+50 C cf. DC 4126 RO in lungime totala de 0,310 km, Distributia pe j.t. din firidele de distributie pana la TDC-uri se va realiza cu: - cabluri j.t. de tipul : Al 3x50+25 C cf. DC 4126 RO in lungime totala de 0,110 km, - 3 firide de distributie realizate cu separatoare verticale pol cu pol, patroane fuzibile max. 250 A, sistem de bare de cupru stanat tip E2+3 (1 buc.), E2+4 ( 2 buc.) care se vor amplasa la subsol in zonele destinate contorizarii la fiecare corp de bloc, cf. planului de situatie anexat - TDC 2 -3 buc, TDC 17-1 buc, TDC 19 – 3 buc, TDC 20- 1 buc, echipate cf. FT 134_MAT si care se vor amplasa in zona TDC cf plan de situatie, - BMPTd 80 A, ( 3 buc.), echipate cf. FT 124_MAT ed.03, ptr alimentarea spatiilor comune si casa scarii -cutii de masura – 2 buc. ptr alimentarea consumatorilor vitali si statiilor de incarcare electrice; cutiile de masura vor fi de tipul BMPTS1 (cf. DS 4558RO) cu ansamblu de masura 125/5A (cf.DMI 031055RO) reglata ptr un curent de 250/5A, montate pe un soclu. Toate cablurile se vor poza in tub de protectie conform DS 4235 RO si DS 4247 RO. Toate firidele, TDC-urile si cutiile de masura se vor lega la prize de pamant de potential maxim 10 ohmi.</t>
  </si>
  <si>
    <t>OVIDIUS CLINICAL HOSPITAL SRL</t>
  </si>
  <si>
    <t>IMOBIL CU FUNCTIUNE MEDICALA SPITAL D+P+3E</t>
  </si>
  <si>
    <t>09771504</t>
  </si>
  <si>
    <t>Sitorman</t>
  </si>
  <si>
    <t>Tulcea Vest</t>
  </si>
  <si>
    <t xml:space="preserve">	
CONSTANTA</t>
  </si>
  <si>
    <t>GRAN VIA GHENCEA SUD S.R.L.</t>
  </si>
  <si>
    <t>A.E.E. ANSAMBLU REZIDENTIAL 5 BLOCURI S+P+19E+ Et.- GRAN VIA GHENCEA SUD S.R.L.</t>
  </si>
  <si>
    <t xml:space="preserve">	
09484402</t>
  </si>
  <si>
    <t>UNIVERSITATEA POLITEHNICA BUCURESTI - AC TIVITATE ECONOMICA</t>
  </si>
  <si>
    <t>Scoala POLITEHNICA – Noul Local, Hala Multifunctionala si Garaj Auto – Noul Local, Alimentare cu apa din surse subterane – Noul Local, Centru Spiritual – Noul Local, Instalatie fotovoltaica – Facultatea de Energetica</t>
  </si>
  <si>
    <t>S10 IPB 1-COTROCENI CEL 40 BUC NOUA</t>
  </si>
  <si>
    <t>Solutia de racordare pentru solicitarea  UPB stabilita de E-Distributie Muntenia in lucrarea nr. 76/2021-rev.5 (Aviz CTE nr.10/MT/1-10.03.2022- VARIANTA nr.3)se va realiza astfel: Conform chestionarului energetic depus de beneficiar, s-au solicitat: Putere instalata: 25870 kW Puterea maxim simultan debitata la nivel de loc de producere: Pa/Sa=1698 kW/1698 kVA, din care spor de putere 98kW; Puterea maxim simultan produsa CEF in cc fara debitare in sistem : 66kW; Puterea absorbita la nivel de loc de consum: Pa/Sa=5680,76 kW/6311,96 kVA, din care spor de putere 906,76kW; Puterea absorbita la nivelul retelei de medie tensiune : Pa/Sa= 5112,68 kW/5680,76 kVA; Puterea maxim simultan absorbita la nivelul statiei de transformare: Pa/Sa=4090,15 kW / 4544,61 kVA. U, tensiunea de utilizare: 0,4kV ; Frecventa: 50Hz; Factor de putere: 0 ,9 Pentru consumatorii vitali(statia de pompe apa incendiu, desfumarea mecanica, liftul pentru pompieri, sistemele de securitate , etc.) este prevazut grup electrogen .Cerinte pentru continuitatea alimentarii cu energie electrica: conform Standardului de performanta pentru serviciul de distributie a energiei electrice. Lungimile retelei in cablu a instalatiei consumatorului, care functioneaza la tensiunea din punctul de delimitare: 2.05km Lucrari pe tarif de racordare: Preluarea consumatorului UPB, existent+spor, se va prelua pe cei doi feederi 10kV existenti, racordati in statiile Militari si Cotroceni. Se va mentine punctul de alimentare existent , in care se vor inlocui reductorii de curent existenti 300/5/5A/A, cu reductori de curent 400/5/5A/A, cls. 0,2S/10P. Se vor reface reglajele pe celulele de feder conform fisei de reglaj ce va fi intocmita de E-DISTRIBUTIE MUNTENIA S.A. , la solicitarea utilizatorului/executantului lucrarilor. Lucrari in afara tarifului de racordare: Date despre CEF: In instalatia de utilizare, pe cladirea Facultatii de ENERGETICA se va monta un sistem fotovoltaic cu o putere produsa in curent continuu de maxim 66kW fara debitare in sistem. Sistemul fotovoltaic este racordat in TDjt aferent postului de transformare PT1 Electrotehnica, intreaga energie produsa consumandu-se la nivelul TDJT aferent postului de transformare. Se vor folosi urmatoarele tipuri de invertoare: - FRONIUS SYMO 15.0-3-M si 5.0-3-M, - HUAWEI SUN2000 10KTL-M1 - se regaseste in lista de invertoare ENEL, - HUAWEI SUN2000 10KTL-M0 – se regaseste in lista de invertoare ENEL, - Victron - Quattro 48/15000/200-100/100, - Victron - Multiplus 48/5000/70-100. Confrom raspuns ANRE nr. 36741/25.02.2022, centrala fotovoltaica se incadreaza in clasa A. In conformitate cu cererea 08069099 depusa de utilizator, puterea generata de instalatia fotovoltaica se va consuma local, neinjectanduse in reteaua operatorului de retea. Instalatia fotovoltaica va fi prevazuta cu urmatoarele protectii: - protectie maxima tensiune temporizata; - protectie minima tensiune temporizata; - protectie minima tensiune temporizata Factor de putere mediu ( cos φ) la care va functiona consumatorul este 0,9. Grupuri generatoare: Cele doua grupuri de cogenerare se vor racorda la PA UPB in doua celule 10kV nr. 11 si nr. 13 existente, in locul grupurilor vechi, prin intermediul unui transformator ridicator 0.4/10kV 1600kVA, existent/fiecare grup. Celulele 10kV nr.11 si 13 sunt echipate cu : - intrerupator 24kV, 630A, 16kA tip EVOLIS ; - separator bare 10kV, 1250A ; - terminal numeric de protectie; - 2 trafo tensiune 10/0.1kV. ,,Intrerupatoarele din celulele de 10kV nr.11 si 13 vor avea rolul de dispozitiv de interfata si se vor prevede cu urmatoarele protectii SPI: - protectie maxima tensiune temporizata: - protectie maxima tensiune rapida: - protectie minima tensiune temporizata: - protectie minima tensiune rapida: - protectie maxima frecventa: - protectie minima frecventa: - protectie la variatia frecventei df/dt: - protectie maximala de tensiune homopolara MT. ,,Automatizarea AAR 10kV, trebuie completata cu blocaje la functionarea protectiilor in instalatiile proprii, deoarece exista riscul ramanerii totale fara tensiune la defecte pe barele PA UPB. ,,Celelate valori de reglaj din statia de conexiuni UPB, prevazute pentru protectia instalatiilor proprii, se vor coordona de catre utilizator cu reglajele dispuse de catre E-Distributie Muntenia SA pentru a fi anexate conventiilor de exploatare. ,,Se va realiza o instalatie de DRRI astfel incat la refuzul declansarii intrerupatorului MT aferent celulelor de grup sa fie declansate in 0,2 secunde intrerupatoarele de cupla longitudinala. ,,Fiecare grup de cogenerare este prevazut cu un tablou jt echipat cu intrerupator jt 2000A,acesta avand rolul de DGEN. Conform specificatiei, grupul generator este prevazut cu urmatoarele protectii SPG : ,,- protectie la suprasarcina aferenta intrerupatorului principal ; valoarea de reglaj, ca si timpul de actionare a protectiei avand ca rezultat deconectarea intrerupatorului vor fi stabilite de catre furnizorul grupului ; ,,- protectie la scurtcircuit va asigura deconectarea grupului fara temporizare la un defect intre grup si tabloul nou realizat ; ,,- protectie la minima tensiune; ,,- protectie la maxima tensiune; ,,- protectie la tensiuni asimetrice ; ,,- protectie la curent de dezechilibru ; ,,- protectie la iesirea din functiune a excitatiei ; ,,- protectie la minima frecventa; ,,- protectie la maxima frecventa. ,,Toate protectiile vor determina deconectarea intrerupatorului din tabloul de jt aferent fiecarui generator. In conformitate cu specificatiile tehnice ale furnizorului grupului pe langa protectiile mentionate cu specific electric furnitura va mai cuprinde si protectiile care vor duce la intreruperea totala a centralei : Ø,, pentru toata centrala : ,,,,- oprire de urgenta, ,,,,- detectare de gaze, ,,,,- incendiu, Ø,, pentru motor : ,,,,- oprire de urgenta, ,,,,- suprasaturatie, ,,,,- monitorizarea aprinderii, ,,,,- depasirea presiunii apei,declansarea intrerupatorului principal in urma unui scurtcircuit, suprasarcini , etc. </t>
  </si>
  <si>
    <t>08069099</t>
  </si>
  <si>
    <t>CTPARK PHI SRL</t>
  </si>
  <si>
    <t>HALE+CEF-CTPARK BUCHAREST WEST 1.1MW</t>
  </si>
  <si>
    <t>S20 RISKONSULTING-ARCUDA GR</t>
  </si>
  <si>
    <t>Conform ATR nr. 188129066 din 28.07.2017/ CER RO001E131382149/1-12.02.2018 consumatorul este alimentat prin intermediul punctului de conexiune PC 1493 prin racord dublu intrare-iesire in LES 20kV U Managm 1 (intre Statia Arcuda si PC1444) respectiv LES 20kV RISCONSULTING (intre Statia Arcuda si PC1446 ).</t>
  </si>
  <si>
    <t>09413800</t>
  </si>
  <si>
    <t xml:space="preserve">	
16.05.2022</t>
  </si>
  <si>
    <t>CEF Văcărești</t>
  </si>
  <si>
    <t>Dâmbovița</t>
  </si>
  <si>
    <t>CIC GREEN ENERGY BETA SRL</t>
  </si>
  <si>
    <t>Chimcomplex SA Borzesti Suc. Rm. Valcea</t>
  </si>
  <si>
    <t>CET Chimcomplex SA Borzesti Suc. Rm. Valcea</t>
  </si>
  <si>
    <t>celula LEA 110kV Raureni-SRA3/Amine; celula LEA 110kV Raureni-CET,celula LEA 110kV Stuparei-CET1; celula LEA 110kV Stuparei-CET2; PTLC din LEA 110kV Raureni-PTLC-Stuparei</t>
  </si>
  <si>
    <t>CEF AVIROM PLUS SRL</t>
  </si>
  <si>
    <t>GJ</t>
  </si>
  <si>
    <t>stalpul SE9 nr. 104 al LEA 20kV IUM – Iepuri.</t>
  </si>
  <si>
    <t>AVICARVIL SRL</t>
  </si>
  <si>
    <t>CEF AVICARVIL SRL</t>
  </si>
  <si>
    <t>VL</t>
  </si>
  <si>
    <t>racord LEA+LES 20kV la stalpul nr.30 al Derivatiei 20kV PTA Buleta 4 din LEA 20kV Cazanesti – Govora Bai</t>
  </si>
  <si>
    <t>stalpul nr. 8, in alim. de baza din Derivatiei 20kV in LEA 20kV Bucureasa si stalpul nr. 29 al LEA 20kV Danesti. alim rezerva</t>
  </si>
  <si>
    <t>ANTARES GAS SRL</t>
  </si>
  <si>
    <t>CEF ANTARES GAS SRL</t>
  </si>
  <si>
    <t>celula 20kV proiectata din statia Cazanesti 110/20KV</t>
  </si>
  <si>
    <t>CATNEGRILUC ENERGY SRL</t>
  </si>
  <si>
    <t>CEF CATNEGRILUC ENERGY SRL</t>
  </si>
  <si>
    <t>stalpul SE8 nr. 343 al LEA 20kV Mamura – Cirlogani – bucla cu LEA 20kV PA Madulari.</t>
  </si>
  <si>
    <t>NUTRIPACK CAMPULUNG SA</t>
  </si>
  <si>
    <t>in celula de linie 20 kV din PC Duton Plast existent</t>
  </si>
  <si>
    <t>AGENTIA NATIONALA DE IMBUNAT.FUNCIARE</t>
  </si>
  <si>
    <t>SRA 110 6 KV CELEI</t>
  </si>
  <si>
    <t>STATIE 110/6 kv SRA Celei</t>
  </si>
  <si>
    <t>bornele de 6 KV ale transformatorului de putere(110/6 KV,25 MVA) din Statia de Transformare 110/6KV SRA Celei</t>
  </si>
  <si>
    <t>31.05.2022</t>
  </si>
  <si>
    <t>O.U.AI. MISOICA</t>
  </si>
  <si>
    <t>SPP 22</t>
  </si>
  <si>
    <t>La stalpul nr.122  al LEA Galicea Mare_SPP 17_22</t>
  </si>
  <si>
    <t>O.U.A.I. BAILESTI VEST</t>
  </si>
  <si>
    <t>SPP 14</t>
  </si>
  <si>
    <t>La stalpul nr.107  al LEA L20 kV BAILESTI - SPP 14</t>
  </si>
  <si>
    <t>MUNICIPIUL IASI</t>
  </si>
  <si>
    <t>110/20kV Tatarasi</t>
  </si>
  <si>
    <t>Construire Centrala Fotovoltaica</t>
  </si>
  <si>
    <t>Pancota</t>
  </si>
  <si>
    <t>Conform lucrarii EEI-SS-722/2022-SS revizuit din 09.05.2022-elaborat de ELECTROECHIPAMENT INDUSTRIAL SRL, avizat de E-Distributie Banat SA cu Aviz CTE nr.14/02/03.05.2022- Solutia 2 pentru care utilizatorul a optat in scris prin adresa nr.117300/15.06.2022, solutia de racordare consta in realizarea urmatoarelor lucrari: 
a) Lucrari pe tarif de racordare :
-plantare 2 stalpi speciali unificati 14G24 (notati cu 1,2) intre stalpii 39 si 40 existenti in axul LEA 20kV Mocrea+Sicula
- echiparea acestora cu cate un coronament semiorizontal, consola terminala, lanturi duble de terminale compozit,legaturi double de sustinere izolatori DJ 502, separator vertical 24kV , descarcatoare cu oxid de zinc 24kV si priza de Pamant cu Rp; 4ohmi
- realizare racord 20kV intrare – ieşire între stalpii proiectati 1,2 şi punctul de conexiune, cu cablu tip XLPE 3x(1x185mm2) in lungime totala de 70m (inclusiv pe stalpi) între stalpii proiectati 1 si 2
- echipare punct de conexiune compartiment OD cu:
- 2 celule de linie (1LE) conform specificaţiei ENEL DY 803/2 – RO – LE – 24 kV – 400A – 16 kA
- 1 celulă de măsură (1UT) pentru CEF Pancota, cu plecare în cablu, conform specificaţiei ENEL DY 803/4– RO – UT – 24 kV – 400A – 16 kA, echipată cu 2 transformatoare de curent 400/5A, cls.0,2S şi 2transformatoare de tensiune 20/0.1kV cls. 0,2;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măsurare de decontare in firidă securizată, cu contor cu telecitire bidirecţional, clasa 0,2 S (pus la dispoziţie de OD);
- Amplasare punct de conexiune -compartiment operator de reţea, cu acces liber din domeniul public, dimensionat pentru exploatare din interior; PC se va pozitiona pe un amplasament pus la dispoziţie de utilizator; (constructia PC este in sarcina utilizatorului si va ramane in proprietatea acestuia) in proximitatea LEA 20kV dublu circuit Mocrea+Sicula.
b) Lucrari ce se realizeaza prin grija beneficiarului :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Întreruptorul este prevăzut cu protecţie digitală şi modul de comunicaţie integrabil în sistemul de telecontrol E Distributie Banat.
- 1 celula de abonat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 traductoril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t>
  </si>
  <si>
    <t>ESPE ENERGIA SRL</t>
  </si>
  <si>
    <t>Centrala Electrica Fotovoltaica Socodor</t>
  </si>
  <si>
    <t>Chisineu Cris</t>
  </si>
  <si>
    <t>Conform lucrarii EEI-SS-745/2022 revizuit editia 07.07.2022 - Racordare la sistem Centrala fotovoltaica cu puterea de 4,472MW loc.Socodor, DC125 C.F. Nr. 304539; 304540; 304415; 304419; 304420, jud.Arad elaborata de ELECTROECHIPAMNET INDUSTRIAL S.R.L, avizat la E-Distributie Banat SA cu documentul Aviz CTE nr. 30/02/29.06.2022, tinand seama de situatia energetica din zona precum si de datele solicitate de utilizator, solutia de racordare consta in realizarea urmatoarelor lucrari : 
I. Lucrari pe tarif de racordare :
-plantarea a doi stalp ispeciali unificati 12G31 (notati cu st.1 ,st.2) intre stalpii 48 si 49 existenti in axul LEA 20kV Zerind conform plan situatie anexat
-echiparea stalpilor proiectati cu coronament orizontal de intindere, lanturi duble terminale compozit, descarcatoare cu oxid de zinc 24kV si priza de pamant cu Rp&lt;4ohmi
- realizare racord 20kV intrare – ieşire LES 20kV între stalpii proiectati nr.1, nr.2 şi punctul de conexiune, prin intermediul LES 20kV cu cablu tip XLPE 3x(1x185mm2) in lungime totala de 50m intre celulele de linie LE din PC si stalpii proiectati 1 si 2
- echipare punct de conexiune compartiment OD cu:
*- 2 celule de linie (1LE) 24 kV – 400A – 16 kA - 1 celulă de măsură (1UT) pentru CEF Socodor, cu plecare în cablu, 24 kV – 400A – 16 kA, echipată cu 2 transformatoare de curent 400/5A, cls.0 ,2S şi 2 transformatoare de tensiune 20/0.1kV cls. 0,2;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măsurare de decontare in firidă securizată, cu contor cu telecitire bidirecţional, clasa 0,2 S (contor pus la dspozitie de OD)
- Amplasare punct de conexiune -compartiment operator de reţea, cu acces liber din domeniul public, dimensionat pentru exploatare din interior; PC se va pozitiona pe un amplasament pus la dispoziţie de utilizator; (constructia PC este in sarcina utilizatorului si va ramane in proprietatea acestuia) in proximitatea LEA 20kV Zerind 
II.  Lucrari ce se realizeaza prin grija si pe cheltuiala utilizatorului reprezentand instalatie de utilizare:
Echipare punct de conexiune compartiment Utilizator, conform PD_IO 1815-EDB -PL86 “Criterii tehnice de racordare a clienților la rețelele de ÎT, MT, JT” si anume:
- 1 celulă DG, echipată cu separator şi întreruptor
- 1 celula de utilizator – sosire CEF, cu funcţie DI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Sistemul de protecţie general (SPG) asociat DG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Sistemul de protecţie SPI asociat DI contine relee de frecvenţă, de tensiune şi eventual de tensiune homopolară si cuprinde:
- funcţie protecţie de tensiune minima /maxima in 2 trepte;
- funcţie protecţie de frecventa minima /maxima in 2 trepte;
- funcţie de protecţie de maxima de tensiune mediata la 10 minute.
 Racord LES 20 kV între PC utilizator şi PC OD Din celula DG va pleca un cablu de 20 kV Cu secţiune 3x(1x95 mm²) Cu L=20m şi se va conecta in punctul de conexiuni 20 kV ce aparţine E-Distributie Banat, celula de masura.
 Realizare LES 20 kV cu cablu 20kV Al 3x185mmp cu lungimea de 0,2km între punctul de conexiune PC 20kV ce se va amplasa lângă punctul de racordare şi PT -CEF;</t>
  </si>
  <si>
    <t>ESPE ENERGIA S.R.L</t>
  </si>
  <si>
    <t>Centrala Electrica Fotovoltaica Olari</t>
  </si>
  <si>
    <t>Chisineu-Cris</t>
  </si>
  <si>
    <t>Conform lucrarii EEI-SS-731/2022 ,SS revizuit din data 07.07.2022-elaborat de ELECTROECHIPAMENT INDUSTRIAL SRL, avizat de E-Distributie Banat SA cu Aviz CTE nr.17/01/25.05.2022- Solutia 1, pentru care utilizatorul a optat in scris prin adresa nr.120258/12.07.2022, racordarea se va realiza prin intermediul unui punct de conexiune de 20 kV, echipat conform cerintelor E-Distributie. Punctul de conexiune 20kV va fi compartimentat (compartiment de racordare, compartiment(e) utilizator) în clădire pusă la dispoziţie de beneficiar, cu acţionare din interior şi cu acces separat direct din exterior pentru compartimentul de racordare. Pentru realizarea variantei de racordare prezentata mai sus sunt necesare urmatoarele lucrari:
a) Lucrari pe tarif de racordare :
-plantarea unui stalp special unificat 12G24 (notat cu st.1) intre stalpii 255 si 256 existenti in axul LEA 20kV Uzina de Apa Est 1 la 11 m de stalpul existent 255 catre stalpul 256 -echiparea stalpului existent 255 (tip SE 8), descarcatoare cu oxid de zinc 24kV si priza de Pamant cu Rp&lt;4ohmi
-echiparea stalpului proiectat 12G24 cu un coronament semiorizontal de intindere , lanturi duble terminale compozit, descarcatoare cu oxid de zinc 24kV si priza de Pamant cu Rp&lt;4ohmi
- realizare racord 20kV intrare – ieşire LES 20kV între stalpii 255 si st proiectat nr.1 şi punctul de conexiune, prin intermediul LES 20kV cu cablu tip XLPE 3x(1x185mm2) in lungime totala de 81m(inclusiv pe stalpi) intre celulele de linie LE din PC si stalpii proiectati 1 si cel existent 255.
- echipare punct de conexiune compartiment OD cu:
- 2 celule de linie (1LE) conform specificaţiei EDB.
- 1 celulă de măsură (1UT) pentru CEF Olari, cu plecare în cablu, conform specificaţiei EDB , 24 kV – 400A – 16 kA, echipată cu 2 transformatoare de curent 400/5A, cls.0,2S şi 2 transformatoare de tensiune 20/0.1kV cls. 0,2;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contor cu telecitire bidirecţional, clasa 0,2 S (pus la dispoziţie de OD);
- Amplasare punct de conexiune -compartiment operator de reţea, cu acces liber din domeniul public, dimensionat pentru exploatare din interior; PC se va pozitiona pe un amplasament pus la dispoziţie de utilizator; (constructia PC este in sarcina utilizatorului si va ramane in proprietatea acestuia) .
b) Lucrari ce se realizeaza prin grija si pe cheltuiala utilizatorului:
- Realizare LES 20 kV cu cablu 20kV Al 3x185mmp cu lungimea de 0,4km între punctul de conexiune PC 20kV ce se va amplasa lângă punctul de racordare şi CEF;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Întrerupatorul este prevăzut cu protecţie digitală şi modul de comunicaţie integrabil în sistemul de telecontrol E Distributie Banat.
- 1 celula de abonat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Punctul de Conexiuni va fi prevăzut cu priză de legare la pământ combinată interior-exterior, a cărei rezistenţă de dispersie să fie R &lt; 4 Ω.</t>
  </si>
  <si>
    <t>SOLAREALIZE PARK ONE</t>
  </si>
  <si>
    <t>Centrala Electrica Fotovoltaica Lovrin</t>
  </si>
  <si>
    <t>Carpinis</t>
  </si>
  <si>
    <t>Solutie racordare
Solutia 1 Solutia propusa consta in realizarea unei noi statii intrare-iesire de 110 kV amplasata pe terenul pus la dispozitie de beneficiarul parcului si racordata la SEN in bucla intre statia Lovrin si Carpinis prin realizarea unui racord LEA 110 kV dublu circuit, in lungime de cca 0,5 km. Pentru realizarea variantei de racordare prezentata mai sus sunt necesare urmatoarele lucrari, conform:
I) Lucrari pe tarif de racordare :
• Stație de conexiune 110kV CEF Lovrin Statia de conexiune intrare-iesire va fi prevăzuta cu:
- doua celule 110 kV echipate complet, fiecare cu cate un întrerupător cu comanda unitripolara si RAR monofazat;
- bară colectoare 110 kV simplă rigidă;
- celula de 110 kV plecare spre utilizator echipata complet cu întrerupător si grup de masura; punctul de delimitare a intalatiilor OD de cele ale utilizatorului se va realiza la capetele terminale LES plecare din celula de masura catre utilizator;
- servicii interne c.c. şi c.a.: serviciile interne de c.c. se vor asigura printr-o statie de energie, iar serviciile de c.a. 0,4 kV se vor asigura din instalatia utilizatorului prin 2 surse independente;
- echipamente telecomunicatii, echipament central de teleconducere a statiei;
- instalatie de legare la pământ;
- sistem de supraveghere antiefractie;
- gard de împrejmuire şi drum de acces, etc.
- montare analizor pentru monitorizarea calitatii energiei electrice; Echipamentul va trebui sa asigure in principal cerintele tehnice din specificatiile Enel Toate echipamentele de 110kV de circuite primare și secundare vor fi conform Standardelor Globale Enel.
Conform NTE 011/12/00 – “Normativ pentru proiectarea sistemelor de circuite secundare ale staţiilor electrice”. – Vol. I, art. 7.
Terminologie (L&lt; 20 Km) în cazul liniilor scurte, protecţiile de distanţă ale liniei vor fi completate, de regulă, cu o protecţie diferenţială de linie.
Lungimea liniilor LEA 110kV Lovrin – CEF Lovin și LEA 110kV CEF Lovrin - Cărpiniș fiind sub 20km sunt necesare montarea în capetele opuse a unor protecții diferențiale longitudinale.
În vederea asigurării căii de comunicație pentru protecția diferențială între Statia de conexiune 110kV și stațiile adiacente 110kV Lovrin și Cărpiniș se va monta un cablu de tip ADSS pozat la baza primei console a stâlpilor existenți, in lungime de cca. 23,46 km.
Protecțiile diferențiale se vor monta în dulapurile de protecții existente din cele 2 stații 110kV Lovrin și Cărpiniș.
Toate echipamentele de 110kV de circuite primare și secundare vor fi conform Standardelor Globale Enel. Conform NTE 011/12/00 – “Normativ pentru proiectarea sistemelor de circuite secundare ale staţiilor electrice”. – Vol. I, art. 7. Terminologie (L&lt; 20 Km) în cazul liniilor scurte, protecţiile de distanţă ale liniei vor fi completate, de regulă, cu o protecţie diferenţială de linie.
Lungimea liniilor LEA 110kV Lovrin – CEF Lovin și LEA 110kV CEF Lovrin - Cărpiniș fiind sub 20km sunt necesare montarea în capetele opuse a unor protecții diferențiale longitudinale.
În vederea asigurării căii de comunicație pentru protecția diferențială între Statia de conexiune 110kV și stațiile adiacente 110kV Lovrin și Cărpiniș se va monta un cablu de tip ADSS pozat la baza primei console a stâlpilor existenți, in lungime de cca. 23,46 km.
Protecțiile diferențiale se vor monta în dulapurile de protecții existente din cele 2 stații 110kV Lovrin și Cărpiniș.
b) Lucrari ce se realizeaza prin grija beneficiarului :
In vederea posibilitatii evacuarii noii puteri instalate in centrala CEF este necesar realizarea unei statii de transformare de 110/20kV in imediata apropiere a centralei.
Statia 110/20 kV - 63 MVA va fi echipata cu o celula de trafo cu intreruptor, trafo de 110/20 kV- 63 MVA - realizare racord 110 kV (inclusiv FO) intre celula noua 110 kV din statia de conexiune pana in statia de transformare aferenta aferenta utilizatorului;
- statie de transformare 110 kV/MT aferentă utilizator, inclusiv celula 110 kV intrerupator (cu rol de dispozitiv general, dispozitiv de interfata cu protectiile aferente);
- realizare cai de comunicatie de la instalatiile de monitorizare si instalatiile de reglaj secundar ale noii centrale pana la interfata cu Transelectrica;
- montare analizor pentru monitorizarea calitatii energiei electrice;</t>
  </si>
  <si>
    <t>DEZVOLTAREA ZONEI TURISTICE SEMENIC ZONA STATIE INTERMEDIARA TELEGONDOLA</t>
  </si>
  <si>
    <t>MOCIUR-Valiug</t>
  </si>
  <si>
    <t>imobile locuinte C2 si C3</t>
  </si>
  <si>
    <t>THERMI INVEST S.R.L.</t>
  </si>
  <si>
    <t>DEVA</t>
  </si>
  <si>
    <t>UBC 0 TIMISOARA SRL</t>
  </si>
  <si>
    <t>Cladiri birouri UBC TM</t>
  </si>
  <si>
    <t xml:space="preserve"> Psim abs 4,2 prin impartire consum din ATR 08077038.</t>
  </si>
  <si>
    <t>VIVALIA8SPV S.A.</t>
  </si>
  <si>
    <t>cladire locuinte colective</t>
  </si>
  <si>
    <t>SC MEGALODON STORAGE SRL</t>
  </si>
  <si>
    <t>baterii de stocare</t>
  </si>
  <si>
    <t xml:space="preserve">	
ILFOV</t>
  </si>
  <si>
    <t xml:space="preserve">	
20</t>
  </si>
  <si>
    <t>CACIULATI 110/20 KV</t>
  </si>
  <si>
    <t>Racordarea radiala la bara 20kV -celula nr.8 statia 110/20kV Caciulati prin intermediul unui punct de conexiune 20kV amplasat in incinta instalatiei de stocare IS Caciulati.
Lucrari pe tarif de racordare: a) lucrari necesare racordarii conform Ord.59/2013 cu completarile si modificarile ulterioare
- echipare/completare celula 20kV nr. 8 existenta pe bara rosie statia 110/20kV Caciulati
- realizare masura de balanta aferenta celulei nr.8
- LES 20 kV cu cablu Al 3x185 mmp+FO în lungime de 0,2km cu traseul de la celula proiectata din staţia 110/20 kV Caciulati până la punctul de conexiune de 20 kV proiectat langa statie
- PC 20 kV proiectat in anvelopa de beton amplasata langa statia Caciulati , pe terenul beneficiarului, echipat cu:
• 1 celule de linie motorizate 24 kV, 630A, 16 kA cu separator de sarcina in SF6 conf. DY803/416-LE ed. 2
• o celula de masura conf. DY 803M/316-1UT cu separator si grup de masura format din două transformatoare de tensiune 20/0,1 kV, clasa de precizie 0,5 şi două transformatoare de curent de 400/5A,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–E2000 APC, 2m – 2 buc, PATCH-PANNEL FO MONOMODE pentru 24 fibre oprice -E2000/APC complet echipat – 2 buc, Patch-cord ftp cat. 6e (lungime 1 m), Patch-cord ftp cat. 6e (lungime 10 m) Achizitia contorul de decontare revin in sarcina Operatorului de Distributie.Tensiunea 0,4 kV necesara telecontrolului va fi asigurata din instalatiile beneficiarului. Punctul de conexiune 20 kV va fi in anvelopa de beton amplasat in incinta utilizatorului ,langa statia 110/20kV Caciulati si va fi alcatuit din doua compartimente cu acces separat fiecare: unul cu acces numai pentru personalul EDM (compartiment de racordare) iar cealalalt cu acces pentru utilizator (compartiment utilizator). Anvelopa va fi prevazuta si cu nisa pentru montarea contorului de decontare cu posibilitatea vizualizarii atat de catre E-Distributie Muntenia cat si de catre beneficiar.
Lucrari ce se realizeaza prin grija beneficiarului:
- Anvelopa de beton compusa din doua incaperi cu acces separat fiecare, o incapere fiind pentru montarea echipamentelor 20 KV EDM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 de distribuţie în caz de întrerupere de la reţea. Sistemul de protectie SPI asociat DI contine relee de frecvenţă, de tensiune şi eventual de tensiune homopolară. Sistemul de protectie de interfata (SPI) asociat dispozitivului de interfata cuprinde: 1. functie protectie de tensiune minima /maxima in 2 trepte; AVIZ CTE 14/1/24.03.2022 „Racordarea la SEN construire platforme betonate pentru amplasament echipamente si 3 containere metalice , imprejmuire lot, bazin vidanjabil amplasata in str. Gradinilor nr.32, MOARA VLASIEI, jud. Ilfov” faza SS rev.1 6 / 8 UZ confidential Cconform Politicii de Clasificare si Triere a informatiiei 59/31.03.2016 2. functie protectie de frecventa minima /maxima in 2 trepte; 3. functie de protectie de maxima de tensiune 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LES 20kV intre PC 20kV proiectat si IS 7MW Caciulati in lungime de 0.05km - Posturi trafo si tablouri jt aferente instalatiei de stocare - Asigurare accesului la PC 20kV proiectat pentru EDM In solutia avizata,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Muntenia. Celelalte materiale și echipamente, pentru care nu sunt elaborate specificații tehnice unificate, trebuie să fie noi, compatibile cu starea tehnică a instalației, să îndeplinească cerințele specifice de fiabilitate și siguranță.</t>
  </si>
  <si>
    <t>09303011</t>
  </si>
  <si>
    <t xml:space="preserve">	
06.06.2022</t>
  </si>
  <si>
    <t>racordare în LEA 400 kV București -Slatina</t>
  </si>
  <si>
    <t>se racordează în sistem intrare – ieșire în LEA 400 kVBucurești Sud – Slatina prin noua stație 400/110/33 kV Ieopurești.</t>
  </si>
  <si>
    <t>14/33952</t>
  </si>
  <si>
    <t>racordare în statia 220/110 kV Targoviste</t>
  </si>
  <si>
    <t>se racordează in statiei 220/110 kV Targoviste la tensiunea 110kV prin intermediul unei celule noi echipate in statie</t>
  </si>
  <si>
    <t>LEA 110kV Titu - Potlogi</t>
  </si>
  <si>
    <t>Racord 110kV si statie de conexiuni 110kV CEF Titu</t>
  </si>
  <si>
    <t>GAMMA SOLAR PROJECT SRL</t>
  </si>
  <si>
    <t xml:space="preserve">LEA 110 KV VALEA CALUGAREASCA-URZICENI </t>
  </si>
  <si>
    <t>Statie de transformare 110/20kV Ciorani noua, racord LES 20kV si  PC 20 kV noi.</t>
  </si>
  <si>
    <t>R103463</t>
  </si>
  <si>
    <t>LAND STATE 09 SRL</t>
  </si>
  <si>
    <t>Statia 110/20kV Crovu</t>
  </si>
  <si>
    <t>LANDBRUK SRL</t>
  </si>
  <si>
    <t>Celula 20kV noua in Statia Sahateni, LES 20kV si PC 20kV proiectat</t>
  </si>
  <si>
    <t>09.06.2022</t>
  </si>
  <si>
    <t>25.07.2022</t>
  </si>
  <si>
    <t>GOLDMARK PROPERTY MANAGEMENT SRL</t>
  </si>
  <si>
    <t>Statia 110/20kV Ploiesti Crang</t>
  </si>
  <si>
    <t>MODIFICAREA INSTALATIEI DE RACORDARE FARA DEPASIREA PUTERII APROBATE</t>
  </si>
  <si>
    <t>PRAHOVA INDUSTRIAL PARC SA</t>
  </si>
  <si>
    <t>Statia de transformare 110/20kV OLTENI</t>
  </si>
  <si>
    <t>15.07.2022</t>
  </si>
  <si>
    <t>OASIS GREEN ENERGY 3 SRL</t>
  </si>
  <si>
    <t>LEA 110kV Oradea Vest-Salonta</t>
  </si>
  <si>
    <t>CENTRALA ELECTRICA FOTOVOLTAICA SATU MARE 3- DOBA- 57.925 MW</t>
  </si>
  <si>
    <t>LEA 110 KV VETIS-CAREI</t>
  </si>
  <si>
    <t>LEA 20 KV BISTRITA - SIEUT</t>
  </si>
  <si>
    <t>CTPARK DELTA S.R.L</t>
  </si>
  <si>
    <t>PC IPEC 20kV alimentat din Satia 110/20kV Salonta</t>
  </si>
  <si>
    <t>MEDSHINE RUSSU SRL</t>
  </si>
  <si>
    <t>MURES. SANPAUL. SINPAUL. fn</t>
  </si>
  <si>
    <t>STATIA SANPAUL 110/20 KV</t>
  </si>
  <si>
    <t>montare 1 celulă de linie nou proiectata (LES 20 kV CEF Sanpaul) in sala de conexiuni 20 kV din Stația 110 / 20 kV Sânpaul, amplasata pe Sectia 1 A de bare 20 kV (de același tip cu cele existente în stație)</t>
  </si>
  <si>
    <t>SC FOMCO SOLAR SYSTEMS SRL</t>
  </si>
  <si>
    <t>SANPAUL</t>
  </si>
  <si>
    <t>Sectia de bare 20 kV - PT 3 Chirileu (existent) ;, LEA 20 KV SANPAUL CIPAU 7</t>
  </si>
  <si>
    <t>Statia 110 / 20 kV Sanpaul – Sectia 1A de bare 20 kV</t>
  </si>
  <si>
    <t>ROMSTAL IMEX SRL</t>
  </si>
  <si>
    <t>12.07.2022</t>
  </si>
  <si>
    <t>HOLLOWAY SOLAR SRL</t>
  </si>
  <si>
    <t>ALBA. AIUD. T.VLADIMIRESCU. FN</t>
  </si>
  <si>
    <t>LEA 20 KV AIUD TEIUS 7D01O313</t>
  </si>
  <si>
    <t>Instalaţiile electrice de racordare au fost realizate conform ATR nr. 70401219249 / 18.03.2013 respectiv contract de racordare nr. C13965/R/701 din 13.09.2013, astfel : - montare separator vertical tripolar de exterior (24kV, 200A cu 1 dispozitiv de actionare tip AME 1, grup de trei descarcatori ZnO si confectie metalica pentru sustinere 3 terminale de exterior si o priza de pamant de pana la 4 ohmi), pe stalpul nr. 19 existent (amplasat pe domeniul public) de tip SE8, al LEA 20 kV Aiud - Ramet realizata cu conductor OL-AL 3x50/8 mmp, alimentata din Statia 110 / 20 kV Aiud ; - realizare racord subteran LES 20 kV cu cablu de tip A2XS(FL)2Y 3x1x150/25 mmp (L = 100 m), intre stalpul nr. 19 existent de tip SE8 si PC 20 kV</t>
  </si>
  <si>
    <t>ALBA. TEIUS. BELDIULUI. FN</t>
  </si>
  <si>
    <t>Instalaţiile electrice de racordare au fost realizate conform ATR nr. 70401326051 din 25.10.2013, respectiv contract de racordare nr. C17910/R/701 din 08.11.2013, astfel: - inlocuire stalp nr. 43 existent tip SC 15007 cu un stalp nou tip SC 15015, in fundatie turnata, echipat cu o priza de pamant de pana la 4 ohmi; - montare separator vertical tripolar de exterior (24 kV, 200 A cu un dispozitiv de actionare de tip AME 1, grup de trei descarcatoari ZnO si confectie metalica pentru sustinere 3 terminale de exterior) pe stalpul nr. 43 nou al LEA 20 kV Teius - Aiud (realizată cu conductor OL-AL 3x50/8 mmp alimentată din Staţia 110/20 kV Teius). - realizare racord subteran LES 20 kV cu cablu de tip A2XS(FL)2Y 3x1x150/25 mmp (L=25 m), intre stalpul nr. 43 nou de tip SC15015 si PC 20 kV</t>
  </si>
  <si>
    <t>BELLAMY ENERG SRL</t>
  </si>
  <si>
    <t>LEA 20 kV d.c. Reghin - Tg. Mures si Reghin - Padureni</t>
  </si>
  <si>
    <t>SOLMARA ENERG SRL</t>
  </si>
  <si>
    <t>LEA 20 KV REGHIN-TG MURES</t>
  </si>
  <si>
    <t>Județ</t>
  </si>
  <si>
    <t>Stația 110/27,5/20/6 kV Zizin</t>
  </si>
  <si>
    <t>C.N.  ROMARM - SC CARFIL SABUCURESTI</t>
  </si>
  <si>
    <t>celula 6 kV UZINA 2 SC1 BAZĂ și celula 6 kV UZINA 2 SC1 REZERVĂ din Stația 110/27,5/20/6 kV Zizin</t>
  </si>
  <si>
    <t>SC FRIESLANDCAMPINA ROMANIA SA</t>
  </si>
  <si>
    <t>PA 6 Targu Mures (la barele de 20 kV).,</t>
  </si>
  <si>
    <t>JUDETUL SIBIU</t>
  </si>
  <si>
    <t>celula 20 kV existentă (retrofit) în Stația 110 / 20 kV Sibiu Nord</t>
  </si>
  <si>
    <t>Stația 110 / 20 kV Aeroport</t>
  </si>
  <si>
    <t>SIMBETON SRL</t>
  </si>
  <si>
    <t>SIMERIA</t>
  </si>
  <si>
    <t>XELLA RO SRL</t>
  </si>
  <si>
    <t>0,4</t>
  </si>
  <si>
    <t>WOHNHAUS SRL</t>
  </si>
  <si>
    <t>ansambluri locuinte colective</t>
  </si>
  <si>
    <t>10065103</t>
  </si>
  <si>
    <t>SC SOLPOWER ENERGY SRL</t>
  </si>
  <si>
    <t>CEF CHISINAU CRIS</t>
  </si>
  <si>
    <t>CHISINEU CRIS 110/20KV</t>
  </si>
  <si>
    <t>Conform lucrarii ECS440/2022, nr. revizie 3 -Studiu de solutie, elaborat de ENERGOBIT CONTROL SYSTEMS SRL, avizat de Transelectrica SA cu Aviz CTES nr.139/2022 si avizat de E-Distributie Banat SA cu Aviz CTE nr. 28/03/22.06.2022-Solutia 1, aleasa de utilizator prin adresa nr.74/01.07.2022, racordarea se va realiza prin extinderea barei de 110kV a statiei Chisineu-Cris cu o celula noua in vederea racordarii CEF Chisineu-Cris , printr-o legatura in LES 110kV in lungime de 150 m , intre statia Chisineu-Cris si statia beneficiarului, cu realizarea urmatoarelor lucrari:
a) Lucrari pe tarif de racordare :
Statia 110/20kV Chisineu-Cris este pe partea de 110kV prevazuta cu o bara simpla . Nu exista spatiu disponibil in interiorul statiei pentru echiparea pe tarif de racordare a unei celule noi 110kV. Ca urmare este necesara extinderea statiei pe un teren adiacent .
Pentru extinderea barei 110kV si construirea celulei noi, inclusiv a racordului in LES 110kV este alocat un teren in suprafata de 1.302 mp ce face parte din parcela cu nr. cadastral 301579 situata in intravilanul orasului Chisineu Cris, conform CU nr. 35/08.06.2021. Investitorul are obligatia de a acorda drept de uz si servitute, pe toata durata de viata a instalatiilor in favoarea E-Distributie Banat.
Pentru realizarea acestei solutii sunt necesare in Statia 110/20kV Chisineu-Cris urmatoarele lucrari pe tarif de racordare:
- extinderea barei 110kV si a riglelor aferente
- celula de 110 kV plecare spre utilizator echipata complet cu întrerup?tor si grup de masura (contorul se va pune la dispozitie de OD); punctul de delimitare a intalatiilor OD de cele ale utilizatorului se va realiza la capetele terminale LES plecare din celula de masura catre utilizator;
- celula va fi integrat? în sistemul existent de circuite secundare, servicii interne ?i telecontrol;
- alte lucrari specifice dupa caz cum ar fi:
- completare ?i adaptare instalatie de legare la p?mânt si protectie la supratensiuni atmosferice;
- extindere instalatie iluminat exterior; - complet?ri ale dulapurilor de servicii interne c.c. ?i c.a. cu întreruptoare pentru circuitele de alimentare ale celulei;
- cabluri noi j.t conform cerintelor SCADA;
- montare analizor pentru monitorizarea calitatii energiei electrice; Echipamentul va trebui sa asigure in principal cerintele tehnice din specificatiile Enel (pus la dispozitie de OD)
b) Lucrari prin grija beneficiarului :
Montarea unui cablu LES 110kV + FO, de tip monopolar cu izola?ie din polietilen? reticulat? ce va racorda sta?ia proiectat? CEF Chi?ineu Cri? în sta?ia 110/20 kV Chi?ineu Cri?. Lungimea cablului de 110 kV este de aproximativ 150m ?i sec?iunea de 185 mmp. Pe traseul LES 110kV se va poza ?i un cablu de FO care va asigura comunica?ia necesar? integr?rii parcului fotovoltaic în sistemele SCADA ale E-Distribu?ie Banat precum ?i protectia PDL.
Beneficiarul va construi prin forte proprii pe locatia sa, o statie proprie 110/20kV 63MVA, formata din :
- o celula 110kV (linie-trafo) echipata cu 3 transformatoare de tensiune 110/V3/0.1/V3/0.1/V3, 3 transformatoare de curent 300/5/1/1, 2 separatoare, 1 intreruptor, transformator 110/20kV 63 MVA ,
- statie 20kV,
- transformator TSI/TFN,
- grup electrogen cu AAR Instalatia de utilizare trebuie proiectata astfel incat orice interventie la elementele componente sa nu afecteze regimul de functionare al LEA 110kV Curtici ? Chisineu-Cris.</t>
  </si>
  <si>
    <t>A20 BRANESTI-FAGET TM</t>
  </si>
  <si>
    <t>Conform lucrarii : EEI-SS-737/2022-studiu de solutie-elaborat de S.C. ELECTROECHIPAMNET INDUSTRIAL S.R.L. si avizat de E-Distributie Banat SA cu Aviz CTE nr. 25/03/15.06.2022-solutia de racordare este Solutia 1: Racordarea intrare ? iesire in LEA 20kV Branesti circuitul de sus intre stalpii 2/56 si 2/57 alimentata din statia 110/20 kV Faget.
I.Lucrari pe Tarif de Racordare :
-plantarea 2 stalpi speciali unificati 12G31- 2 buc si intre stalpii 2/56 si 2/57 existenti in axul LEA 20kV Branesti.
- echiparea stalpilor 12G31 (notati cu st 1 si 2) amplasati catre st 2/56 si catre st 2/57 cu coronament semiorizontal, consola terminala, legaturi duble de sustinere, descarcatoare cu oxid de zinc 24kV si priza de Pamant cu Rp&lt;4ohmi
- realizare racord 20kV intrare ? ie?ire între stalpii proiectati 1,2 ?i punctul de conexiune, pe o distan?? de 10m
- montare LES dublu circuit (intrare?ie?ire) cu cablu tip XLPE 3x(1x185mm2) in lungime totala de 30m(inclusiv pe stalpi) intre celulele de linie LE din PC si stalpii proiectati 1 si 2
- echipare punct de conexiune compartiment OD cu:
- 2 celule de linie (1LE) conform specifica?iei EDB? 24 kV ? 400A ? 16 kA
- 1 celul? de m?sur? (1UT) pentru CEF, cu plecare în cablu, conform specifica?iei EDB 24 kV ? 400A ? 16 kA, echipat? cu 2 transformatoare de curent 400/5A, cls.0,2S ?i 2 transformatoare de tensiune 20/0.1kV cls. 0 ,2;
- Echipamente pentru integrarea în sistemul de telecontrol E?Distribu?ie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contor cu telecitire bidirec?ional, clasa 0,2 S (pus la dispozi?ie de OD);
- Amplasare punct de conexiune-compartiment operator de re?ea, cu acces liber din domeniul public, dimensionat pentru exploatare din interior; PC se va pozitiona pe un amplasament pus la dispozi?ie de utilizator; (constructia PC este in sarcina utilizatorului si va ramane in proprietatea acestuia) in proximitatea LEA 20kV Branesti.
II Lucrari ce se realizeaza prin grija si pe cheltuiala utilizatorului reprezentand instalatie de utilizare:
Realizare LES 20 kV cu cablu 20kV Al 3x95mmp cu lungimea de 0,2km între punctul de conexiune PC 20kV ce se va amplasa lâng? punctul de racordare ?i CEF;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Întrerupatorul este prev?zut cu protec?ie digital? ?i modul de comunica?ie integrabil în sistemul de telecontrol E Distributie Banat.
- 1 celula de abonat ? sosire CEF, cu func?ie DI, gabarit normal cu izola?ie în aer, de 24 kV ? 630 A ? 16 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Punctul de Conexiuni va fi prev?zut cu priz? de legare la p?mânt combinat? interior-exterior, a c?rei rezisten?? de dispersie s? fie R &lt; 4 ?.
Pentru a asigura respectarea benzilor de tensiune standarizate in punctul de conexiune, in situatia functionarii la abatere de la schema normala, prin preluarea utilizatorilor pe LEA 20kV Lugoj (linia de bucla) ,CEF FAGET va fi echipat cu transformatoare de putere echipate cu reglaj automat al ploturilor.</t>
  </si>
  <si>
    <t>UNITATEA MILITARA 02014 MANGALIA</t>
  </si>
  <si>
    <t>UNITATE MILITARA</t>
  </si>
  <si>
    <t>Mangali Vest</t>
  </si>
  <si>
    <t xml:space="preserve">	
09933499</t>
  </si>
  <si>
    <t>DELTANAV SA</t>
  </si>
  <si>
    <t>Spor de putere</t>
  </si>
  <si>
    <t>09940753</t>
  </si>
  <si>
    <t>Pentru descarcarea liniei de 20kV 93.02 se propune realizarea unei bucle intre linia 93.02 si linia 93.05 printr-un racord LEA-LES mt in lungime de 1,1km . Lucrarile de intarire de retea se vor realiza prin grija si cheltuiala operatorului de retea E-Distributie Dobrogea SA. Se vor executa urmatoarele lucrari : -la stalpul nr.5 existent in derivatia PTA 538 din L93.02 se va monta o consola de derivatie . La 6m de acest stalp se va monta un stalp nou 12/G/31(numerotare stalp A) prevazut cu coronament semiorizontal, legaturi duble de intindere cu izolatori compoziti; un separator tripolar 24kV cu montaj vertical, priza de pamant 4 ohmi, descarcatori ZnO si terminale de exterior 20kV GSCC005.Intre stalpul nr.5 si stalpul A se vor monta conductoare OLAl 70/12mmp. -la stalpul nr.104 existent in ax L93.05 se va monta o consola de derivatie . La 6m de acest stalp se va monta un un stalp nou 12/G/31(numerotare stalp B) prevazut cu coronament semiorizontal, legaturi duble de intindere cu izolatori compoziti; ce va fi echipat cu un separator telecomandat GSCM003/2 ( pe pozitia deschis in schema normala ) , priza de pamant 4 ohmi, descarcatori ZnO. La 6m de stalpul B cu STC se va monta un alt stalp nou 12/G/31 (numerotare stalp C) prevazut cu coronament semiorizontal, legaturi duble de intindere cu izolatori compoziti; un separator tripolar 24kV cu montaj vertical, priza de pamant 4 ohmi, descarcatori ZnO si terminale de exterior 20kV GSCC005. Intre stalpii nr.104,B si C se vor monta conductoare OLAl 70/12mmp. -Intre stalpii A si C se va realiza LES 20kV in lungime de 1km. LES 20kV proiectata se va realiza cu cablu ARE4H5EX – 3x1x185mmp GSC001, pozat in canalizatie tip A si B Enel, functie de traseu. Cablul va fi montat in tub de protectie pliabil d=160mm. La pozarea cablurilor MT se vor respecta prevederile normativului NTE 007/08/00 „NORMATIV PENTRU PROIECTAREA SI EXECUTAREA RETELELOR DE CABLURI ELECTRICE” privind condiţiile de coexistenta a reţelelor electrice cu celelalte instalaţii existente in zona.</t>
  </si>
  <si>
    <t>CTPARK BUCHAREST WEST I SRL</t>
  </si>
  <si>
    <t>CONSTRUIRE DEPOZIT LOGISTIC BUW11</t>
  </si>
  <si>
    <t>06532712</t>
  </si>
  <si>
    <t>SC ZIROM SA</t>
  </si>
  <si>
    <t>SRA4</t>
  </si>
  <si>
    <t>ZIRCONIU (reconstructie LEA 110 kV CET Giurgiu - Zirconiu, conductor OL AL 240 mmp)</t>
  </si>
  <si>
    <t>06576992</t>
  </si>
  <si>
    <t>TTS(TRANSPORT TRADE SERVICES) SA</t>
  </si>
  <si>
    <t>Modernizarea infrastructurii in Portul Giurgiu, Zona Ramadan, Danele 1,2</t>
  </si>
  <si>
    <t>ICMUG GR</t>
  </si>
  <si>
    <t>08853988</t>
  </si>
  <si>
    <t>S.C. COMETEX S.R.L.</t>
  </si>
  <si>
    <t>Centrul Comercial "AURORA" Giurgiu</t>
  </si>
  <si>
    <t>GIURGIU VEST</t>
  </si>
  <si>
    <t>09589543</t>
  </si>
  <si>
    <t>METALURGICA CAVATORTA SRL</t>
  </si>
  <si>
    <t>Hala productie</t>
  </si>
  <si>
    <t>04710032</t>
  </si>
  <si>
    <t>SPITALUL CLINIC DE URGENTA PENTRU COPII "M.S. CURIE"</t>
  </si>
  <si>
    <t>SPITALUL CLINIC DE URGENTA "M.S.CURIE"- spor de putere</t>
  </si>
  <si>
    <t>FILARET</t>
  </si>
  <si>
    <t>06521801</t>
  </si>
  <si>
    <t>CENTRUM BUCHAREST DEVELOPMENT SRL</t>
  </si>
  <si>
    <t>BIROURI</t>
  </si>
  <si>
    <t>06671941</t>
  </si>
  <si>
    <t>U.M.02472 BUCURESTI</t>
  </si>
  <si>
    <t>Asigurare facilitati - pavilion comanda, pavilion operational si remize tehnice in cazarma 3491 Bucuresti</t>
  </si>
  <si>
    <t>COTROCENI</t>
  </si>
  <si>
    <t>06974147</t>
  </si>
  <si>
    <t>OPTIDOL SRL</t>
  </si>
  <si>
    <t>CLADIRE COMERT, SERVICII SI BIROURI</t>
  </si>
  <si>
    <t xml:space="preserve">MEGA MALL </t>
  </si>
  <si>
    <t>07424543</t>
  </si>
  <si>
    <t>Amplificare statie 110/20kV Mega Mall de la 2x16MVA urmatoarele lucrari : - inlocuirea transformatoarelor existente de 16 MVA cu doua trafo de putere de 25 MVA -110 / 20 kV, inclusiv amenajare cuva si cale de rulare; - dublare cablu legatura trafo - celula trafo 20 kV, folosind cablu tip XLPE 12/20kV 3x1x630 mmp Cu; - refacere legatura cu conductor flexibil intre borne trafo 110 kV si cap terminal cablu intern trafo. Se vor realiza circuitele secundare aferente modificarilor din statia de transformare. </t>
  </si>
  <si>
    <t>AFI GLOBAL PARK S.R.L.</t>
  </si>
  <si>
    <t>Ansamblu MIXT</t>
  </si>
  <si>
    <t>RAZOARE</t>
  </si>
  <si>
    <t>07699626</t>
  </si>
  <si>
    <t>MUNICIPIUL BUCURESTI</t>
  </si>
  <si>
    <t>VACARESTI</t>
  </si>
  <si>
    <t>BUCURESTI NORD</t>
  </si>
  <si>
    <t>UM 01829</t>
  </si>
  <si>
    <t>U.M. 01829 Bucure?ti---</t>
  </si>
  <si>
    <t>TIMPURI NOI</t>
  </si>
  <si>
    <t>07733819</t>
  </si>
  <si>
    <t>UNIVERSITATEA POLITEHNICA DIN BUCURESTI</t>
  </si>
  <si>
    <t>Cladire pentru Facultatea de Chimie Aplicata si Stiinta Materialelor, Facultatea de Inginerie Aerospatiala, Facultatea de Inginerie Medicala si Facultatea de Antreprenoriat, Ingineria si Managementul Afacerilor</t>
  </si>
  <si>
    <t>07863003</t>
  </si>
  <si>
    <t>07986442</t>
  </si>
  <si>
    <t>PATRIARHIA ROMANA-ADMINISTRATIA PATRIARH ALA</t>
  </si>
  <si>
    <t>Racordarea la RED Catedrala Mantuirii Neamului, Zona Est si Zona Vest, cota 0.00</t>
  </si>
  <si>
    <t>08349503</t>
  </si>
  <si>
    <t>SERVICIUL DE INFORMATII EXTERNE</t>
  </si>
  <si>
    <t>OTOPENI</t>
  </si>
  <si>
    <t>08398139</t>
  </si>
  <si>
    <t>Pentru asigurarea continuitatii in alimentarea cu energie electrica se va realiza un racord nou, alimentat din Statia de transformare 110/20 kV Transilvania. Sunt necesare urmatoarele lucrari de intarire: 1.Lucrari in statia de transformare 110/20 kV TRANSILVANIA - procurare si montare o celula 20 kV de linie DY696A; - realizare masura in vederea efectuarii bilanturilor de energie; - realizare circuite secundare si probe. 2.Realizare legatura intre Statia TRANSILVANIA si noul punctul de conexiune: - pozare cablu MT noul de Al, cu izolatie XLPE, 3x(1x185) mm2, tip DC 4385 RO, protejat in tub, tip DS 4247, pe un traseu de aproximativ 3300 m; - pentru transmiterea datelor, prin fibra optica, in santul in care se va poza noul cablul electric de m.t., se va poza si un cablu de fibra optica, FO 24, conform GSCF002. Fibra optica se va poza in monotub continuu (mansonat de la un cap la altul), de min Ø40 mm diametru pentru a putea face mentenanta ulterioara. Se vor monta cutii terminale de fibra optica conform FT-043 si cutii de jonctiuni complet echipate, conform FT-073 . 3.Realizare legatura cu PTA 30230 Se va monta in PCAB NOU o celula de line tip DY 803 RO/2 si se va poza subteran cablu MT noul de Al, cu izolatie XLPE, 3x(1x185) mm2, tip DC 4385 RO, protejat in tub, tip DS 4247, pe un traseu de aproximativ 100 m, care va face legatura cu PTA 30230. Valoarea proiectului de investitii se ridica la cca. 2.100.000,00 Lei. Lucrarile de intarire mai sus mentionate se afla in grija E-Distributie Muntenia.</t>
  </si>
  <si>
    <t>PORTLAND TRUST DEVELOPMENTS FIVE SRL</t>
  </si>
  <si>
    <t>CENTRU DE DATE</t>
  </si>
  <si>
    <t>ST NOUA (statie de conexiuni 110 kV incadrata intrare-iesire (d.c. LES 0,6 km AL XLPE 1600 mmp) pe LES 110 kV Buc. Sud  - Mihai Bravu si o alimentare din statia Buc. Sud din fosta celula LEA 110 kV ICEMENERG, prin LES 110 kV 0,7 km AL XLPE 1600 mmp)</t>
  </si>
  <si>
    <t>08415481</t>
  </si>
  <si>
    <t>ONE COTROCENI PARK SRL</t>
  </si>
  <si>
    <t>BIROURI + SPATII COMERCIALE</t>
  </si>
  <si>
    <t>08651630</t>
  </si>
  <si>
    <t>SC SERBAN VODA OFFICE DEVELOPMENT SRL</t>
  </si>
  <si>
    <t>Imobil 3S+P+7E+ETehnic - U-Center 2</t>
  </si>
  <si>
    <t>08719653</t>
  </si>
  <si>
    <t>RC ARC DEVELOPMENT SRL</t>
  </si>
  <si>
    <t>parc tehnologic/comercial</t>
  </si>
  <si>
    <t>08818014</t>
  </si>
  <si>
    <t>H VICTORIA STIRBEI GALLERIES SRL</t>
  </si>
  <si>
    <t>PALATUL STIRBEI</t>
  </si>
  <si>
    <t>09000477</t>
  </si>
  <si>
    <t>SPITALUL CLINIC DE URGENTA PENTRU COPII GRIGORE ALEXANDRESCU</t>
  </si>
  <si>
    <t>CENTRU DE ARSI</t>
  </si>
  <si>
    <t>09365863</t>
  </si>
  <si>
    <t>ATLAS WAREHOUSING SRL</t>
  </si>
  <si>
    <t>HALE DEPOZITARE si BIROURI</t>
  </si>
  <si>
    <t>NORD</t>
  </si>
  <si>
    <t>09538326</t>
  </si>
  <si>
    <t>Vastint Romania</t>
  </si>
  <si>
    <t>Timpuri Noi Squre Faza 2 - Rev. 2</t>
  </si>
  <si>
    <t>MEGA MALL</t>
  </si>
  <si>
    <t>09778894</t>
  </si>
  <si>
    <t>Amplificare statie 110/20kV Mega Mall de la 2x16MV urmatoarele lucrari: - Demontare 2 TRAFO 110/20 kV 16 MVA existente; - Achizitionare si montare 2 TRAFO 110/20 kV 25 MVA; - Achizitionare si pozare cablu 630mmp; - Achizitie si montare capete terminale; Probe si teste.  </t>
  </si>
  <si>
    <t>SC FEPER SA</t>
  </si>
  <si>
    <t>PIPERA</t>
  </si>
  <si>
    <t>09852665</t>
  </si>
  <si>
    <t>UNIVERSITATEA DE STIINTE AGRONOMICE SI MEDICINA VETERINARA</t>
  </si>
  <si>
    <t>CLADIREA HORTICULTURA</t>
  </si>
  <si>
    <t>RADU ZANE</t>
  </si>
  <si>
    <t>10012527</t>
  </si>
  <si>
    <t>SECTORUL 4 AL MUNICIPIULUI BUCURESTI</t>
  </si>
  <si>
    <t>STATIA DE METROU TUDOR ARGHEZI</t>
  </si>
  <si>
    <t>S20 TR 10127302 METROU TUDOR ARGHEZI 1-M</t>
  </si>
  <si>
    <t>10127302</t>
  </si>
  <si>
    <t>In situatie de avarie a statiei Masini Grele, consumul statiei de metrou Tudor Arghezi se va prelua pe statia Vacaresti, prin urmare sunt necesare lucrari de intarire prin inlocuirea in celulele 20kV destinate alimentarii metroului a transformatoarelor de curent existente 300/5A cu transformatoare de curent noi 600/5A. Valoarea lucrarilor este de 28.181 ,31 lei.</t>
  </si>
  <si>
    <t>Pentru racordarea noului consumator sunt necesare lucrari de intarire a retelei de distributie,in amonte de punctul de racordare. Lucrarile de intarire a retelei, necesare, sunt reprezentate de amplificarea statiei Masini Grele, prin inlocuirea celor 2 transformatoare existente de 25 MVA, cu transformatoare cu puterea de 40 MVA si a grupurilor de tratare neutru existente prin montarea a doua bobine fixe (80-200 A). Aceste lucrari sunt prevazute a se realiza in anul 2022, de catre E-Distributie Muntenia. In conditiile actuale, puterea maxima ce se poate acorda din statia Masini Grele, fara a se depasi puterea maxima garantata, este de 455,31 kVA. Valoarea lucrarilor este de 5.693.731,50 lei fara TVA.</t>
  </si>
  <si>
    <t>COLOSSEUM MALL SRL</t>
  </si>
  <si>
    <t>magazin comercial</t>
  </si>
  <si>
    <t>LAROMET</t>
  </si>
  <si>
    <t>10815851</t>
  </si>
  <si>
    <t>VICTORIA LIMITED S.R.L</t>
  </si>
  <si>
    <t>BIROURI, SPATII COMERCIALE</t>
  </si>
  <si>
    <t>PANDURI</t>
  </si>
  <si>
    <t>03501159</t>
  </si>
  <si>
    <t>PAJURA</t>
  </si>
  <si>
    <t>UNIVERSITATEA 'TITU MAIORESCU"</t>
  </si>
  <si>
    <t>Imobil C1</t>
  </si>
  <si>
    <t>04384226</t>
  </si>
  <si>
    <t>PATINOARUL MIHAI FLAMAROPOL</t>
  </si>
  <si>
    <t>MIHAI BRAVU</t>
  </si>
  <si>
    <t>04492632</t>
  </si>
  <si>
    <t>MDM IMOB CENTER SRL</t>
  </si>
  <si>
    <t>birouri spatii comerciale</t>
  </si>
  <si>
    <t>04938296</t>
  </si>
  <si>
    <t>UNIVERSITATEA DIN BUCURESTI</t>
  </si>
  <si>
    <t>Imobil Corp A</t>
  </si>
  <si>
    <t>05553830</t>
  </si>
  <si>
    <t>MENUETULUI OFFICES SRL</t>
  </si>
  <si>
    <t>Racordare la RED cladire cu functiuni mixte- CORP C1</t>
  </si>
  <si>
    <t>06326382</t>
  </si>
  <si>
    <t>MULTIGALAXY SRL</t>
  </si>
  <si>
    <t>cladire birouri</t>
  </si>
  <si>
    <t>06392164</t>
  </si>
  <si>
    <t>CITY ROSE PARK SRL</t>
  </si>
  <si>
    <t>BIROURI SI SPATII COMERCIALE</t>
  </si>
  <si>
    <t>06393841</t>
  </si>
  <si>
    <t>PROMENADA MALL BUCURESTI SRL</t>
  </si>
  <si>
    <t>Promenada Mall - extindere</t>
  </si>
  <si>
    <t>ST NOUA (statie de conexiuni 110 kV incadrata intrare-iesire pe LES 110 kV Fundeni - Otopeni - racord d.c. 0,25 km, LES AL XLPE 1000 mmp)</t>
  </si>
  <si>
    <t>01323050</t>
  </si>
  <si>
    <t>La calculul regimului de fuctionare N-1 VSI 2022, VSI 2027 a rezultat depasita valoare de incarcare admisibila maxima a LES 110 kV Pajura-Timpuri Noi in varianta 3 (cu noul consummator 18,22 MVA). Pentru inlaturarea suprasarcinii, in SS a fost propusa limitarea puterii maxime absorbite de noul consumator la 15,5 MVA. 1. Pentru asigurarea puterii maxime simultan absorbite de consumator 18 ,22MVA este necesara inlocuirea unui tronson din LES Timpuri Noi-Pajura pe o lungime de 1,01km cu un cablu nou conform specificatiei EDM de 1600mmp Al. 2. In toate regimurile de functionare cu si fara noul consummator din studiu a rezultat supraincarcarea tronsonului LES 110kV Barbu Vacarescu ? Otopeni. Acesta supraincarcare nu este legata de aparitia noului consumator. Pentru inlaturarea acestei supraincarcari trebuie executate urmatoarele lucrari: - refacerea traversarii soselei de centura in asa fel incat sa se asigure o distanta de peste 2m intre LES Barbu Vacaresu ? Otopeni si LES Otopeni ? Philip Moris; refacerea traversarii va determina pentru fiecare din cele 2 linii o reducere a incarcarii maxime prevazute de producator cu numai 10%; - cablurile din subtraversarile celor 2 lini in prezent cu sectiunea de 1000mmpAl vor fi inlocuite in zonele de subtraversare cu cabluri conform specificatiei EDM de 1600mmpAl. Se va solicita producatorului cablului o estimare a posibilitatilor de incarcare maxima a cabluilor inlocuite in formula mentionata mai sus. Estimarea valorica vizeaza 2 traversari cu cate 1 cablu in lungime fiecare de cate 30m si realizarea a 4 seturi de mansoane cu incaperile subterane aferente si modificarile pentru cablurile de fibra optica si insotire. Nu au fost luate in considerare sub aspectul estimarii acestora, lucrarile in sistemul de transport referitoare la: - Amplificarea statiei Fundeni; - Realizarea unor statii noi de 400/110kV in zona de Nord sau in zona Grozavesti.</t>
  </si>
  <si>
    <t>Lucrarile din prezenta fisa de solutie se vor realiza pe investitia E-Distributie conform ordinului ANRE 11/2014 - Metodologia de stabilire a tarifelor de racordare a utilizatorilor la re?elele electrice de interes public, modificat si completat de Ordinul 87/2014). Valoarea aproximativa a lucrarilor de intarire este 92.500,00 Lei(fara TVA).</t>
  </si>
  <si>
    <t>SOLDIERS FIELD ESTATES SRL</t>
  </si>
  <si>
    <t>IMOBILE LOCUINTE COLECTIVE BLOCURILE B si C</t>
  </si>
  <si>
    <t>06559085</t>
  </si>
  <si>
    <t>HANNER IMOBILIARE SRL</t>
  </si>
  <si>
    <t>MALTARIE+CLADIRE NOUA</t>
  </si>
  <si>
    <t>02529260</t>
  </si>
  <si>
    <t>ANSAMBLU REZIDENTIAL</t>
  </si>
  <si>
    <t>MILITARI</t>
  </si>
  <si>
    <t>WELL PROPERTY MANAGEMENT SRL</t>
  </si>
  <si>
    <t>ANSAMBLU LOCUINTE COLECTIVE</t>
  </si>
  <si>
    <t>BANEASA</t>
  </si>
  <si>
    <t>05605242</t>
  </si>
  <si>
    <t>AVIATIEI NORD REAL ESTATE DEVELOPMENT SR L</t>
  </si>
  <si>
    <t>05605319</t>
  </si>
  <si>
    <t>05605233</t>
  </si>
  <si>
    <t>CENTRAL DISTRICT 4 ELEMENTE S.R.L.</t>
  </si>
  <si>
    <t>locuinte colective</t>
  </si>
  <si>
    <t>CET SUD</t>
  </si>
  <si>
    <t>04017494</t>
  </si>
  <si>
    <t>SIMART ARHITECTURE SA</t>
  </si>
  <si>
    <t>CRANGASI</t>
  </si>
  <si>
    <t>ANSAMBLU LOCUINTE</t>
  </si>
  <si>
    <t>ONE VERDI PARK SRL</t>
  </si>
  <si>
    <t>IMOBIL FUNCTIUNE MIXTA</t>
  </si>
  <si>
    <t>OBOR</t>
  </si>
  <si>
    <t>03584924</t>
  </si>
  <si>
    <t>S.C. PETROLEUM DEVELOPMENT S.R.L.</t>
  </si>
  <si>
    <t>Imobile locuinte colective</t>
  </si>
  <si>
    <t>06715470</t>
  </si>
  <si>
    <t>NOR RESIDENTIAL SOLUTIONS SRL</t>
  </si>
  <si>
    <t>corpuri de locuinte</t>
  </si>
  <si>
    <t>04187718</t>
  </si>
  <si>
    <t>_ Tinand cont de incarcarea Statiei de Transformare 110/20/10kV Pipera, a fost prevazut in planul de investitii al operatorului E-Distributie Muntenia, un proiect care prevede lucrari de descarcare a sarcinii din statia Pipera 20kV pe Statia Timpuri Noi 20kV. </t>
  </si>
  <si>
    <t>J2 EVOLUTION SRL</t>
  </si>
  <si>
    <t>IMOBIL LOCUINTE COLECTIVE</t>
  </si>
  <si>
    <t>06178303</t>
  </si>
  <si>
    <t>06860943</t>
  </si>
  <si>
    <t>MIHAI MARIAN</t>
  </si>
  <si>
    <t>IMOBIL LOCUINTE</t>
  </si>
  <si>
    <t>06859556</t>
  </si>
  <si>
    <t>ESTORIA VIEW SRL</t>
  </si>
  <si>
    <t>IMOBIL DIN 2CORPURI ALIPITE</t>
  </si>
  <si>
    <t>06834509</t>
  </si>
  <si>
    <t>KID PROJECT DESIGN SRL</t>
  </si>
  <si>
    <t>06850244</t>
  </si>
  <si>
    <t>Ansamblu locuinte</t>
  </si>
  <si>
    <t>RIN GRAND ESTATE SRL</t>
  </si>
  <si>
    <t>Imobil Locuinte Colective</t>
  </si>
  <si>
    <t>09911573</t>
  </si>
  <si>
    <t>IDEAL WEST RESIDENCE SRL</t>
  </si>
  <si>
    <t>DR TABEREI</t>
  </si>
  <si>
    <t>09894277</t>
  </si>
  <si>
    <t>GLOBAL DEVELOPMENT RESIDENCE SRL</t>
  </si>
  <si>
    <t>KOSAN INVESTMENT CONSTRUCTION SRL</t>
  </si>
  <si>
    <t>INCREST</t>
  </si>
  <si>
    <t>09550436</t>
  </si>
  <si>
    <t>ONE LAKE CLUB S.R.L.</t>
  </si>
  <si>
    <t>09133158</t>
  </si>
  <si>
    <t>imobile locuinte</t>
  </si>
  <si>
    <t>TRANSILVANIA</t>
  </si>
  <si>
    <t>09029828</t>
  </si>
  <si>
    <t>STROE FLORENTINA AURA</t>
  </si>
  <si>
    <t>Ansamblu Locuinte Colective si Spatii Comerciale</t>
  </si>
  <si>
    <t>08971741</t>
  </si>
  <si>
    <t>AKCENT NAVIGATIEI SRL</t>
  </si>
  <si>
    <t>09435503</t>
  </si>
  <si>
    <t>08651247</t>
  </si>
  <si>
    <t>PRECISE PROPERTY DEVELOPERS S.R.L</t>
  </si>
  <si>
    <t>IMOBIL LOCUINTE COLECTIVE-corp B</t>
  </si>
  <si>
    <t>08572012</t>
  </si>
  <si>
    <t>AFI PALACE BNOI S.R.L</t>
  </si>
  <si>
    <t>imobil locuinte</t>
  </si>
  <si>
    <t>03773165</t>
  </si>
  <si>
    <t>LAKEFIELD EXCLUSIVE LIVING SRL</t>
  </si>
  <si>
    <t>ANSAMBLU REZIDENTIAL etapa 1</t>
  </si>
  <si>
    <t>LAROMET IF</t>
  </si>
  <si>
    <t>08320153</t>
  </si>
  <si>
    <t>... Realizare legatura intre S20 BDP2 - Chitila IF si PT proiectat: - realizare racord in sistem intrare iesire intre SEP 7542 si PTAB 4589 prin pozarea a 2 cabluri MT de Al, cu izolatie XLPE, 3x(1x185) mm2, tip DC 4385 RO, protejat in tub, tip DS 4247, pe un traseu de aproximativ 150 m; - montare in PT nou proiectat un numar de 4 celule de linie, dupa cum urmeaza: ·,,2 celule de linie tip DY 803 RO/2 ? pentru ralizarea legaturii intre S20 BDP2 Chitila ? IF si PTAB 4589; ·,,o celula de linie cu intreruptor ?ICS? DY 800/116 - utilizata pentru realizarea cuplei longitudinale; ·,,o celula de linie tip DY 803 RO/2, utilizata pentru realizare cupla; Termenul de finalizare a lucrarilor de intarire pentru realizarea legaturii intre S20 BDP2 - Chitila IF si PT proiectat este prevazut pentru finalul anului 2022, iar valoarea proiectului de investitii se ridica la cca. 200.000 Lei. Lucrarile de intarire mai sus mentionate se afla in grija E-Distributie Muntenia.</t>
  </si>
  <si>
    <t>... In statia de transformare 110/20/10 kV Laromet se executa lucrari de intarire in vederea extinderii sta?iei 20 kV LAROMET Bucure?ti, amplificare cu 1x25 MVA + 1x40 MVA 110/20 kV ?i 2x16 MVA 10/20 kV, prin intermediul carora se monteaza si celule MT noi, lucrari finantate de E-Distributie Muntenia. Lucrarile din prezenta documentatie se vor corela cu cele din proiectul 200112-1 ?Extindere sta?ie 20 kV LAROMET Bucure?ti, amplificare cu 1x25 MVA + 1x40 MVA 110/20 kV ?i 2x16 MVA 10/20 kV?. Punerea in functiune a instalatiilor proiectate in prezenta fisa de solutie, este conditionata de realizarea lucrarilor de intarire prevazute in proiectul mai sus mentionat. Valoarea lucrarilor de intarire din statia de transformare Laromet este 11.807.349,99 lei (fara TVA) si termenul de realizare a lucrarilor este 31.12.2021.</t>
  </si>
  <si>
    <t>PARK PARTNERS S.R.L.</t>
  </si>
  <si>
    <t>DR.MORARILOR</t>
  </si>
  <si>
    <t>08244449</t>
  </si>
  <si>
    <t>IRMEX SA</t>
  </si>
  <si>
    <t>IMOBIL LOCUINTE COLECTIVE ( proiect Aviatiei Tower - faza 2)</t>
  </si>
  <si>
    <t>07898134</t>
  </si>
  <si>
    <t>IMOBIL LOCUINTE COLEVTIVE</t>
  </si>
  <si>
    <t>09416879</t>
  </si>
  <si>
    <t>NUSCO CITY SRL</t>
  </si>
  <si>
    <t>ANSAMBLU LOCUINTE NUSCO CITY</t>
  </si>
  <si>
    <t>07701263</t>
  </si>
  <si>
    <t>EDIFICIA STAR CONSTRUCT SRL</t>
  </si>
  <si>
    <t>07579991</t>
  </si>
  <si>
    <t>UNITATEA MILITARA 01802</t>
  </si>
  <si>
    <t>Cazarma 2770</t>
  </si>
  <si>
    <t>CACIULATI</t>
  </si>
  <si>
    <t>08124361</t>
  </si>
  <si>
    <t>LOGISTIC CONTRACTOR SRL</t>
  </si>
  <si>
    <t>SPOR PUTERE- HALA</t>
  </si>
  <si>
    <t>08134893</t>
  </si>
  <si>
    <t>MSL INVEST IMPEX SRL</t>
  </si>
  <si>
    <t>IMOBIL CONSTRUCTIE SPATIU DEPOZITARE</t>
  </si>
  <si>
    <t>08203227</t>
  </si>
  <si>
    <t>VODAFONE ROMANIA SA</t>
  </si>
  <si>
    <t>SPATIU TEHNOLOGIC TELECOMUNICATII</t>
  </si>
  <si>
    <t xml:space="preserve"> PIPERA</t>
  </si>
  <si>
    <t>08372250</t>
  </si>
  <si>
    <t>S.C. JUMBO EC.R S.R.L.</t>
  </si>
  <si>
    <t>Unitate de depozitare si birouri, anexe tehnice, platforme betonate, parcaje, organizare de santier, imprejmuire si utilitati</t>
  </si>
  <si>
    <t>LEORDENI IF</t>
  </si>
  <si>
    <t>08477557</t>
  </si>
  <si>
    <t>VILLAR LOGISTIC PARKS SRL</t>
  </si>
  <si>
    <t>HALA DEPOZITARE LOGISTICA</t>
  </si>
  <si>
    <t>DRAGOMIRESTI IF</t>
  </si>
  <si>
    <t>08491750</t>
  </si>
  <si>
    <t>S.C. WAREHOUSES DE PAUW ROMANIA S.R.L.</t>
  </si>
  <si>
    <t>Hale depozitare</t>
  </si>
  <si>
    <t>ARCUDA IF</t>
  </si>
  <si>
    <t>08900319</t>
  </si>
  <si>
    <t>TOMOGLASS PERFECT SRL</t>
  </si>
  <si>
    <t>Spatiu productie si depozitare</t>
  </si>
  <si>
    <t>JILAVA</t>
  </si>
  <si>
    <t>08943099</t>
  </si>
  <si>
    <t>CALIPSO SRL</t>
  </si>
  <si>
    <t>CACIULATI IF</t>
  </si>
  <si>
    <t>09116734</t>
  </si>
  <si>
    <t>UNITED PROPERTY INVESTMENT SERVICES SRL</t>
  </si>
  <si>
    <t>Statie tratare ape uzate</t>
  </si>
  <si>
    <t>09218317</t>
  </si>
  <si>
    <t>ELI 3 DEVELOPMENT S.R.L.</t>
  </si>
  <si>
    <t>Hala depozitare si spatii administrative (DC12, DC13, DC14)</t>
  </si>
  <si>
    <t>CHITILA</t>
  </si>
  <si>
    <t>09230641</t>
  </si>
  <si>
    <t>DELTA GLASS SRL</t>
  </si>
  <si>
    <t>ANEXA GOSPODAREASCA</t>
  </si>
  <si>
    <t>09255052</t>
  </si>
  <si>
    <t>SC CTPARK MIU SRL</t>
  </si>
  <si>
    <t>Depozit logistic</t>
  </si>
  <si>
    <t>CHITILA IF</t>
  </si>
  <si>
    <t>09811435</t>
  </si>
  <si>
    <t>STICS SRL</t>
  </si>
  <si>
    <t>imobil C1</t>
  </si>
  <si>
    <t>FCME</t>
  </si>
  <si>
    <t>09912338</t>
  </si>
  <si>
    <t>SPECTRUM CENTER S.R.L.,</t>
  </si>
  <si>
    <t>FABRICA de CONSERVE VIDRA</t>
  </si>
  <si>
    <t>COPACENI</t>
  </si>
  <si>
    <t>10470984</t>
  </si>
  <si>
    <t>ALCONOR COMPANY S.R.L.</t>
  </si>
  <si>
    <t>HALE PRODUCTIE</t>
  </si>
  <si>
    <t>01874608</t>
  </si>
  <si>
    <t>In noul punctul de conexiune ce se va amplasa in proprietatea beneficiarului, se va monta o celula de linie "LE" ( DY 803/416-1LE) - matricola 162322 pentru racord T3790 . Deasemenea se va intercepta cablul 20kV legatura PC2- T3790, in fata PC 2 se va mansona si se va prelungi pana in noul PC, amplasat pe proprietatea ALCONOR; Valoarea lucrarilor de intarire RED este de 24333.2 lei fara TVA. Lucrarile de intarire retea se vor executa de E-Distributie Muntenia S.A. pana la data de 31.12.2019 . Fara realizarea lucrarilor de intarire puterea maxim absorbita ce poate fi aprobata pentru noul loc de consum va fi de Pa=965kW. </t>
  </si>
  <si>
    <t>WAREHOUSES DE PAUW ROMANIA SRL</t>
  </si>
  <si>
    <t>PARC LOGISTIC SI DEPOZITARE</t>
  </si>
  <si>
    <t>Ilfov</t>
  </si>
  <si>
    <t>01946781</t>
  </si>
  <si>
    <t>Lucrari in PCZ 2910*PARMA FOOD: se va monta o celula de linie de acelasi tip cu cele existente in post.  Canalizare instalatii de medie tensiune: -,,Racord din PCZ 2910*PARMA FOOD: Se va monta un cablu 20kV de tip, 3x1x185mmp Al conform specificatiei EDM, DC 4385/2. Traseul va avea o lungime de cca 300 m. Lungime cablu cca. 310 m. Echipare punct de conexiune nou: Echipare compartiment de racordare In punctul de conexiune se va monta pe baza lucrarilor de intarire retea: -,,o celula de linie tip DY803/416; Valoarea puterii maxime care poate fi aprobata fara realizarea lucrarilor de intarire Pa = 4000 kW. </t>
  </si>
  <si>
    <t>PLASTIC RECYCLING EXPORT S.R.L</t>
  </si>
  <si>
    <t>HALA V DEPOZIT 2</t>
  </si>
  <si>
    <t>02979075</t>
  </si>
  <si>
    <t>UM 01961</t>
  </si>
  <si>
    <t>HANGAR MENTENANTA DE NIVEL COMPLEX-CAZARMA 546 OTOPENI</t>
  </si>
  <si>
    <t>06338665</t>
  </si>
  <si>
    <t>Tinand cont de incarcarea Statiei de transformare 28,24MVA, ca urmare a luarii in considerare atat a consumatorilor deja avizati, cat si pe cel al ?Hangar mentenanta de nivel complex pentru aeronave in cazarma 546 Otopeni?, rezulta necesitatea executiei de lucrari de intarire a retelei, in vederea realizarii conditiilor pentru racordarea noului utilizator. Pentru realizarea lucrarilor necesare racordarii noului consumator sunt necesare atat lucrari de intarire in statia de transformare 110 / 20 kV Otopeni, cat si lucrari de descarcare a statiei de transformare Otopeni pe statia de transformare 110/20 kV Transilvania. Lucrarile de intarire necesare in statia de transformare 110/20 kV Otopeni constau in: - Inlocuirea transformatoarelor de putere T1 si T2 de la 25 MVA, 20 / 0 ,4 kV la 40 MVA, 20 / 0,4 kV; - Inlocuirea cablurilor de medie tensiune dintre bornele de medie tensiune aferente T2 si celula trafo cu cabluri noi 2x(3x(1x630)) mmp; - Inlocuirea celordoua celule trafo aferente barelor rosie si verde cu celule noi 24kV, 1600A; - Inlocuirea celulei de cupla existenta cu o celula de cupla noua, 24 kV, 1600 A. Lucrarile de intarire necesare pentru descarcarea statiei de transformare 110/20kV Otopeni pe statia de transformare 110/20 kV Transilvania constau in: In baza avizului CTE nr. 92 / 10.09.2018 aferent fazei S.F. la lucrarea ?Realizare cabluri 20 kV din statia Philip Morris si descarcare consum LE 20 kV existente?, la cap. 3, Situatia proiectata, punctul b, se specifica ca se vor poza doua cabluri racordate in statia 110 / 20 kV Transilvania pana in posturile de transformare PT 4447, respectiv PT 4423, avand o lungime de aproximativ 1,6 km pentru racordul intre statie si PT 4447, respectiv 2,2 km intre statia si PT 4423. In cele doua posturi de transformare se va monta cate o celula de linie tip DY 803/416. Prin aceste lucrari se poate asigura descarcarea liniilor de 20 kV Blocuri Otopeni si Dimieni,implicit a statiei de transformare 110/20 kV Otopeni. Valoarea aproximativa a lucrarilor de intarire este de 4.500.000 lei fara TVA pentru varianta cu lucrari de intarire in statia de transformare 110/20 kV Otopeni, respectiv 500.000 lei fara TVA pentru varianta cu lucrari de intarire realizate prin descarcarea LE 20 kV Blocuri Otopeni si LE 20 kV Dimieni, implicit a statiei de transformare 110/20kV Otopeni pe noua statie de transformare 110/20kV Transilvania.  Se va achita o Garantie financiara in favoarea operatorului de retea. Utilizatorul este conditionat doar de una dintre cele doua lucrari de intarire, astfel incat in urma realizarii uneia dintre cele doua lucrari de intarire va putea absorbi toata puterea maxim simultan absorbita conform cererii de racordare.</t>
  </si>
  <si>
    <t>BUFTEA</t>
  </si>
  <si>
    <t>AVANGARDE HOME SRL</t>
  </si>
  <si>
    <t>09532044</t>
  </si>
  <si>
    <t>Pentru asigurarea continuitatii in alimentarea cu consumatorilor sunt necesare realizarea lucrarilor de intarire cuprinse in proiectul nr. 913/52088-" Injectiii MT noi din statia 110 / 20 kV Increst pentru descarcare L 20 kV Mc?Donalds, Chiajna si Rosu", intocmit conform Aviz CTE nr. 20/23.04.2021. Lucrarile de intarile constau in: 1. Lucrari in statia de transformare 110 / 20 kV Increst In statia de transformare 110 / 20 kV Increst exista doua celule libere, celula 6, respectiv celula 19 (cate una pe fiecare sectie de bara). 2. Pozare injectii MT noi In cele doua celule libere din containerul de medie tensiune aferent statiei de transformare 110 / 20 kV Increst se va racorda cate un cablu de medie tensiune conform specificatiei tehnice DC 4385 RO; Cele doua cabluri noi proiectate intre celula numarul 6 si PTAb 2239, respectiv intre celula numarul 19 si PTAb 5276 se vor poza pe domeniul public al sectorului 6, municipiul Bucuresti si implicit in zona comunei Chiajna. De-a lungul traseului, paralel cu cele doua cabluri de medie tensiune se va poza si un cablu de fibra optica FO 24, conform specificatiei tehnice GSCF002, pozat intr-un tub de 90 mmp. Valoarea proiectului de investitii se ridica la cca. 2.410.250,22 Lei. Lucrarile de intarire mai sus mentionate se afla in grija E-Distributie Muntenia.</t>
  </si>
  <si>
    <t>H4L PIPERA SRL</t>
  </si>
  <si>
    <t>09368688</t>
  </si>
  <si>
    <t>POINT DEVELOPMENT SRL....</t>
  </si>
  <si>
    <t>PIPERA IF</t>
  </si>
  <si>
    <t>08941932</t>
  </si>
  <si>
    <t>LOCUINTE</t>
  </si>
  <si>
    <t>09712531</t>
  </si>
  <si>
    <t>SC CTO AGROTECH PRODUCTION SRL</t>
  </si>
  <si>
    <t>Statia 110/20kV Titu</t>
  </si>
  <si>
    <t>Celula noua LEA 110kV in Statia Titu , racord 110kV si Statie noua 110/20kV CEF CTO Agrotech Production</t>
  </si>
  <si>
    <t>3060220107523</t>
  </si>
  <si>
    <t>08.08.2022</t>
  </si>
  <si>
    <t>ZANTIALA SOLAR SRL</t>
  </si>
  <si>
    <t>KRONOSPAN TRADING SRL</t>
  </si>
  <si>
    <t>Statia 110/20 kV Stupini, bara 110 kV</t>
  </si>
  <si>
    <t>UPRUC CTR SA</t>
  </si>
  <si>
    <t>Statia 110/6 kV IUCh Fagaras</t>
  </si>
  <si>
    <t>Pentru alimentarea cu energie electrica a SC UPRUC CTR SA se propune folosirea celulelor de linie 6 kV existente Pompe Olt 1 si Pompe Olt 2 din Statia 110/6 kV IUCh Fagaras</t>
  </si>
  <si>
    <t>23.08.2022</t>
  </si>
  <si>
    <t>CONSILIUL JUDETEAN SIBIU</t>
  </si>
  <si>
    <t>sectia 1A de bare 20 kV din Stația 110 / 20 kV Aeroport</t>
  </si>
  <si>
    <t>31.08.2022</t>
  </si>
  <si>
    <t>WINDKRAFT SIMONSFELD RO S.R.L.</t>
  </si>
  <si>
    <t>CEE Coronini 142,4 MW</t>
  </si>
  <si>
    <t>CARAS SEVERIN</t>
  </si>
  <si>
    <t>Moldova Noua</t>
  </si>
  <si>
    <t>Conform lucrarii EEI-SS-698/2021 V3/06.04.2022-Studiu de solutie- elaborata de S.C. Electroechipament Industrial SRL în colaborare cu Universitatea POLITEHNICĂ din Bucureşti, Facultatea de Energetică în calitate de consultant de specialitate- Varianta 2B - avizat de TRANSELECTRICA SA cu AVIZ CTES nr. 127/2022 si avizat de E-Distributie Banat SA cu Aviz CTE nr. 8/1/IT/06.04.2022, solutia de racordare consta in racord în antenă în stația 110/20/6kV Moldova Nouă .
Aceasta varianta presupune evacuarea puterii la nivel de tensiune de 110kV printr-un racord direct, in antena in statia 110/MT Moldova Noua proprietate a OD E-Distributie Banat.
Elementele de reţea necesare realizării variantei 2B de racordare a CEE Coronini 142,4 MW sunt următoarele:
• Celula 110kV de racord in statia 110kV Moldova Noua
• LES 110kV intre statia Moldova Noua si statia 33/110kV CEE Coronini, realizata cu cablu A2XS(FL)H 3 X (1x1200/50mm2), in lungime de aproximativ 4,5km.
Soluția de racord este în antenă în Stația Moldova Nouă și presupune utilizarea unei celule 110kV aflata in rezerva si un racord in cablu in aceasta celula.
Celula de racord a fost realizată în trecut pentru același investitor.
Celula este functionala si complet echipată cu echipament primar si protecțiile aferente.
Echipamentul primar din componența celulei în situația existentă este:
– întreruptor trifazat de exterior 123kV, 1600A, 6000MVA cu SF6, acţionare monofazată cu resort -1buc;
– separator linie tripolar de exterior, montaj paralel, 123kV, 1600A, cu două CLP, cu dispozitiv de acţionare electric la cuţitele principale şi pentru CLP - 1buc;
– transformator de curent în SF6, 123kV, 2x600/5/5/5/5A - 30/30/30/30VA 0,2S/0,5/5P10/5P10 - 3buc;
– transformator de tensiune în SF6, 123kV, 110/V3 //0,1/V3 //0,1/V3 //0 ,1/3kV - 30/30/30VA 0,2/3P/3P - 3buc;
– descărcătoare 123kV cu ZnO, Un=96kV – 3 buc. – separator bare 1 tripolar de exterior, montaj paralel, 123kV, 1600A, cu un CLP inversat, cu dispozitiv de acţionare electric la cuţitele principale şi pentru CLP - 1buc;
– separator bare 2 tripolar de exterior, montaj paralel, 123kV, 1600A, fără CLP, cu dispozitiv de acţionare electric la cuţitele principale - 1buc;
– cutie cu cleme de şir XmKT - 1buc;
– lanţuri de izolatoare duble de întindere din compozit - 3buc;
– izolatoare suport 123kV – 3 buc; – conductoare din OL- AL de 300/50 mm2;
– Cleme de racord la aparate şi barele colectoare
Pentru racordul in cablu sunt prevazute fundatii urmănd ca beneficiarul sa monteze capetele terminale la momentul montajului cablului 110kV de legatura cu statia 33/110kV din parc.
Echipamentul secundar din componenta celulei in situatia existenta este:
- Dulap protecţie LEA IT - DQ7010 (protecţii DV7036C - 1buc, DV7035 - 1buc., DV901A2 - 1buc.)
- Dulap servicii proprii DV7071 (c.a.+c.c.)
- Dulap TPT 2000 I.
I Lucrari pe tarif de racordare:
- Montarea de suporti metalici pe fundatiile existente in vederea instalarii capetelor terminale pentru cablul 110kV. Cablul se va instala de beneficiar.
- inlocuirea transformatoarelor de curent de masura 110kV existenti de tip 2x300/5/5/5/5A 0.2S cu transformatoare de curent de masura 110kV cu raport de transformare 2x600/5/5/5/5A 0,2S/0,5/5P10/5P10.
II.Lucrari ce se realizeaza prin grija beneficiarului:
Elementele de reţea necesare realizării variantei 2B de racordare a CEE Coronini 142,4 MW sunt următoarele:
-statie de transformare 110 kV/MT aferentă utilizator, inclusiv celula 110 kV intrerupator (cu rol de dispozitiv general, dispozitiv de interfata cu protectiile aferente)
- LES 110kV (inclusiv FO) intre statia Moldova Noua si statia 33/110kV CEE Coronini, in lungime de aproximativ 4,5km.
- realizare cai de comunicatie de la instalatiile de monitorizare si instalatiile de reglaj secundar ale noii centrale pana la interfata cu Transelectrica;
- montare analizor pentru monitorizarea calitatii energiei electrice.</t>
  </si>
  <si>
    <t>Realizarea lucrarilor de intarire generale in RET:
Pentru relizarea Etapei 1 a CEE Coronini (P = 99 MW ), lucrarile de intarire necesare constau in:
- trecerea de la 220 kV la 400 kV a LEA Resita – Timisoara ( prevazuta in planul de investitii al OTS cu termen PIF 2026).
- inlocuirea in Statia Resita 400/220/110 kV a AT 400/110kV, 250 MVA cu AT 400/110 kV , 400 MVA.
Pentru realizarea Etapei 2 a CEE Coronini (Putere debitata aditional fata de etapa 1- 43,4 MW ) , lucrarile de intarire necesare constau in inlocuirea in Statia Resita 400/220/110 kV al AT 400/220kV , 400 MVA cu AT 400/220 kV, 500 MVA .</t>
  </si>
  <si>
    <t>CENTRALA ELECTRICA FOTOVOLTAICA IRATOSU 2</t>
  </si>
  <si>
    <t>Conform lucrarii L. nr. 2071/2021 -Studiu de solutia revizuit in data de 22.06.2022- revizia 2-elaborat de SC INFOWATT SRL, avizat de E-Distributie Banat SA cu Aviz CTE nr. 26/01/22.06.2022-Solutia 1, aleasa de utilizator prin adresa nr.123991/19.08.2022, alimentarea cu energie electrica consta in racordare in LES 20 kV PT 1079 Fabrica de canepa Iratosu – stalpul 85 separatorul 3169 din LEA 20 kV Sofronea, Statia 110/20 kV Poltura, cu realizarea urmatoarelor lucrari:
 a) Lucrari pe tarif de racordare :
Racordarea intrare – iesire in LEA 20kV Sofronea din statia 110/20 kV Poltura prin sectionare LES 20kV existenta intre PT 1079, respectiv stalpul 85 cu separatorul 3169 cu LES 20kV proiectata realizata cu cablu tip XLPE2x 3x(1x185mm2) in lungime totala de 2x20m intre celulele de linie LE din PC si locul de sectionare. Punctul de conexiune 20kV va fi compartimentat (compartiment de racordare, compartiment utilizator) în clădire pusă la dispoziţie de beneficiar, cu acţionare din interior şi cu acces separat direct din exterior pentru compartimentul de racordare. Punctul de conexiune va fi amplasat pe un teren pus la dispozitie de beneficiar. Racordarea se va realiza prin intermediul unui punct de conexiune de 20 kV, echipat conform cerinte E-Distributie Banat :
- echipare punct de conexiune compartiment OD cu:
- 2 celule de linie (1LE)
- 1 celulă de măsură (1UT) pentru CEF Iratosu 2, cu plecare în cablu, de 24 kV – 400A – 16 kA, echipată cu 2 transformatoare de curent 400/5A, cls.0,2S şi 2 transformatoare de tensiune 20/0.1kV cls. 0,2;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contor cu telecitire bidirecţional, clasa 0,2 S (pus la dispoziţie de OD);
b) Lucrari ce se realizeaza prin grija beneficiarului :
Echipare punct de conexiune compartiment Utilizator, conform PD_IO 1815-EDB -PL86 “Criterii tehnice de racordare a clienților la rețelele de ÎT, MT, JT” si anume:
- 1 celulă DG, echipată cu separator şi întreruptor
- 1 celula de utilizator – sosire CEF, cu funcţie DI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Lucrari in amonte de punctul de racordare:
In LEA 20 kV Sofronea, inlocuirea sectiunii Ol-Al 6/35 existenta intre stalpul Nr. 41 de derivatie la PT 4601 Sanpaul 2 si stalpul Nr. 85 cu SS 3169 derivatie la PT 1079 in lungime de 2,536 km, 45 stalpi, cu sectiune OlAl 8/50 mmp.
Se prevede inlocuirea a 3 stalpi, a sectiunii si izolatiei cu izolatie compozita.</t>
  </si>
  <si>
    <t>ESPE ENERGIA S.R.L.</t>
  </si>
  <si>
    <t>CEF MACEA</t>
  </si>
  <si>
    <t>Conform lucrarii : EEI-SS-735/2022 revizuit editia 07.07.2022 2. -Racordare la sistem CEF MACEA 4,472MW loc. Sanmartin, CF 301726; 301735; 302229 ? jud.Arad elaborata de ELECTROECHIPAMNET INDUSTRIAL S.R.L, avizat la E-Distributie Banat SA cu documentul Aviz CTE nr. 21/01/07.06.2022, tinand seama de situatia energetica din zona precum si de datele solicitate de utilizator, solutia de racordare consta in realizarea urmatoarelor lucrari :   Pentru realizarea variantei de racordare sunt necesare urmatoarele lucrari: I) Lucrari pe tarif de racordare : Racordarea intrare ? iesire in LEA 20kV Socodor din statia 110/20 kV Chisineu Cris prin sectionare LES 20kV existenta intre PT 4743 si stp.154 si mansonare cu LES 20kV proiectata realizata cu cablu tip XLPE2x 3x(1x185mm2) in lungime totala de 2x60m intre celulele de linie LE din PC si locul de sectionare. Punctul de conexiune 20kV va fi compartimentat (compartiment de racordare, compartiment(e) utilizator) în cl?dire pus? la dispozi?ie de beneficiar, cu ac?ionare din interior ?i cu acces separat direct din exterior pentru compartimentul de racordare. Punctul de conexiune va fi amplasat pe un teren pus la dispozitie de beneficiar. Racordarea se va realiza prin intermediul unui punct de conexiune de 20 kV, echipat conform cerinte E-Distributie: - echipare punct de conexiune compartiment OD cu: - 2 celule de linie (1LE) - 1 celul? de m?sur? (1UT) pentru CEF Macea, cu plecare în cablu, de 24 kV ? 400A ? 16 kA, echipat? cu 2 transformatoare de curent 400/5A, cls.0 ,2S ?i 2 transformatoare de tensiune 20/0.1kV cls. 0,2; - echipamente pentru integrarea în sistemul de telecontrol E?Distribu?ie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contor cu telecitire bidirec?ional, clasa 0,2 S (pus la dispozi?ie de OD); ,, II) Lucrari ce se realizeaza prin grija si pe cheltuiala utilizatorului reprezentand instalatie de utilizare: Echipare punct de conexiune compartiment Utilizator, conform PD_IO 1815-EDB -PL86 ?Criterii tehnice de racordare a clien?ilor la re?elele de ÎT, MT, JT? si anume: - 1 celul? DG, echipat? cu separator ?i întreruptor - 1 celula de utilizator ? sosire CEF, cu func?ie DI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t>
  </si>
  <si>
    <t>09104104</t>
  </si>
  <si>
    <t>HELLA ROMANIA SRL</t>
  </si>
  <si>
    <t>Hala productie si depozitare, Corp administrativ</t>
  </si>
  <si>
    <t>EUROPE LOGISTICS S.R.L.</t>
  </si>
  <si>
    <t>CENTRU COMERCIAL AFI</t>
  </si>
  <si>
    <t>UVA AR</t>
  </si>
  <si>
    <t>INTERNATIONAL ALEXANDER SRL</t>
  </si>
  <si>
    <t>Statie Carburanti cu amenajarile aferente</t>
  </si>
  <si>
    <t>FANTANELE AR</t>
  </si>
  <si>
    <t xml:space="preserve">	
08800749</t>
  </si>
  <si>
    <t>CRISTIAN-DANIEL GHERASIM</t>
  </si>
  <si>
    <t>DEPOZIT LOGISTIC</t>
  </si>
  <si>
    <t>BUJAC AR</t>
  </si>
  <si>
    <t>ALUM S.A.</t>
  </si>
  <si>
    <t xml:space="preserve">	Uzina de alumina</t>
  </si>
  <si>
    <t xml:space="preserve">	
ALUMINA 110/6 KV</t>
  </si>
  <si>
    <t>IN INSTALATIA UTILIZATORULUI GRUPUL GENERATOR NUMARUL 1 SE VA INLOCUI CU UN GRUP GENERATOR NOU 13,4 MW (CE VA FUNCTIONALA LA ACEIASI PUTERE EXISTENTA IN CONVENTIA DE EXPLOATERE DE 12 MW), FARA DEPASIREA PUTERII APROBATE ANTERIOR PRIN ATR 252005/16.07.2012.
PUNEREA SUB TENSIUNE A GRUPURILOR GENERATOARE, PTR. PROBE SI CERTIFICAREA CONFORMITATII TEHNICE SE VA REALIZA CU RESPECTAREA CERINTELOR ORDINULUI 51 DIN 2019 SI ORDINULUI 208 DIN 2018</t>
  </si>
  <si>
    <t>E-Distributie Dobrogea</t>
  </si>
  <si>
    <t xml:space="preserve">	
</t>
  </si>
  <si>
    <t xml:space="preserve">	CONSTANTA</t>
  </si>
  <si>
    <t xml:space="preserve">	
110</t>
  </si>
  <si>
    <t xml:space="preserve">	
LUMINA 110/20KV</t>
  </si>
  <si>
    <t>Lucrarile pe tarif de racordare: •,,In statia Sitorman se vor monta 2 dulapuri dedicate cate unul pentru fiecare linie (circ. 1 + circ. 2 LEA 110kV Midia – Sitorman). Fiecare dulap va fi echipat cu 2 terminale numerice (baza si rezerva) din care primul terminal va fi compatibil cu terminalul din capatul opus liniei (din statia CET Midia) pentru realizarea protectiei diferentiale. Terminalele nou montate se vor integra in sistemul de telecontrol E-DD. •,,In statia Lumina se vor monta 2 dulapuri dedicate cate unul pentru fiecare linie (circ. 1 + circ. 2 LEA 110kV Midia – Lumina). Fiecare dulap va fi echipat cu 2 terminale numerice (baza si rezerva) din care primul terminal va fi compatibil cu terminalul din capatul opus liniei (din statia CET Midia) pentru realizarea protectiei diferentiale. Terminalele nou montate se vor integra in sistemul de telecontrol E-DD si in schema DRRI existenta la nivelul 110kV. •,,Montare OPGW / OPUG (traseu Lumina – UT Midia) –9,2km; •,,Montare OPGW / OPUG (traseu Sitorman – UT Midia) – 18,80km. Lucrari ce se realizeaza prin grija si pe cheltuiala utilizatorului. În valoarea acestei investiții intră costul estimat al următoarelor echipamente: •,,Celulă (transformator) 110 kV – 2 buc; •,,Trafo 110/11 kV, 50 MVA – 2 buc; •,,Celulă măsură 110 kV – 2 buc; •,,Celulă 11 kV – 2 buc; •,,Protecții PDB și DRRI – 1 buc; •,,Overall stație MT – 1 buc. •,,sistem de management al energiei. UT Midia va fi echipata un sistemul de management integrat al puterilor produse și consumate, astfel încât nu va depăși puterea maximă evacuată în rețea.</t>
  </si>
  <si>
    <t>Centrala Electrica Fotovoltaica Oltenita 2</t>
  </si>
  <si>
    <t>la nivelul de tensiune de 20 kV bara 20kV din statia electrica de transformare 110/20kV Oltenita SUD</t>
  </si>
  <si>
    <t xml:space="preserve">	
OLTENITA SUD 110/20 KV</t>
  </si>
  <si>
    <t>Lucrari pe tarif de racordare -racordarea CEF Oltenita 2 la bara de 20kV din statia 110/20kV Oltenita SUD 1 Lucrari in statia 110/20kV Oltenita SUD ,,Reconfigurare sistem bare 20kV in st Oltenita SUD astfel: Pentru instalarea noii celule in statia OLTENITA SUD se va demonta celula 16Y, iar linia racordata(LE 20kV Dunarea) in aceasta celula va fi mutata in celula de rezerva 1. Celula de rezerva 1 se va reechipa astfel: • 2 x separator de bare 630A • Intrerupator debrosabil 630A • 3xTC 400/5A, cls. 0,2s • 1xTCH 100/1A • Separator de punere la pamant Deasupra celulei de linie 18Y se vor sectiona barele transversale ale statiei. Bara 1-20kV va fi intrerupta deasupra celulei 18Y. Bara 2-20kV va fi conectata intr-o celula de racord in bare, noua,compacta 24kV, 1600A, cu izolatie in aer, de tipul DY732RO/2. In continuarea ei se va instala 1celula noua, compacta, 24kV, 1600A, izolate in aer cu intreruptor in vid, cu translatie verticala de tipul DY696A în care se va realiza racordul CEF OLTENITA 2. Celula noua de racord pentru CEF OLTENITA 2 va fi echipata astfel: ▪ Intreruptor debrosabil in vid, 24kV, 630A, conform DY503 ▪ 3xTC, 300/5A, 10VA, 5P, tip DY75, conform DY751 ▪ 1xTHC 100/1A ▪ Separator de punere la pamant Pentru celula de linie relocata, toate circuitele secundare se vor conecta in releul existent in statie corespunzatoare vechilor celule de 20kV.Circuitele secundare din celula pentru noul racord vor fi integrate prin intermediul unui releu de protectie DV901A2NCI nou care se va instala in zona de circuite secundare a statiei OLTENITA SUD. 2 Racord LES 20kV +FO - LES 20 kV cu cablu Al 3x185 mmp+FO în lungime de 0,260km cu traseul de la celula proiectata din staţia 110/20 kV Oltenita SUD până la punctul de conexiune de 20 kV proiectat , amplasat la cca 260m de statia Oltenita SUD ; Pe traseul de medie tensiune care realizeaza racordul intre PC nou si ST OLTENITA SUD se va instala si o fibra optica. 3 PC 20 kV proiectat in anvelopa de beton amplasata la cca 270m de statia Oltenita SUD echipata cu: ·,,1 celule de linie motorizate 24 kV, 630A, 16 kA cu separator de sarcina in SF6 conf. DY803/416-LE ed. 2 ·,,o celula de masura conf. DY 803M/316-1UT cu separator si grup de masura format din două transformatoare de tensiune 20/0,1 kV, clasa de precizie 0,5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APC&lt;(&gt;,&lt;)&gt; 2m – 2 buc, PATCH-PANNEL FO MONOMODE pentru 24 fibre oprice - E2000/APC complet echipat – 2 buc, Patch-cord ftp cat. 6e (lungime 1 m), Patch-cord ftp cat. 6e (lungime 10 m) Achizitia si montarea contorului de revin in sarcina Operatorului de Distributie. Tensiunea 0,4 kV necesara telecontrolului va fi asigurata din instalatiile beneficiarului. Punctul de conexiune 20 kV va fi in anvelopa de beton amplasat langa statia 110/20kV Oltenita SUD, cu acces din domeniu public si va fi alcatuit din doua compartimente cu acces separat fiecare: unul cu acces numai pentru personalul EDD (compartiment de racordare) iar cealalalt cu acces pentru utilizator (compartiment utilizator). Anvelopa va fi prevazuta si cu nisa pentru montarea contorului de decontare cu posibilitatea vizualizarii atat de catre E-Distributie Dobrogea cat si de catre beneficiar. Lucrari ce se realizeaza prin grija beneficiarului: - Anvelopa de beton compusa din doua incaperi cu acces separat fiecare, o incapere fiind pentru montarea echipamentelor 20 kV EDD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trepte;2. functie protectie de frecventa minima /maxima in 2 trepte; 3. functie de protectie de maxima de tensiune mediata la 10 minute. -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 in lungime de 4,7km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</si>
  <si>
    <t>CONFORT URBAN SRL</t>
  </si>
  <si>
    <t>INSTALATIE PRODUCERE MIXTURI ASFALTICE,BETOANE SI CONCASARE</t>
  </si>
  <si>
    <t>09952250</t>
  </si>
  <si>
    <t xml:space="preserve">	
Plot de Irigatii SPP6-6 si CA2/OUAI</t>
  </si>
  <si>
    <t>Sacele</t>
  </si>
  <si>
    <t>10105598</t>
  </si>
  <si>
    <t xml:space="preserve">	
1.144</t>
  </si>
  <si>
    <t>AGROZOOTEHNICA PIETROIU S.A.</t>
  </si>
  <si>
    <t>Unitate de conditionare si procesare lucerne</t>
  </si>
  <si>
    <t>Pietroiu</t>
  </si>
  <si>
    <t xml:space="preserve">	
10264364</t>
  </si>
  <si>
    <t xml:space="preserve">	
DIRECTIA HIDROGRAFICA MARITIMA - UM 02133</t>
  </si>
  <si>
    <t>PT65 Scoala de Marina</t>
  </si>
  <si>
    <t>10413380</t>
  </si>
  <si>
    <t>ONE LAKE CLUB</t>
  </si>
  <si>
    <t>10347983</t>
  </si>
  <si>
    <t>VALUE INVESTOR EXPERT SRL</t>
  </si>
  <si>
    <t>09717953</t>
  </si>
  <si>
    <t>SF 913/IT106?Amplificare sta?ie 20 kV DUDE?TI de la 2x25 MVA la 2x40 MVA?,aviz CTE nr.03/1/05.11.2021 . Lucrarile de intarire retea se vor executa de E-Distributie Muntenia S.A. in 24 luni din momentul semnarii contractului de racordare. Valoarea lucrarilor de intarire este de 6.995.814,41 lei fara TVA.</t>
  </si>
  <si>
    <t>UM 02512 BUCURESTI</t>
  </si>
  <si>
    <t>Cazarma 3525 Clinceni</t>
  </si>
  <si>
    <t>DOMNESTI</t>
  </si>
  <si>
    <t>09239826</t>
  </si>
  <si>
    <t>MIDA SOFT BUSINESS SRL</t>
  </si>
  <si>
    <t>Hala depozitare si productie</t>
  </si>
  <si>
    <t>POPESTI LEORDENI</t>
  </si>
  <si>
    <t>10643213</t>
  </si>
  <si>
    <t>EDEN CAPITAL DEVELOPMENT SRL</t>
  </si>
  <si>
    <t>AEE - apartamente(partial bl. A, sc A1-A12)</t>
  </si>
  <si>
    <t>09778983</t>
  </si>
  <si>
    <t>Solas Electricity SRL</t>
  </si>
  <si>
    <t>CEF Nadab 1</t>
  </si>
  <si>
    <t>racordare în statia de conexiune 400/110 kV Nadab</t>
  </si>
  <si>
    <t>se racordează  în stația de conexiune 400 kV Nădab prin extinderea stației. Se va realiza o stație de transformare 400/110 kV aferente CEF Nădab 1 care se va racorda prin LES 400 kV în extinderea stației Nădab.</t>
  </si>
  <si>
    <t>16/36998</t>
  </si>
  <si>
    <t>59/2013</t>
  </si>
  <si>
    <t>Valabil</t>
  </si>
  <si>
    <t>Dara Solar Investment SRL</t>
  </si>
  <si>
    <t>CEF Nadab 2</t>
  </si>
  <si>
    <t>se racordează  în stația de conexiune 400 kV Nădab prin extinderea stației. Se va realiza o stație de transformare 400/110 kV aferente CEF Nădab 2 care se va racorda prin LES 400 kV în extinderea stației Nădab.</t>
  </si>
  <si>
    <t>17/37136</t>
  </si>
  <si>
    <t>Copper Beech Urban Development SRL</t>
  </si>
  <si>
    <t>CEF Bucșani</t>
  </si>
  <si>
    <t xml:space="preserve">statie noua 400 kV Bucșani racordată  intrare – ieșire în LEA 400 kV Domnești – Urechești </t>
  </si>
  <si>
    <t>Racordarea în sistem intrare – ieșire în LEA 400 kV Domnești – Urechești, prin realizarea unei noi stații 400 kV Bucșani, amplasată la aproximativ 33 km distanță față de stația 400 kV Domnești și evacuarea puterii printr-un transformator 400/110 kV, 250 MVA.</t>
  </si>
  <si>
    <t>Oresi Alpha SRL</t>
  </si>
  <si>
    <t>CEF Iancu Jianu</t>
  </si>
  <si>
    <t>statie noua 400 kV Iancu Jianu racordată  intrare – ieșire în  LEA 400 kV Slatina - Porțile de Fier</t>
  </si>
  <si>
    <t xml:space="preserve">Racordarea în LEA 400 kV Slatina - Porțile de Fier, prin secționarea liniei si
realizarea unei stații 400 kV în zona Iancu Jianu
</t>
  </si>
  <si>
    <t>20/39166</t>
  </si>
  <si>
    <t>nu au fost precizate în studiul de soluție;</t>
  </si>
  <si>
    <t>ELA ENERGY PH S.R.L.</t>
  </si>
  <si>
    <t>9,99</t>
  </si>
  <si>
    <t>Statia BALTESTI 110/20kV</t>
  </si>
  <si>
    <t>Montare celula noua 20kV in Statia Baltesti 110/20kV, racord LES 20kV (cca 6,5km) si PC nou.</t>
  </si>
  <si>
    <t>15.09.2022</t>
  </si>
  <si>
    <t>UNITED POWER TRADING SRL</t>
  </si>
  <si>
    <t>AXA CARP STANA</t>
  </si>
  <si>
    <t>14.09.2022</t>
  </si>
  <si>
    <t>09.09.2022</t>
  </si>
  <si>
    <t>Statia Victoria 110/6kV</t>
  </si>
  <si>
    <t>Schimbare TC existente 300/5/5/5 A cu 3xTC 200/5/5/5 A clasa de precizie 0,2 S</t>
  </si>
  <si>
    <t>SUBSTATIE DE REDRESARE A OTELULUI</t>
  </si>
  <si>
    <t>MOCIUR RE</t>
  </si>
  <si>
    <t>cladiri hale</t>
  </si>
  <si>
    <t>11007373</t>
  </si>
  <si>
    <t>A3 RETAIL PARK</t>
  </si>
  <si>
    <t>11157492</t>
  </si>
  <si>
    <t>U.M. 1026 Bucuresti</t>
  </si>
  <si>
    <t>UM 01026 BUCURESTI</t>
  </si>
  <si>
    <t>11042561</t>
  </si>
  <si>
    <t>PRUTUL SA</t>
  </si>
  <si>
    <t>Statia de transformare 110/20kV Laminoru</t>
  </si>
  <si>
    <t>Racord PC 20/6kV PC 4 ,,Prutul" in PC 2030 Prutul 1</t>
  </si>
  <si>
    <t>ADMINISTRATIA NATIONALA A PENITENCIARELOR</t>
  </si>
  <si>
    <t>LEA 20kV PANTAZI</t>
  </si>
  <si>
    <t>RENEWABLE ENERGY SERVICES SRL</t>
  </si>
  <si>
    <t>LEA 20 KV JIBOU-CEHU SILVANIEI</t>
  </si>
  <si>
    <t>IB VOGT ALFA SRL</t>
  </si>
  <si>
    <t>ST.110/20 kV Palota</t>
  </si>
  <si>
    <t>SC HIPERMOB SRL</t>
  </si>
  <si>
    <t>CLUJ-NAPOCA</t>
  </si>
  <si>
    <t>LES 10kV, PTZ MINIERA</t>
  </si>
  <si>
    <t>SEPARARE</t>
  </si>
  <si>
    <t>METROM TRADING SA</t>
  </si>
  <si>
    <t>KEK HAL SRL</t>
  </si>
  <si>
    <t>HARGHITA. SATU MARE. SATU MARE. FN</t>
  </si>
  <si>
    <t>LEA 20 KV ODORHEI 7D21O314</t>
  </si>
  <si>
    <t>- inlocuire stalp nr. 6 tip SE 4T cu stalp nr. 6 tip SC 15015 din derivatia Techend - linia 20 kV Odorheiu Secuiesc – Vlahita ; - stalpul nr. 6 nou proiectat - echipat cu separator STEP No 24kV/400A si descarcatori cu oxid de zinc ; - realizare LES 20 kV, cu cablu tip A2XS(FL)2Y 3x1x95/16 mmp (L = 250 m), intre stalpul nr. 6 pr. si punctul de conxiune PC 20 kV pr.</t>
  </si>
  <si>
    <t>GREEN ENERGY AJT SRL</t>
  </si>
  <si>
    <t xml:space="preserve"> Bocsa</t>
  </si>
  <si>
    <t>Conform lucrarii EEI-SS-753/2022-studiu de solutie revizuit in data de 25.08.2022, elaborat de S.C. ELECTROECHIPAMNET INDUSTRIAL S.R.L. si avizat de E-Distributie Banat SA cu documentul Aviz CTE nr. 42/03/25.08.2022,  alimentarea cu energie electrica consta in Racordarea intrare – iesire in LEA 20kV FNC din statia 110/20 kV Bocsa, cu realizarea urmatoarelor lucrari:
a) Lucrari pe Tarif de Racordare:
-plantare 2 stalpi speciali unificati 12G31 (notati cu st.1 si st.2) intre stalpii 96/6 si 96/7 existenti in LEA 20kV FNC
-echiparea stalpilor proiectati cu coronament semiorizontal de intindere, lanturi duble terminale compozit, descarcatoare cu oxid de zinc 24kV si priza de Pamant cu Rp&lt;4ohmi
-demontare conductor intre stalpii 1 si 2 proiectati.
-realizare racord 20kV intrare – ieşire LES 20kV între stalpii proiectati nr. 96/6 si 96/7 şi punctul de conexiune, prin intermediul LES 20kV cu cablu tip XLPE 3x(1x185mm2) in lungime totala de 80m (inclusiv pe stalpi) intre celulele de linie LE din PC si stalpii 1 si 2 proiectati.
-echipare punct de conexiune compartiment OD cu:
- 2 celule de linie (1LE) LE 24 kV ,400A , 16 kA;
- 1 celulă de măsură (1UT) pentru CEF, cu plecare în cablu, UT, 24 kV, 400A , 16 kA, echipată cu 2 transformatoare de curent 400/5A, cls.0,2S şi 2 transformatoare de tensiune 20/0.1kV cls. 0,2;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măsurare de decontare in firidă securizată, cu contor cu telecitire bidirecţional, clasa 0,2 S (pus la dispoziţie de OD);
- Amplasare punct de conexiune -compartiment operator de reţea, cu acces liber din domeniul public, dimensionat pentru exploatare din interior; PC se va pozitiona pe un amplasament pus la dispoziţie de utilizator; (constructia PC este in sarcinautilizatorului si va ramane in proprietatea acestuia) in proximitatea LEA 20kV FNC.
b) Lucrari ce se realizeaza prin grija si pe cheltuiala utilizatorului reprezentand instalatie de utilizare: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Întrerupatorul este prevăzut cu protecţie digitală şi modul de comunicaţie integrabil în sistemul de telecontrol E Distributie Banat.
- 1 celula de abonat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Sistemul de protecţie general (SPG) asociat DG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Sistemul de protecţie SPI asociat DI contine relee de frecvenţă, de tensiune şi eventual de tensiune homopolară si cuprinde: - funcţie protecţie de tensiune minima /maxima in 2 trepte; - funcţie protecţie de frecventa minima /maxima in 2 trepte;
- funcţie de protecţie de maxima de tensiune mediata la 10 minute.
- Racord LES 20 kV între PC utilizator şi PC OD Din celula DG va pleca un cablu de 20 kV Cu secţiune 3x(1x95 mm²) Cu L=20m şi se va conecta in punctul de conexiuni 20 kV ce aparţine E-Distributie Banat, celula de masura.
- Realizare LES 20 kV cu cablu 20kV Al 3x185mmp cu lungimea de 0,270 km între punctul de conexiune PC 20kV ce se va amplasa lângă punctul de racordare şi PT -CEF.</t>
  </si>
  <si>
    <t>SUBSTATIE DE REDRESARE INTIM</t>
  </si>
  <si>
    <t>CALNIC RE</t>
  </si>
  <si>
    <t>FAN COURIER EXPRESS S.R.L.</t>
  </si>
  <si>
    <t>CE Depozit Nou</t>
  </si>
  <si>
    <t>S20 FAN COURIER -AFUMATI IF</t>
  </si>
  <si>
    <t>Conform avizului  CTE nr. 32/5/13.07.2022:
Lucrari pe tarif de racordare -modificare loc consum existent S.C. FAN COURIER EXPRESS SRL in loc de consum si producere nou prin instalatia de racordare existenta conform -CER RO001E142264824/1 din data de 02.08.2019 si anume:
PC 4475, racordat cu cablu subteran LES 20kV Fan Curier sosire din statia Afumati respectiv intrare-iesire (intre T4110-T4335 ) pe cablu LES 20kV Philip Morris din statia Caciulati.
Lucrari necesare: - inlocuirea unitatii periferice actuale din PC 4475 cu un UP 2020 LITE pentru asigurarea telecontrolului si transmiterea informatiei de la productie.
 Lucrari ce se realizeaza prin grija beneficiarului: - montare in instalatia de utilizare pe partea de jt elementelor ce formeaza unitatea de producere energie electrica fotovoltaica -se va asigura preluarea pozitiei echipamentelor cu rol de DI (dispozitiv de interfata) din tabloul TE-CEF printr-un cablu de semnalizare, tip CSYAbY-F, pana la unitatea periferica nou proiectata in PC 4475. Astfel intrerupatoarele motorizate jt din instalatia electrica aferente centralei vor avea rol de dispozitiv de interfata si vor fi prevazute cu urmatoarele protectii: - protectie maxima tensiune, valoare mediata 10 minute*: 1,1*Un/600+3 secunde; - protectie maxima tensiune: 1,15*Un/temporizata; - protectie minima tensiune : 0,85*Un/ temporizata; - protectie minima frecventa: 47,5 Hz/ temporizata. - protectie minima tensiune: 0,3*Un/ temporizata; - protectie maxima frecventa: 52 Hz/ temporizata;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In TE-CEF se va prevedea un analizor, un data manager(SMA), un switch si un router, sistem ce asigura comunicatia invertoarelor. De la TE-CEF se va folosi comunicatie RS485 cu protocol MODBUS, pentru a transmite informatii de putere activa/reactiva, catre un PLC instalat in PC 4475 compartiment utilizator. -,,In PC 4475 compartiment utilizator se va monta un traductor de tensiune si frecventa, care va transmite sub forma de semnal unificat valorile de U si f catre UP2020 LITE proiectata in PC 4475, compartiment EDM. Semnalele de la traductroul de tensiune si frecventa precum si semnalul de pozitie al dispozitivului general DG din PC4475 , vor fi disponibile intr-un sir de cleme. De la sirul de cleme pana la UP 2020 LITE amplasat in compartimentul EDM, semnalul va fi transmis printr-un cablu special ecranat, care va face parte din instalatia de utilizare. Lungimea cablului nu trebuie sa depaseasca 20m. -,,Toate aceste informatii vor fi transmise catre SCADA EDM, in unitatea periferica, UP2020LITE, din compartimentul de racordare. Traductoarele si PLC-ul vor fi montate intr-un dulap SCADA, montat in PC 4475, compartiment utilizator</t>
  </si>
  <si>
    <t>HELIOS KRAFT S.R.L.</t>
  </si>
  <si>
    <t>PARC FOTOVOLTAIC NR.1 FAGET</t>
  </si>
  <si>
    <t>Conform lucrarii:EEI-SS-740/2022 -revizuit editia 03.08.2022, elaborata de ELECTROECHIPAMENT INDUSTRIAL SRL si avizata de E-Distributie Banat SA cu documentul Aviz CTE nr. 36/01/03.08.2022 , tinand seama de situatia energetica din zona precum si de datele solicitate de utilizator racordarea se va realiza prin intermediul unui punct de conexiune de 20 kV racordat radial in LEA 20kV Marginea din statia 110/20 kV Faget, echipat conform cerintelor E-Distributie, cu realizarea urmatoarelor lucrari I. Lucrari pe Tarif de Racordare - interceptare LES 20kV Marginea (iesire din statie pna la stalpul nr. 1) si inseriere PC 20kV proiectat. - montare punct de coneziune 20 KV in vecinatatea statie 110/20kV; - realizare LES 20kV între manson si punctul de conexiune, prin intermediul LES 20kV cu cablu tip XLPE 2x3x(1x185mm2) in lungime totala de cca 20ml intre celulele de linie LE din PC si cablul 20kV existent. - echipare punct de conexiune compartiment OD cu: *- 2 celule de linie (1LE) 24 kV ? 400A ? 16 kA; *- loc pentru inca o celula de linie; *- 1 celul? de m?sur? (1UT) pentru CEF, cu plecare în cablu, 24 kV ? 400A ? 16 kA, echipat? cu 2 transformatoare de curent 400/5A, cls.0,2S ?i 2 transformatoare de tensiune 20/0.1kV cls. 0,2; *- Echipamente pentru integrarea în sistemul de telecontrol E?Distribu?ie Banat SA a celulelor de linie si masura: - montare FO intre celula plecare LEA 20kV Marginea si punct conexiune nou construit.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m?surare de decontare in firid? securizat?, cu contor cu telecitire bidirec?ional, clasa 0,2 S (pus la dispozi?ie de OD); - Amplasare punct de conexiune - compartiment operator de re?ea, cu acces liber din domeniul public, dimensionat pentru exploatare din interior; PC se va pozitiona pe un amplasament pus la dispozi?ie de utilizator; (constructia PC este in sarcina utilizatorului si va ramane in proprietatea acestuia) ,, II. Lucrari ce se realizeaza prin grija si pe cheltuiala utilizatorului reprezentand instalatie de utilizare: - Racord LES 20 kV între PC utilizator ?i PC OD : din celula DG va pleca un cablu de 20 kV cu sec?iune 3x(1x95 mm²) Cu L=25m ?i se va conecta in punctul de conexiuni 20 kV ce apar?ine E-Distributie Banat, celula de masura.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Întrerupatorul este prev?zut cu protec?ie digital? ?i modul de comunica?ie integrabil în sistemul de telecontrol E Distributie Banat. - 1 celula de abonat ? sosire CEF, cu func?ie DI, gabarit normal cu izola?ie în aer, de 24 kV ? 630 A ? 16 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Realizare LES 20 kV cu cablu 20kV Al 3x185mmp cu lungimea de 0,4km</t>
  </si>
  <si>
    <t>FINTERM SRL</t>
  </si>
  <si>
    <t>Construire parc fotovoltaic nr 1 si racord la SEN</t>
  </si>
  <si>
    <t>SANNICOLAU MARE</t>
  </si>
  <si>
    <t>Conform lucrarii:EEI-SS-7532022 revizuit in data de 14.09.2022- elaborata de ELECTROECHIPAMENT INDUSTRIAL SRL si avizata de E-Distributie Banat SA cu documentul Aviz CTE nr. 40/01/14.09.2022, tinand seama de situatia energetica din zona precum si de datele solicitate de utilizator racordarea consta in Racord intrare ? iesire in LEA 20kV Saravale din statia 110/20 kV Sannicolau Mare, cu realizarea urmatoarelor lucrari : I. Lucrari pe Tarif de Racordare conform Ordin ANRE nr. 59/2013 cu completarile si modificarile ulterioare : - plantare 2 stalpi speciali unificati 12G31 (notati cu st.1 si st.2) intre stalpii 10 si 11 existenti in axul LEA 20kV Saravale - echiparea stalpilor proiectati cu coronament semiorizontal de intindere , lanturi duble terminale compozit, descarcatoare cu oxid de zinc 24kV si priza de Pamant cu Rp&lt;4ohm - demontare conductor intre stalpii 10 si 11; - realizare racord 20kV intrare ? ie?ire LES 20kV între stalpii proiectati nr.1 si nr.2 ?i punctul de conexiune, prin intermediul LES 20kV cu cablu tip XLPE 3x(1x185mm2) in lungime totala de 80m(inclusiv pe stalpi) intre celulele de linie LE din PC si stalpii 1 si 2 proiectati -intregirea liniei intre stilpii 10 si 10/1 , respective intre 11 si 11/1 - echipare punct de conexiune compartiment OD cu: *- 2 celule de linie (1LE) LE 24 kV ,400A , 16 kA *-1 celul? de m?sur? (1UT) pentru CEF ACC FUTURO VERDE, cu plecare în cablu, UT, 24 kV, 400A , 16 kA, echipat? cu 2 transformatoare de curent 400/5A, cls.0,2S ?i 2 transformatoare de tensiune 20/0.1kV cls. 0,2; *- echipamente pentru integrarea în sistemul de telecontrol E?Distribu?ie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m?surare de decontare in firid? securizat?, cu contor cu telecitire bidirec?ional, clasa 0,2 S (pus la dispozi?ie de OD); - Amplasare punct de conexiune -compartiment operator de re?ea, cu acces liber din domeniul public sau drum de acces, dimensionat pentru exploatare dininterior; PC se va pozitiona pe un amplasament pus la dispozi?ie de utilizator; (constructia PC este in sarcina utilizatorului si va ramane in proprietatea acestuia) in proximitatea LEA 20kV Saravale. II. Lucrari ce se realizeaza prin grija si pe cheltuiala utilizatorului reprezentand instalatie de utilizare: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Întrerupatorul este prev?zut cu protec?ie digital? ?i modul de comunica?ie integrabil în sistemul de telecontrol E Distributie Banat. - 1 celula de abonat ? sosire CEF, cu func?ie DI, gabarit normal cu izola?ie în aer, de 24 kV ? 630 A ? 16 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Racord LES 20 kV între PC utilizator ?i PC OD Din celula DG va pleca un cablu de 20 kV Cu sec?iune 3x(1x95 mm²) Cu L=20m ?i se va conecta in punctul de conexiuni 20 kV ce apar?ine E-Distributie Banat, celula de masura. Realizare LES 20 kV cu cablu 20kV Al 3x185mmp cu lungimea de 0,200 km între punctul de conexiune PC 20kV ce se va amplasa lâng? punctul de racordare ?i PT -CEF.</t>
  </si>
  <si>
    <t>Construire parc fotovoltaic nr 2 si racord la SEN</t>
  </si>
  <si>
    <t>Conform lucrarii: EEI-SS-754/2022 revizuit in data de 14.09.2022- elaborata de ELECTROECHIPAMENT INDUSTRIAL SRL si avizata de E-Distributie Banat SA cu documentul Aviz CTE nr. 41/02/14.09.2022, tinand seama de situatia energetica din zona precum si de datele solicitate de utilizator racordarea consta in Racord intrare ? iesire in LEA 20kV Petrol Valcani din statia 110/20 kV Sannicolau Mare, cu realizarea urmatoarelor lucrari : I. Lucrari pe Tarif de Racordare conform Ordin ANRE nr. 59/2013 cu completarile si modificarile ulterioare :   - plantare 2 stalpi speciali unificati 12G31 (notati cu st.1 si st.2) intre stalpii 11 si 12 existenti in axul LEA 20kV Petrol Valcani -echiparea stalpilor proiectati cu coronament semiorizontal de intindere , lanturi duble terminale compozit, descarcatoare cu oxid de zinc 24kV si priza de Pamant cu Rp&lt;4ohm - demontare conductor intre stalpii 11 si 12; -realizare racord 20kV intrare ? ie?ire LES 20kV între stalpii proiectati nr.1 si nr.2 ?i punctul de conexiune, prin intermediul LES 20kV cu cablu tip XLPE 3x(1x185mm2) in lungime totala de 120m(inclusiv pe stalpi) intre celulele de linie LE din PC si stalpii 1 si 2 proiectati - intregirea liniei intre stilpii 11 si 11/1 , respective intre 12 si 12/1 - echipare punct de conexiune compartiment OD cu: *- 2 celule de linie (1LE) LE 24 kV ,400A , 16 kA-1 celul? de m?sur? (1UT) pentru CEF nr. 2 FINTERM SRL, cu plecare în cablu, UT, 24 kV, 400A , 16 kA, echipat? cu 2 transformatoare de curent 400/5A, cls.0,2S ?i 2 transformatoare de tensiune 20/0.1kV cls. 0,2; *- echipamente pentru integrarea în sistemul de telecontrol E?Distribu?ie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m?surare de decontare in firid? securizat?, cu contor cu telecitire bidirec?ional, clasa 0,2 S (pus la dispozi?ie de OD); - Amplasare punct de conexiune -compartiment operator de re?ea, cu acces liber din domeniul public sau drum de acces, dimensionat pentru exploatare din interior; PC se va pozitiona pe un amplasament pus la dispozi?ie de utilizator; (constructia PC este in sarcina utilizatorului si va ramane in proprietatea acestuia) in proximitatea LEA 20kV Petrol Valcani. II.  Lucrari ce se realizeaza prin grija si pe cheltuiala utilizatorului reprezentand instalatie de utilizare: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Întrerupatorul este prev?zut cu protec?ie digital? ?i modul de comunica?ie integrabil în sistemul de telecontrol E Distributie Banat. - 1 celula de abonat ? sosire CEF, cu func?ie DI, gabarit normal cu izola?ie în aer, de 24 kV ? 630 A ? 16kA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functionaretemporizata ?i a treia pentru a permite o interven?ie rapid?; - protec?ie homopolar? direc?ional? cu dou? trepte (o treapta pentru punerile lapamant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Racord LES 20 kV între PC utilizator ?i PC OD Din celula DG va pleca un cablu de 20 kV Cu sec?iune 3x(1x95 mm²) Cu L=20m ?i se vaconecta in punctul de conexiuni 20 kV ce apar?ine E-Distributie Banat, celula de masura. Realizare LES 20 kV cu cablu 20kV Al 3x185mmp cu lungimea de 0,280 km între punctul de conexiune PC 20kV ce se va amplasa lâng? punctul de racordare ?i PT -CEF</t>
  </si>
  <si>
    <t>CEF Sanmihai</t>
  </si>
  <si>
    <t>SANMIHAIU GERMAN</t>
  </si>
  <si>
    <t>Conform lucrarii:EEI-SS-739/2022 - elaborata de ELECTROECHIPAMENT INDUSTRIAL SRL si avizata de E-Distributie Banat SA cu documentul Aviz CTE nr. 37/02/03.08.2022, tinand seama de situatia energetica din zona precum si de datele solicitate de utilizator racordarea se va realiza, cu realizarea urmatoarelor lucrari : Racordarea intrare ? iesire in LEA 20kV Freidorf din statia 110/20 kV Fratelia I. Lucrari pe Tarif de Racordare conform Ordin ANRE nr. 59/2013 cu completarile si modificarile ulterioare : - plantare 2 stalp speciali unificati 12G31 intre stalpii 133 si 134 existenti in axul LEA 20kV Freidorf - echiparea stalpilor proiectati notati cu nr 133/1 si 134/1 cu coronament semiorizontal de intindere , lanturi duble terminale compozit, descarcatoare cu oxid de zinc 24kV si priza de Pamant cu Rp &lt;4ohmi - intregirea liniei intre stilpii 133 si 133/1 , respective intre 134/1 si 134 - demontare conductor intre stalpii 133/1 si 134/1 proiectat - realizare racord 20kV intrare ? ie?ire LES 20kV între stalpii proiectati nr.133/1 si 134/1 proiectat ?i punctul de conexiune, prin intermediul LES 20kV cu cablu tip XLPE 3x(1x185mm2) in lungime totala de 80m(inclusiv pe stalpi) intre celulele de linie LE din PC si stilpii nou proiectati - echipare punct de conexiune compartiment OD cu: *- 2 celule de linie (1LE) LE 24 kV ,400A , 16 kA *-1 celul? de m?sur? (1UT) pentru CEF ACC FUTURO VERDE, cu plecare în cablu, UT, 24 kV, 400A , 16 kA, echipat? cu 2 transformatoare de curent 400/5A, cls.0,2S ?i 2 transformatoare de tensiune 20/0.1kV cls. 0,2; *- echipamente pentru integrarea în sistemul de telecontrol E?Distribu?ie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m?surare de decontare in firid? securizat?, cu contor cu telecitire bidirec?ional, clasa 0,2 S (pus la dispozi?ie de OD); - Amplasare punct de conexiune -compartiment operator de re?ea, cu acces liber din domeniul public sau drum de acces, dimensionat pentru exploatare din interior; PC se va pozitiona pe un amplasament pus la dispozi?ie de utilizator; (constructia PC este in sarcina utilizatorului si va ramane in proprietatea acestuia) in proximitatea LEA 20kV Freidorf. II. Lucrari ce se realizeaza prin grija si pe cheltuiala utilizatorului reprezentand instalatie de utilizare: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Întrerupatorul este prev?zut cu protec?ie digital? ?i modul de comunica?ie integrabil în sistemul de telecontrol E Distributie Banat. - 1 celula de abonat ? sosire CEF, cu func?ie DI, gabarit normal cu izola?ie în aer, de 24 kV ? 630 A ? 16 kA cu intreruptor ?i separatorde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Racord LES 20 kV între PC utilizator ?i PC OD Din celula DG va pleca un cablu de 20 kV Cu sec?iune 3x(1x95 mm²) Cu L=20m ?i se va conecta in punctul de conexiuni 20 kV ce apar?ine E-Distributie Banat, celula de masura. Realizare LES 20 kV cu cablu 20kV Al 3x185mmp cu lungimea de 0,266km între punctul de conexiune PC 20kV ce se va amplasa lâng? punctul de racordare ?i PT -CEF.</t>
  </si>
  <si>
    <t>09163313</t>
  </si>
  <si>
    <t>ORG.UTILIZ.DE APA PENTRU IRIGATII (O.U.A .I)" MARCULESTI-SPPA"</t>
  </si>
  <si>
    <t>STATIE DEPUNERE SUB PRESIUNE SPPA</t>
  </si>
  <si>
    <t>Jegalia</t>
  </si>
  <si>
    <t>PROCEMA RWP SA</t>
  </si>
  <si>
    <t>HALE</t>
  </si>
  <si>
    <t>12052846</t>
  </si>
  <si>
    <t>HOME STORE INVESTMENT SRL</t>
  </si>
  <si>
    <t>Locuinte</t>
  </si>
  <si>
    <t>09561243</t>
  </si>
  <si>
    <t>LEA MT SACUENI-VALEA LUI MIHAI</t>
  </si>
  <si>
    <t>FIRE SOL FOTOSOLAR SRL</t>
  </si>
  <si>
    <t>MURES. TARNAVENI. TIRNAVENI. fn</t>
  </si>
  <si>
    <t>STATIA TARNAVENI 110/20 KV</t>
  </si>
  <si>
    <t>Montare Celula de Linie (nouă) 110 kV in Stația 110 / 20 kV - Târnăveni, (amplasată pe locul uneia din celulele dezafectate care alimentau Combinatul Chimic Târnăveni, echipamentele acestei celule se vor demonta, iar fundațiile și suporți existenți se vor demola) - echipată cu echipamente în tehnologie AIS, întrerupător cu stingere în vid și izolație în SF6, 3 transformatoare de tensiune (TT) 110/√3, 2 x 0,1/√3 / 0,1 kV, cls. 0,2 ; 3 transformatoare de curent (TC) 2 x 300/1/1/1/1A, setate pe raport de 300/1/1/1/1A, cls. 0,2S pentru înfășurările de măsură, si contor electronic multitarif trifazat de energie electrică pentru energia activă și reactivă consumată și debitată, dublu sens, cu posibilitatea înregistrării puterii maxime, cu curbă de sarcină, cu interfață de comunicație la distanță și modem de comunicație în vederea integrării în sistemul de telecitire, cu 3 echipaje, cls. 0,2S indirect, Ib=1A, Un=3x57,7 V. Celula de Linie (nouă) 110 kV montată în Stația 110 / 20 kV - Târnăveni se va integra în sistemele de protecții, comandă și control ale stației de racord. Celula se va integra in sistemele existente in statie : circuite c.a., c.c., interblocaje, comanda, semnalizari, va fi dotata cu o cutie de cleme exterioara si va avea un dulap de protectie si comanda – control dedicat amplasat in camera de comanda.</t>
  </si>
  <si>
    <t>GOLD FOTO GREEN SRL</t>
  </si>
  <si>
    <t>MURES. ADAMUS. CORNESTI. CORNESTI. fn</t>
  </si>
  <si>
    <t>STATIA TARNAVENI 110/20 kV</t>
  </si>
  <si>
    <t>Montare Celula de Linie (nouă) 110 kV in Stația 110/20 kV Târnăveni, (amplasată pe locul uneia din celulele dezafectate care alimentau Combinatul Chimic Târnăveni, echipamentele acestei celule se vor demonta, iar fundațiile și suporții existenți se vor demola) echipată cu echipamente în tehnologie AIS, întrerupător cu stingere în vid și izolație în SF6, 3 transformatoare de tensiune (TT) 110/√3, 2 x 0,1/√3 / 0,1 kV, cls. 0,2 ; 3 transformatoare de curent (TC) 2 x 300/1/1/1/1A, setate pe raport de 300/1/1/1/1A, cls. 0,2S pentru înfășurările de măsură, si contor electronic multitarif trifazat de energie electrică (activă + reactivă), dublu sens, cu posibilitatea înregistrării puterii maxime, curbă de sarcină, interfață de comunicație la distanță și modem de comunicație în vederea integrării în sistemul de telegestiune existent la DEER SA - Sucursala Mures, cu 3 echipaje, cls. 0,2S indirect, Ib=1 A, Un=3x57,7 V. Celula de Linie (nouă) 110 kV montată în Stația 110/20 kV Târnăveni se va integra în sistemele de protecții, comandă și control ale stației de racord. Celula se va integra in sistemele existente in statie: circuite c.a., c.c., interblocaje, comanda, semnalizari, va fi dotata cu o cutie de cleme exterioara si va avea un dulap de protectie si comanda - control dedicat, amplasat in camera de comanda.</t>
  </si>
  <si>
    <t>HARTING ROMANIA SCS</t>
  </si>
  <si>
    <t>SIBIU. SIBIU. EUROPA UNITA. 21</t>
  </si>
  <si>
    <t>PTAB 40 20/20 KV TURNISOR</t>
  </si>
  <si>
    <t>PT 40T 20/0.4kV, echipat cu doua celule de linie 20kV cu separator de sarcina in SF6, o celula de masura 20kV si doua celule de racord (PT 1 si PT 2) Grup de masura in montaj indirect (montat in celula de masura 20kV)- echipat cu 3 buc. TT 20/√3/0,1/√3/0,1/3 kV cls. 0,2 ,3 buc. TC 24kV-150/5/5A, infasurarea secundara de masura clasa 0,2S si contor electronic de energie electrica activa si reactiva 5(10)A, cu curba de sarcina, 3 echipaje, 4 fire, clasa de exactitate 0,2S, interfata de comunicatie RS 485, cu posibilitate de integrare in telegestiunea SR Sibiu.</t>
  </si>
  <si>
    <t>TS15464</t>
  </si>
  <si>
    <t>SC RACORDNORM HYDRAULIK SRL</t>
  </si>
  <si>
    <t>LEA 20 kV Bartolomeu – Stupini,</t>
  </si>
  <si>
    <t>TS7452</t>
  </si>
  <si>
    <t>SC NICO GREEN FIELD ENERGY SRL</t>
  </si>
  <si>
    <t>CEF SAVENI , SC NICO GREEN FIELD ENERGY SRL, EXTRAVILAN SAVENI, T40, A347/32, LOC. SAVENI, JUD. BOTOSANI</t>
  </si>
  <si>
    <t>SAVENI</t>
  </si>
  <si>
    <t>racord MT LEA</t>
  </si>
  <si>
    <t>SC SOLAR POWER CAPITAL SRL</t>
  </si>
  <si>
    <t>CEF MARASENI SC SOLAR POWER CAPITAL SRL, 737501, NCF 70486, TARLA NR. 64, PARCELA NR.1963</t>
  </si>
  <si>
    <t>SC PROINVEST GROUP SRL</t>
  </si>
  <si>
    <t>110/20kV Vatra</t>
  </si>
  <si>
    <t>spor de putere de la 920 kW la 2020 kW</t>
  </si>
  <si>
    <t>ICD OCTAGON DEVELOPMENT S.R.L.</t>
  </si>
  <si>
    <t>Lipova</t>
  </si>
  <si>
    <t>Conform lucrarii SS/59/2022-studiu de solutie  rezizuit in data de 16.09.2022, elaborat de SC ENERPROD SYSTEM SRL, avizat de E-Distributie Banat SA cu Aviz CTE nr. 50/01/29.09.2022, alimentarea cu energie electrica consta in Racordare in antena pe bara 20 kV statia Lipova- celula nr 15 prin realizarea urmatoarelor lucrari: A. Lucrari pe tarif de racordare Noul utilizator va fi racordat în antena pe bara Rosie 20 kV celula nr. 15 a statiei Lipova intr-o celula existenta de rezerva din containerul existent. Celula disponibila va fi echipata complet cu echipamente compatibile cu cele existente in statie , inclusiv intrerupator 24 kV, releu de protectie DV 901 conform cerinte E-Distributie Banat (EDB) si se vor realiza lucrarile necesare de integrare in sistemul de telecontrol a statiei. Se vor monta TC-uri pe cablul plecare spre PC CEF Lipova 6,3 MW pentru realizarea masurii de balanta conform specificatiilor EDB. Pentru racordarea PC proiectat se vor utiliza: - LES 20 kV între celula de 20 kV din sta?ie ?i celula de linie din punctul de conexiune proiectat, lungime traseu cca .200 m , LES 20 kV se va realiza cu cablu tripolar de medie tensiune cu conductoare de Al, cu elice vizibil? pentru montare subteran?, izolat în polietilen? reticular? de grosime redus?, cu ecran în tub de Al, sub înveli? de PE, 3x1x185 mmp, pozat în tub de protec?ie; - montare fibr? optic? între punctul de conexiune ?i celula de linie MT din sta?ia 110/20 kV Lipova,respectiv un LES 5x6 mmp intre SI Statia Lipova si Punctul de conexiune nou proiectat Pentru racordul noii CEF se va amplasa in imediata apropiere a statiei un punct de conexiuni echipat cu: - 1 buc. celul? modular? de linie (f?r? mentenan??) extensibila, cu echipament de comuta?ie în SF6, echipate cu separator de sarcin? ?i CLP, motorizata; - 1 buc. celul? de m?sur? cu separator de sarcin?, cu dou? transformatoare de tensiune 20/0,1 kV clasa de precizie 0,5 ?i doua transformatoare de curent de 400/5 A, clasa de precizie 0,2S, integrata in sistemul de telecontrol; - montarea de RGDAT-1 buc, UP 2020 LITE-1 buc, baterii acumulatori-2 buc, TSA-1 buc, Router Rugged pentru comunicatii 4G - CISCO IR1101, Swich-uri rugged CISCO IE-4000-8S4G-E, dulap pentru echipamente de telecomunicatii FT-045_TLC-M - TIP B si accesoriile de conectica: modul SFP CISCO GLC_FE-100LX-RGD de tip SM - FT-277_MAT ? 2 buc, Patch-cord duplex LC/PC ? E2000 APC, 2m ? 2 buc, PATCH-PANNEL FO MONOMODE pentru 24 fibre oprice - E2000/APC complet echipat ? 2 buc, Patch-cord ftp cat. 6e (lungime 1 m), Patch-cord ftp cat. 6e (lungime 10 m) Terenurile necesare pentru realizarea acestui racord vor fi puse la dispozitie de Beneficiar si va fi incheiat contract de uz si superficie pentru exploatarea acestor instalatii cu E-Distributie Banat. Noua celula din statia 20kV statia Lipova va fi integrata in sistemul telecontrol existent al E Distributie Banat. B.Lucrari ce se realizeaza prin grija si pe cheltuiala utilizatorului reprezentand instalatie de utilizare: - cl?direa punctului de conexiune cu dou? compartimente, unul pentru instala?iile electrice din gestiunea SC E - Distribu?ie Banat SA ?i unul pentru instala?iile electrice ale utilizatorului. Gabaritul compartimentului de racordare va permite montarea a înc? unei celule de linie ?i va fi cu ac?ionare din interior ?i cu acces direct din exterior; Punctul de conexiune se va amplasa cat mai aproape de statia Lipova. - LES 20 kV de Cu, sec?. 150 mmp, L? 20 m, între celula de m?sur? din compartimentul de racordare ?i celula de sosire din compartimentul utilizatorului; - celula sosire cu întrerup?tor general automat debro?abil în compartimentul utilizatorului cu urm?toarele protec?ii: ? protec?ie general? maximal? de curent în trei trepte (la scurtcircuit si suprasarcina); ? protec?ie homopolar? de curent în dou? trepte, contra punerilor la p?mânt monofazate, respectiv bifazate; ? protectie homopolara directionata - dispozitivul de interfa?? în compartimentul utilizatorului, cu urm?toarele protec?ii: ? protec?ie maximal? de tensiune netemporizat?; ? protec?ie minimal? de tensiune temporizat?; ? protec?ie maximal?/minimal? de frecven?? netemporizat?; ? protec?ie homopolar? de tensiune temporizat?; ? protec?ie împotriva deconect?rilor de la re?ea (stabilit? de comun acord între ENEL ?i produc?tor în func?ie de caracteristicile re?elei de distribu?ie); - realizare LEA/LES 20 kV cu lungimea de 5.5 km între punctul de conexiune ce se va amplasa lâng? sta?ia Lipova ?i central?; - instala?ia de iluminat, prize ?i instala?ia de legare la p?mânt a cl?dirii punctului de conexiune; - serviciile interne în compartimentul de racordare se vor asigura din transformatorul monofazat de 4 kVA montat în compartimentul utilizatorului, dup? întrerup?torul general (DG), spre produc?tor. - realizare drum de acces la punctul de conexiune; - montare analizor pentru monitorizarea calitatii energiei electrice conform specificatii E Distributie Banat - sistem pentru culegere informa?ii ?i transmitere a m?rimilor P, Q, U ?i pozi?ie întrerup?tor la DET prin dispecerul E-Distributie Banat; - in compartimentul utilizator, se vor instala traductoarele de putere activa P, putere reactiva Q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amplasat in compartimentul EDD, semnalele vor fi transmise printr-un cablu special ecranat, care va face parte impreuna cu traductoarele, din instalatia de utilizare. Lungimea cablului nu trebuie sa depaseasca 20m. Realizarea lucrarilor pentru instalatiile din aval de punctul de delimitare este in responsabilitatea utilizatorului si se efectueaza pe cheltuiala acestuia.</t>
  </si>
  <si>
    <t>HORIA SOLAR INVEST ONE SRL</t>
  </si>
  <si>
    <t>LEA 110KV ARAD-PINCOTA</t>
  </si>
  <si>
    <t>Conform lucrarii: EEI-SS/722 nr. revizia 1.2, elaborata de S.C. Electroechipament Industrial SRL , avizata de E-Distributie Banat SA cu Aviz CTE nr. 21/01/02.06.2022, Solutia 1, racordare la SEN se va face in LEA 110kV Arad-Pancota prin sectionarea liniei si realizarea unei statii de conexiuni in vederea racordarii CEF 31,16 MW Horia printr-o solutie intrare-iesire, racord LEA 110kV dublu circuit. a) Lucrari pe tarif de racordare : - realizarea racord LEA 110kV cca. 0,5 km, prin montarea a doi stalpi 110kV, unul de tip ICn110.113 in aliniamentul liniei si unul de tip ITn110.264 perpendicular pe directia liniei, in imediata apropiere, pentru legatura la rigla statiei. Ambii stalpi vor fi echipati cu lanturi duble de intindire. Statie noua de conexiune 110kV tip Intrare-Iesire pe LEA 110kV Arad ? Pâncota echipata cu : - doua celule 110 kV echipate complet, fiecare cu cate un întrerup?tor cu comanda unitripolara si RAR monofazat; - bar? colectoare 110 kV simpl? rigid?/sectionata (dupa caz); - celula de 110 kV plecare spre utilizator echipata complet cu separator si grup de masura (grupul de masura si contorul se vor pune la dispozitie de OD); punctul de delimitare a intalatiilor OD de cele ale utilizatorului se va realiza la clemele de legatura intre celula de masura plecare catre utilizator si celula sosire din statia utilizatorului (echipata cu intrerupator) - protectii adecvate liniilor in celulele de linie plecare spre statiile adiacente; (in situatia in care celulele din statiile adiacente sunt echipate cu separatoare se va prevedea echiparea acestora cu întrerup?tor cu comanda unitripolara si RAR monofazat si restul echipamentelor necesare); - servicii interne c.c. ?i c.a.: serviciile interne de c.c. se vor asigura printr-o statie de energie, iar serviciile de c.a. 0,4 kV se vor asigura din instalatia Utilizatorului prin 2 surse independente; - echipamente telecomunicatii, echipament central de teleconducere a statiei; - instalatie de legare la p?mânt; - sistem de supraveghere antiefractie; - gard de împrejmuire ?i drum de acces, etc. - montare analizor pentru monitorizarea calitatii energiei electrice; Echipamentul va trebui sa asigure in principal cerintele tehnice din specificatiile Enel. b) Lucrari prin grija beneficiarului Beneficiarul va construi prin forte proprii in imediata vecinatate a statie Intrare-Iesire, tot pe locatia sa, o statie proprie 110/20kV 40MVA, formata din - o celula 110kV (linie-trafo) echipata cu 3 transformatoare de tensiune 110/V3/0.1/V3/0.1/V3, 3 transformatoare de curent 300/5/1/1, 2 separatoare, 1 intreruptor, transformator 110/20kV 40MVA , - statie 20kV, - transformator TSI/TFN, - grup electrogen cu AAR Instalatia de utilizare trebuie proiectata astfel incat orice interventie la elementele componente sa nu afecteze regimul de functionare al LEA 110kV Arad- Pancota.</t>
  </si>
  <si>
    <t>TOMNATIC SOLAR INVEST SRL</t>
  </si>
  <si>
    <t>LEA 110KV LOVRIN-SANNICOLAU MARE</t>
  </si>
  <si>
    <t>Conform lucrarii:EEI-SS/728/2022 nr. revizia 1.1- elaborata de ELECTROECHIPAMENT INDUSTRIAL SRL si avizata de E-Distributie Banat SA cu documentul Aviz CTE nr. 23/01/15.06.2022, respectiv adresa nr. 127358 /23.09.2022 prin care utilizatorul opteaza pentru varianta 1 din stiudiul de solutie,  tinand seama de situatia energetica din zona precum si de datele solicitate de utilizator  Racordare la SEN se va face in LEA 110kV Lovrin-Sannicolau Mare prin sectionarea liniei si realizarea unei statii de conexiuni in vederea racordarii CEF 32,895 MW Tomnatic printr-o solutie intrare-iesire, racord LEA 110kV dublu circuit, cu realizarea urmatoarelor lucrari: I. Lucrari pe tarif de racordare conform Ordin ANRE nr 59/2013 cu modificarile si completarile ulterioare :   - realizarea unei bucati scurte de LEA 110kV prin montarea a doi stalpi 110kV , unul de tip ICn110.163 in aliniamentul liniei si unul de tip ITn110.264 perpendicular pe directia liniei, in imediata apropiere, pentru legatura la rigla statiei. Ambii stalpi vor fi echipati cu lanturi duble de intindere. Statie noua de conexiune 110kV tip Intrare-Iesire pe LEA 110kV Lovrin ? Sannicolau Mare echipata cu : - doua celule 110 kV echipate complet, fiecare cu cate un întrerup?tor cu comanda unitripolara ,RAR monofazat si protectie diferentiala - montare protectii diferentiale in celulele de linie ale LEA 110kV Lovrin ? Sannicolau Mare in statiile 110/20kV Lovrin, respectiv Sannicolau Mare - bar? colectoare 110 kV simpl? rigid? - celula de 110 kV plecare spre utilizator echipata complet cu separator si grup de masura (grupul de masura si contorul se vor pune la dispozitie de OD); punctul de delimitare a intalatiilor OD de cele ale utilizatorului se va realiza la clemele de legatura intre celula de masura plecare catre utilizator si celula sosire din statia utilizatorului (echipata cu intrerupator) - servicii interne c.c. ?i c.a.: serviciile interne de c.c. se vor asigura printr-o statie de energie, iar serviciile de c.a. 0,4 kV se vor asigura din instalatia Utilizatorului prin 2 surse independente; - echipamente telecomunicatii, echipament central de teleconducere a statiei; - instalatie de legare la p?mânt; - sistem de supraveghere antiefractie; - gard de împrejmuire ?i drum de acces, etc. - montare analizor pentru monitorizarea calitatii energiei electrice; Echipamentul va trebui sa asigure in principal cerintele tehnice din specificatiile Enel. Deoarece OPGW cu care este echipata in acest moment LEA 110 kV Lovrin-Sannicolau Mare nu este proprietate a EDB si ca urmare se va monta ADSS pe ambele tronsoane rezultate Tomnatic-Lovrin, respectiv Tomnatic-Sannicolau, pentru asigurarea atat a comunicatiei cu EMS Scada , OTS, UNO-DEN si OMEPA cat si a protectiei diferentiale. Daca beneficiarul va incheia un contract de folosire cu operatorul ce detine fibra optica atunci se va avea acest lucru in vedere la faza de proiect PTDE si se va adapta solutia in mod corespunzator. II. Lucrari prin grija beneficiarului: Beneficiarul va construi prin forte proprii in imediata vecinatate a statie Intrare-Iesire, tot pe locatia sa, o statie proprie 110/20kV 40MVA, formata din: - o celula 110kV (linie-trafo) echipata cu 3 transformatoare de tensiune 110/V3/0.1/V3/0.1/V3, 3 transformatoare de curent 300/5/1/1, 2 separatoare, 1 intreruptor, transformator 110/20kV 40MVA , - statie 20kV, - transformator TSI/TFN, - grup electrogen cu AAR Instalatia de utilizare trebuie proiectata astfel incat orice interventie la elementele componente sa nu afecteze regimul de functionare al LEA 110kV Lovrin-Sannicolau Mare.</t>
  </si>
  <si>
    <t>NORDIS MANAGEMENT SRL</t>
  </si>
  <si>
    <t>12541742</t>
  </si>
  <si>
    <t>DE SILVA INTERMED SRL</t>
  </si>
  <si>
    <t>AEE 5 Imobile - De Silva Intermed SRL</t>
  </si>
  <si>
    <t>11161096</t>
  </si>
  <si>
    <t>CTPARK ETA SRL</t>
  </si>
  <si>
    <t>CEF-CTPARK BUCHAREST WEST 1,248MW</t>
  </si>
  <si>
    <t>ARCUDA</t>
  </si>
  <si>
    <t>Conform SS din data de 27/2022 Lucrari necesare racordarii: Se mentine solutia de racordare aprobata prin CER RO001E131374803/1 din 24.09.2018: PC 1496 1x1600 kVA 20/0,4 kV racordat intrare -iesire pe cablu distribuitor T1411, intre celula 20 kV din statia 110/20 kV Arcuda si PT1411. Lucrari pe tarif de racordare : nu este cazul Lucrari ce se realizeaza prin grija beneficiarului: Montare in instalatia de utilizare pe partea de jt a elementelor ce formeaza unitatea de producere energie electrica fotovoltaica Racordul centralei fotovoltaice se va realiza in tablourile electrice generale existente, TDRIPT1/TE-SEP ale beneficiarului, aflate în postul de transformare PT1-20/0,4kV 1*1600kVA-BUW14, ce alimenteaza cladirile BUW14. Solutia de racord presupune realizarea unui tablou electriceTE CEF, care va contine toate elementele necesare realizarii conectarii noii unitati de producerea aenergiie electrice pentru autoconsum si injectie in retea. Tablou TE-CEF este prevazut pe legatura cu tabloul general al halei unde se realizeaza CEF, cu un intreruptor motorizat impreuna cu un releu multifunctional CM-UFD.M31 care va realiza comanda (open/close) a motorului intreruptorului. Aceste intrerupatoare vor avea rol de dispozitiv de interfata, DI, si vor fi declansate prin intermediul releului multifunctional CM-UFD.M31,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OBSERVATII: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In tabloul TE CEF se va monta un analizor de energie . De la analizorul instalat in TE CEF vom folosi comunicatie RS485 cu protocol MODBUS, pentru a transmite informatii de putere activa/reactiva, catre un PLC instalat intr-un dulap montat in PC 1496. De la PLC catre Unitatea Periferica nou montata in PC 1496, vom folosi ie?irile analogice 4-20mA ale acestuia. Conversia, însumarea si scalarea semnalelor de putere activa/reactiva, se va face in softul din PLC. Deasemenea in dulapul montat langa PC 1496, se va monta un traductor de tensiune si frecventa tip MC2UP4, racordat prin intermediul TT din PC1496, compartiment abonat, care vor transmite sub forma de semnal unificat 4- 20mA valorile de U si f catre UP existenta in PC 1496. Pentru preluarea in sistemul SCADA EDM, se vor transmite de la instalatia de producere energie electrica urmatoarele informatii: ? Putere active, P; ? Putere revtiva, Q, ? Tensiune, U, ? Frecventa, f, ? Pozitie dispozitive de interfata, DDI, sub forma de un singur contact liber de potential. Toate aceste informatii vor fi transmise catre SCADA EDM, in unitatea periferica, UP, din PC1496. Traductorul si PLC-ul vor fi montate intr-un dulap nou, montat in PC 1496, compartiment abonat. Punerea in functiune a noi centrale se va face respectand ?PROCEDUR? din 17 aprilie 2019 de notificare pentru racordare a unit??ilor generatoare ?i de verificare a conformit??ii unit??ilor generatoare cu cerin?ele tehnice privind racordarea unit??ilor generatoare la re?elele electrice de interes public?.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</si>
  <si>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10265241</t>
  </si>
  <si>
    <t>IMOBIL+ CEF</t>
  </si>
  <si>
    <t>Conform aviz CTE nr. 43/4/29.09.2022, faza studiu de solutie Conform SS revizuit din 26/2022 Se mentine solutia de racordare aprobata prin CER RO001E131394399/1 din 1.11.2019: PC 1444 20/0,4 kV alimentat din LEA 20kV Universal Mangement 1 statia 110/20 kV Arcuda. Lucrari pe tarif de racordare : Echipare punct de conexiune medie tensiune ? PC1444 Pentru transmiterea informatiilor aferente CEF catre SCADA EDM, in punctul de conexiune PC1444 se vor monta urmatoarele echipamente: ? tablou j.t. de servicii auxiliare tip DY3016/1RO ? Kit UP2020 Lite ? GSTR002 cu sursa de alimentare cu energie electrica - PSBC(matr. 510011), pentru fiecare sectie de bara; ? acumulatori 12V ? GSCB001 (matricola 162068 ); ? modul GSM ? DX 1226RO; ? antena DN 760RO; Cutia UP 2020 Lite va fi fixata pe perete, in pozitie favorabila pentru ulterioarele interventii de configurare si mentenanta. TSA va fi alimentat din trafo TSI 2kVA, existent in PC1444. Lucrari ce se realizeaza prin grija beneficiarului: Montare in instalatia de utilizare pe partea de jt a elementelor ce formeaza unitatea de producere energie electrica fotovoltaica Racordul centralei fotovoltaice se va realiza in tablourile electrice generale existente, aflate în posturile de transformare PT1-20/0,4kV 800kVA-BUW17, PT2- 20/0,4kV 800kVA-BUW17, PT3-20/0,4kV 800kVA-BUW17, PT4- 20/0,4kV 800kVA-BUW17, PT2-20/0,4kV 1250kVA ? BUW20, PT1-20/0,4kV 1250kVA -BUW21, PT2-20/0,4kV 2000kVA BUW22, PT1-20/0,4kV 2000kVA ? BUW23 ce alimenteaza cladirile BUW17, BUW20-21 si BUW22-23. Solutia de racord presupune realizarea unui tablou electrice TE CEF, care va contine toate elementele necesare realizarii conectarii noii unitati de producerea aenergiie electrice pentru autoconsum si injectie in retea. Tablou TE-CEF este prevazut pe legatura cu tabloul general al halei unde se realizeaza CEF, cu un intreruptor motorizat impreuna cu un releu multifunctional CM-UFD.M31 care va realiza comanda (open/close) a motorului intreruptorului. Aceste intrerupatoarevor avea rol de dispozitiv de interfata, DI, si vor fi declansate prin intermediul releului multifunctional CM-UFD.M31,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OBSERVATII: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In tabloul TE CEF se va monta un analizor de energie . De la analizorul instalat in TE CEF vom folosi comunicatie RS485 cu protocol MODBUS, pentru a transmite informatii de putere activa/reactiva, catre un PLC instalat intr-un dulap montat in PC 1444. De la PLC catre Unitatea Periferica nou montata in PC 1444, vom folosi ie?irile analogice 4-20mA ale acestuia. Conversia, însumarea si scalarea semnalelor de putere activa/reactiva, se va face in softul din PLC. Deasemenea in dulapul montat langa PC 1444, se va monta un traductor de tensiune si frecventa tip MC2UP4, racordat prin intermediul TT din PC1444, compartiment abonat, care vor transmite sub forma de semnal unificat 4- 20mA valorile de U si f catre UP existenta in PC 1444. Pentru preluarea in sistemul SCADA EDM, se vor transmite de la instalatia de producere energie electrica urmatoarele informatii: ? Putere active, P; ? Putere revtiva, Q, ? Tensiune, U, ? Frecventa, f, ? Pozitie dispozitive de interfata, DDI, sub forma de un singur contact liber de potential. Toate aceste informatii vor fi transmise catre SCADA EDM, in unitatea periferica, UP, din PC1444. Traductorul si PLC-ul vor fi montate intr-un dulap nou, montat in exterior, langa PC 1444. Punerea in functiune a noi centrale se va face respectand ?PROCEDUR? din 17 aprilie 2019 de notificare pentru racordare a unit??ilor generatoare ?i de verificare a conformit??ii unit??ilor generatoare cu cerin?ele tehnice privind racordarea unit??ilor generatoare la re?elele electrice de interes public?.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specifica?iitehnice unificate, trebuie s? fie noi, compatibile cu starea tehnic? a instala?iei, s? îndeplineasc? cerin?ele specifice de fiabilitate ?i siguran??.</t>
  </si>
  <si>
    <t>09878247</t>
  </si>
  <si>
    <t>POLICOLOR SA</t>
  </si>
  <si>
    <t>IREMOAS</t>
  </si>
  <si>
    <t>12167976</t>
  </si>
  <si>
    <t>GLOBAL LOGISTICS CHITILA SRL</t>
  </si>
  <si>
    <t>Spor putere - Hala depozitare</t>
  </si>
  <si>
    <t>12203619</t>
  </si>
  <si>
    <t>UNITATEA MILITARA 0333</t>
  </si>
  <si>
    <t>Corp C1-I.G.S.U</t>
  </si>
  <si>
    <t>12229780</t>
  </si>
  <si>
    <t>PATINOAR ACOPERIT</t>
  </si>
  <si>
    <t>12564991</t>
  </si>
  <si>
    <t>DREAM FILM PRODUCTION COMPANY SRL</t>
  </si>
  <si>
    <t>Domeniul Stirbey - Buftea</t>
  </si>
  <si>
    <t>12936575</t>
  </si>
  <si>
    <t>S.C. JOLIE VILLAGE S.R.L</t>
  </si>
  <si>
    <t>imobil locuinte colective</t>
  </si>
  <si>
    <t>10239751</t>
  </si>
  <si>
    <t>ANSAMBLU LOCUINTE-ETAPA 3</t>
  </si>
  <si>
    <t>10192249</t>
  </si>
  <si>
    <t>FAPACO SRL</t>
  </si>
  <si>
    <t>AEE - bl. A si bl. B</t>
  </si>
  <si>
    <t>09544433</t>
  </si>
  <si>
    <t>ORGANIZATIA UTILIZATORILOR DE APA PENTRU IRIGATII "SPP 9 CIRESU"</t>
  </si>
  <si>
    <t>LEA 20kV FAUREI-SPP9</t>
  </si>
  <si>
    <t>27.10.2022</t>
  </si>
  <si>
    <t>STRATEGIC RESOURCES SRL</t>
  </si>
  <si>
    <t>LEA 20 KV VOIVOZI-DERNA</t>
  </si>
  <si>
    <t>VERTICAL PLUS SRL</t>
  </si>
  <si>
    <t>- sectia A de bare 20 kV a Statiei de transformare 220/110/20 kV Ungheni</t>
  </si>
  <si>
    <t>: ▪ montare 1 celulă de linie nou proiectata (LES 20 kV CEF Cristesti) in sala de conexiuni 20 kV din Stația 220/110/20 kV Ungheni, amplasata pe Sectia A de bare 20 kV (de același tip cu cele existente în stație). Celula de linie proiectata (LES 20 kV CEF Cristesti) va fi echipată cu: ▪ întrerupător debroșabil 20 kV/630 A în vid; ▪ transformatoare de curent pentru protecție și măsură 3 x TC 300/5/5/5A, clasa 0.2S; ▪ cuțit de punere la pământ a cablurilor CLP 630A; ▪ transformatoare de curent homopolar TCh 50/5A; ▪ releu de protecție digital de același tip cu releele existente în stație, cu funcții SCADA incluse</t>
  </si>
  <si>
    <t>SC YELLOW POWER SRL</t>
  </si>
  <si>
    <t>Statia 110/20 kV Copsa Mica,</t>
  </si>
  <si>
    <t>: Modernizarea Stației 110/20 kV Copșa Mica prin retrofitul unei celule de linie 20 kV existenta (celula 20 kV, 8K, sistem bare B2 20 kV) ce va fi echipată ca și o celulă complet nouă. Echipamente retrofit: - Întreruptor cu vid Un=24 kV, In=630 A, Ik=25 kA; - Separator de interior cu 3 poli Ur=25 kV, Ir=630 A, Ik=25 kA; - 3xTC cu doua infasurari 75/5/5 A clasa 0,2S, releu protectii, inclusiv montare unitate UCMT şi integrare în SAD (instalare fibră optică sau montare modem GSM și/sau alte echipamente de comunicații, pentru conectarea si transmiterea la Dispecer a poziţiei întreruptorului şi mărimilor P, Q, U şi f la nivelul punctului de măsurare) si montare analizor pentru măsurarea calității energiei electrice. Realizarea citirilor orare ale contorului de măsură se va realiza pe fibră optică sau modem GSM.</t>
  </si>
  <si>
    <t>COMUNA DANES</t>
  </si>
  <si>
    <t>DANES</t>
  </si>
  <si>
    <t>Stația 110/20 kV Sighișoara</t>
  </si>
  <si>
    <t>Plantare stalp nr. 26A pr. (de tip SC 15014, echipat cu : consolă de întindere CIT 140, legături duble de întindere cu izolație siliconică și consolă derivație), in deschiderea dintre stalpul nr. 26 si stalpul nr. 27 de pe distribuitorul LEA 20 kV Dumbrăveni, din Stația 110/20 kV Sighișoara (derivația Seleuș – Chendu). Plantare stalp nr. 1 pr. de tip SC 15014, echipat cu : consolă de întindere CIT 140, separator cu CLP, în montaj vertical, DRV pentru plecare în cablu 20 kV, legături duble cu izolație siliconică. Realizare LEA 20 kV pr. cu conductor clasic AIOL 50/8 mm2, între stălpul nr. 26A pr. și stalpul nr. 1 pr. Realizare LES 20 kV pr. cu cablu A2XS(FL)2Y 1x150/25 mm2 între stalpul nr. 1 pr. și PC 20 kV pr. Racordare PC 20 kV pr. la rețeaua electrica de distributie prin LEA 20 kV / LES 20 kV, la stâlp nr. 1 pr. echipat cu separator de derivație.</t>
  </si>
  <si>
    <t>APOLD GREEN ENERGY S.R.L</t>
  </si>
  <si>
    <t>APOLD</t>
  </si>
  <si>
    <t>LEA 20 KV SIGHISOARA-APOLD</t>
  </si>
  <si>
    <t>: Realizarea unui racord prin LEA 20 kV în sistem radial din LEA 20 kV Sighisoara - Apold – derivatia Șaeș 20 kV – stalpul nr. 24 (existent) din ax, prin cablu 20 kV tip AlOl 50/8 mm2, executat cu 3 stâlpi de beton, echipați după cum urmează : - 1 stalp (proiectat) tip SC15014 echipat cu separator de derivatie, in montaj orizontal si CLP ; - 1 stalp (proiectat) tip SC15014 echipat cu reanclansator telecomandat 630 A cu protectii digitale ; - 1 stalp (proiectat) tip SC15014 echipat cu un grup de masura aerian 20 kV format din 3 x (TT) 20/√3//0,1/√3kV - clasa 0,2 ; 3 x (TC) 50/5/5A - clasă 0,2S , dulap de masura (exterior) echipat cu contor electronic in montaj indirect, analizor de calitate a energiei electrice si separator, CLP spre PT CEF 20 kV pentru separare vizibilă in caz de interventii, mentenanță.</t>
  </si>
  <si>
    <t>SC BEST RENEW SRL</t>
  </si>
  <si>
    <t>BRASOV. MANDRA. ILENI. fs. fn</t>
  </si>
  <si>
    <t>STATIA FAGARAS 110/20/6 KV</t>
  </si>
  <si>
    <t>Pentru racordarea la RED a CEF se propune montarea unei celule noi in Statia 110/20/6 kV Fagaras. Celula de linie 20 kV noua, ce se va monta in spatiul liber din Statia 110/20/6 kV Fagaras, va fi similara celor existente ca si configuratie, cu separator de bare, intrerupator, TC, separator de linie cu CLP si bare de racord la podul de bare existent. Inlocuire 3 x TT 20/√3 / 0,1/√3 / 0.1/3 kV, cls. 0.5, de pe cele doua bare existente cu 3 x TT 20/√3 / 0,1/√3 / 0.1/3 kV, cls. 0.2. - Integrare in SCADA a celulei de linie 20 kV nou montate, realizare circuite secundare pana intr-un sir de cleme montat intr-un tablou UCMT separat prevazut cu circuite servicii proprii, si realizare cale de telecomunicatie. - Aparat de analiza calitate energie electrica, cu meniu in limba romana, inclusiv softul aferent, montat in celula noua.</t>
  </si>
  <si>
    <t>SC FORUM DEVELOPMENT SRL</t>
  </si>
  <si>
    <t>SIBIU. COPSA MICA. INTRAVILAN. 100380</t>
  </si>
  <si>
    <t>STATIA COPSA MICA 110/20 KV</t>
  </si>
  <si>
    <t>Modernizarea Stației 110/20 kV Copșa Mica prin retrofitul unei celule de linie 20 kV existenta (celula 20 kV, 16K, sistem bare B1 20 kV) ce va fi echipată ca și o celulă complet nouă. Echipamente retrofit: - Întreruptor cu vid Un=24 kV, In=630 A, Ik=25 kA; - Separator de interior cu 3 poli Ur=25 kV, Ir=630 A, Ik=25 kA; - 3xTC cu doua infasurari 75/5/5 A clasa 0,2S, releu protectii, inclusiv montare unitate UCMT şi integrare în SAD (instalare fibră optică sau montare modem GSM și/sau alte echipamente de comunicații, pentru conectarea si transmiterea la Dispecer a poziţiei întreruptorului şi mărimilor P, Q, U şi f la nivelul punctului de măsurare) si montare analizor pentru măsurarea calității energiei electrice. Realizarea citirilor orare ale contorului de măsură se va realiza pe fibră optică sau modem GSM. Inlocuire transformatoare de măsură tensiune existente (aferente sistem bare B1 20 kV din Stația 110/20 kV Copșa Mica), cu transformatoare de măsură tensiune cu clasa de precizie în conformitate cu prevederile codului de măsurare, 3xTT 20/√3 / 0,1/√3 / 0,1/3 kV cu clasa de precizie 0,2</t>
  </si>
  <si>
    <t>MURES GREEN INVEST SRL</t>
  </si>
  <si>
    <t>MURES. ADAMUS. DAMBAU. DIMBAU. FN</t>
  </si>
  <si>
    <t>Pentru racordarea la RED a CEF se propune montarea unei celule de linie 20 kV noi in Statia 110/20 kV Tarnaveni. Celula de linie 20 kV noua, ce se va monta in spatiul liber din Statia 110/20 kV Tarnaveni, va fi cu echipament: 630 A, 25 kA, 24 kV, similara cu cele existente, izolatie in vid, intrerupator tip Siemens Scion, montare 3xTC 150/5/5 A, 24 kV clasa 0,2S, realizare circuite secundare si montare contor de energie electrica activa+reactiva, inductiva+capacitiva clasa 0,2S cu curba de sarcina, modem inclus, interfata RS 485 si integrare in sistem SCADA releu de protectie, pentru functiile: PMT, PMR, PHDT cu tor aferent, df/dt, Urnin./ Umax. ,fmin./fmax. Inlocuire transformatoare de tensiune de pe cele doua bare existente cu 2 x 3 x TT 20/√3 / 0,1/√3 / 0.1/3 kV, cu aceleasi caracteristici, dar cu clasa de precizie 0.2. - Integrare in SCADA a celulei de linie 20 kV nou montate, realizare circuite secundare pana intr-un sir de cleme montat intr-un tablou UCMT separat prevazut cu circuite servicii proprii, si realizare cale de telecomunicatie. - Aparat de analiza calitate energie electrica, cu meniu in limba romana, inclusiv softul aferent, montat in celula noua.</t>
  </si>
  <si>
    <t>MDL FOTOSOLAR SRL</t>
  </si>
  <si>
    <t>TOTAL ENERGY SOLAR SRL</t>
  </si>
  <si>
    <t>MURES. VOIVODENI. VOIVODENI. fn</t>
  </si>
  <si>
    <t>LEA 110 KV UNGHENI-REGHIN1</t>
  </si>
  <si>
    <t>NEBRA SOLAR SRL</t>
  </si>
  <si>
    <t>MURES. BRANCOVENESTI. BRINCOVENESTI. fn</t>
  </si>
  <si>
    <t>LEA 110 KV REGHIN-RASTOLITA</t>
  </si>
  <si>
    <t>CONTINENTAL FREE ENERGY SRL</t>
  </si>
  <si>
    <t>MURES. ADAMUS. ADAMUS. fn</t>
  </si>
  <si>
    <t>IMPERIAL POWER ENERGY SRL</t>
  </si>
  <si>
    <t>MURES. ADAMUS. DAMBAU. DIMBAU. fn</t>
  </si>
  <si>
    <t>MURES. SANPAUL. SINPAUL. FN</t>
  </si>
  <si>
    <t>SC URSUS BREWERIES SA</t>
  </si>
  <si>
    <t>celula 6 kV Trafo 1 (Z17) din PA 24 BERE 6 / 0,4 kV ;</t>
  </si>
  <si>
    <t>METROM INDUSTRIAL PARC S.A.</t>
  </si>
  <si>
    <t>celula 6 kV (Z12B) din Statia 110 / 6 kV Metrom</t>
  </si>
  <si>
    <t>SC MAXUTIL AGRICULTURA SI CONSTRUCTII SRL</t>
  </si>
  <si>
    <t>A20 GATAIA-GATAIA TM</t>
  </si>
  <si>
    <t>Conform lucrarii: EEI-SS-758/2022 revizuit in data de 11.10.2022 - elaborata de ELECTROECHIPAMENT INDUSTRIAL SRL si avizata de E-Distributie Banat SA cu documentul Aviz CTE nr. 54/02/11.10.2022, tinand seama de situatia energetica din zona precum si de datele solicitate de utilizator racordarea se va realiza, cu realizarea urmatoarelor lucrari : Racordarea radiala pe bara 20kV in statia 110/20 kV Gataia I . Lucrari pe tarif de racordare conform Ordin ANRE nr. 59/2013 cu modificarile si completarile ulterioare : - montare celula 20kV complet echipata compatibila cu celulele 20kV existente in statia Gataia , cu întreruptor cu ac?ionare manual? ?i motor de armare la 110 Vcc ?i separator de sarcin?, cu cu?ite de legare la p?mânt, prev?zute cu l?mpi de semnalizare prezenta tensiunii în celul?, cu rezisten?? de înc?lzire 50 W ? 220 V.c.a, cu releu de semnalizarea scurtcircuitelor mono ?i polifazate, protec?ii digitale cu sensibilitate bidirec?ional?, 2xTC pentru balanta Pentru racordarea PC proiectat se vor utiliza: - LES 20 kV între celula de 20 kV din sta?ie ?i celula de linie din punctul de conexiune proiectat, lungime traseu cca .200 m , LES 20 kV se va realiza cu cablu tripolar de medie tensiune cu conductoare de Al, cu elice vizibil? pentru montare subteran?, izolat în polietilen? reticular? de grosime redus?, cu ecran în tub deAl, sub înveli? de PE, 3x1x185 mmp, pozat în tub de protec?ie; - montare fibr? optic? între punctul de conexiune ?i celula de linie MT din sta?ia 110/20 kV.Gataia,respectiv un LES 5x6 mmp intre Statia Gataia si Punctul de conexiune nou proiectat Pentru racordul noii CEF se va amplasa in imediata apropiere a statiei un punct de conexiuni echipat cu: - 1 buc. celul? modular? de linie (f?r? mentenan??) extensibila, cu echipament de comuta?ie în SF6, echipate cu separator de sarcin? ?i CLP, motorizata; - 1 buc. celul? de m?sur? cu separator de sarcin?, cu dou? transformatoare de tensiune 20/0,1 kV clasa de precizie 0,5 ?i doua transformatoare de curent de 400/5 A, clasa de precizie 0,2S, integrata in sistemul de telecontrol; - montarea de RGDAT-1 buc, UP 2020 LITE-1 buc, baterii acumulatori-2 buc, TSA-1 buc, Router Rugged pentru comunicatii 4G - CISCO IR1101, Swich-uri rugged CISCO IE-4000-8S4G-E, dulap pentru echipamente de telecomunicatii FT-045_TLC-M - TIPB si accesoriile de conectica: modul SFP CISCO GLC_FE-100LX-RGD de tip SM - FT-277_MAT ? 2 buc, Patch-cord duplex LC/PC ? E2000 APC, 2m ? 2 buc, PATCH-PANNEL FO MONOMODE pentru 24 fibre oprice - E2000/APC complet echipat ? 2 buc, Patch-cord ftp cat. 6e (lungime 1 m), Patch-cord ftp cat. 6e (lungime 10 m) Amplasarea punctului de conexiune se va realiza pe un amplasament pus la dispozi?ie de utilizator; (constructia PC este in sarcina utilizatorului si va ramane in proprietatea acestuia) in proximitatea statiei de transformare 110/20kV Gataia. Compartiment operator de re?ea va fi cu acces liber din domeniul public, dimensionat pentru exploatare din interior; Terenurile necesare pentru realizarea acestui racord vor fi puse la dispozitie de Beneficiar si va fi incheiat contract de uz si superficie pentru exploatarea acestor instalatii cu E-Distributie Banat. Noua celula din statia 20kV statia Gataia va fi integrata in sistemul telecontrol existent al E Distributie Banat. II. Lucrari ce se realizeaza prin grija si pe cheltuiala utilizatorului reprezentand instalatie de utilizare: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Întreruptorul este prev?zut cu protec?ie digital? ?i modul de comunica?ie integrabil în sistemul de telecontrol E Distributie Banat. - 1 celula de abonat ? sosire CEF, cu func?ie DI, gabarit normal cu izola?ie în aer, de 24 kV ? 630 A ? 16 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 ?i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 temporizata ?i a treia pentru apermite o interven?ie rapid?; - protec?ie homopolar? direc?ional? cu dou? trepte (o treapta pentru punerile la 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Racord LES 20 kV între PC utilizator ?i PC OD Din celula DG va pleca un cablu de 20 kV Cu sec?iune 3x(1x95 mm²) Cu L=25m ?i se va conecta in punctul de conexiuni 20 kV ce apar?ine E-Distributie Banat, celula de masura. -Realizare LES 20 kV cu cablu 20kV XLPE 3x(1x185mm2) cu lungimea de 0 ,5km între punctul de conexiune PC 20kV ce se va amplasa lâng? punctul de racordare ?i CEF; -posturi de transformare cu puterea unitara trafo sub 2000kVA si instalatii jt incinta parc</t>
  </si>
  <si>
    <t>SGROM SEVEN SRL</t>
  </si>
  <si>
    <t>Parc fotovoltaic Timisoara</t>
  </si>
  <si>
    <t>S20 NR.9 MAHLE-BUCOVINA TM</t>
  </si>
  <si>
    <t>Conform SS revizuit din data de 25.10.2022 Racordarea intrare ? iesire in LES 20kV nr.9 Mahle din statia 110/20 kV Bucovina: A. Lucrari pe tarif de racordare : - realizare racord 20kV intrare- ie?ire prin sectionare si mansonare LES 20kV nr. 9 Mahle ?i punctul de conexiune, prin intermediul LES 20kV cu cablu tip XLPE 3x(1x185mm2) in lungime totala de 50m intre celulele de linie LE din PC mansoane. - echipare punct de conexiune compartiment OD cu: - 2 celule de linie (1LE) LE 24 kV ,400A , 16 kA; - 1 celul? de m?sur? (1UT) pentru CEF, cu plecare în cablu, UT, 24 kV, 400A , 16 kA, echipat? cu 2 transformatoare de curent 400/5A, cls.0,2S ?i 2 transformatoare de tensiune 20/0.1kV cls. 0,2; - echipamente pentru integrarea în sistemul de telecontrol E?Distribu?ie Banat SA a celulelor de linie si masura: - montarea de RGDAT ? 2 buc, - UP 2020 LITE ? 1 buc, Al120mmp (de la stalpul 1-35), Al95mmp (st 35 ? 165) - baterii acumulatori ? 2 buc, - TSA ? 1 buc, - routerRugged pentru comunicatii 4G ? CISCO IR1101, - Swich?uri rugged CISCO IE?4000?-8S4G?E, - dulap pentru echipamente de telecomunicatii FT?045_TLC-M ? TIP B si accesoriile de conectica: Patch?cord ftp cat. 6e (lungime 1 m); Patch?cord ftp cat. 6e (lungime 10 m). - Montare grup de m?surare de decontare in firid? securizat?, cu contor cu telecitire bidirec?ional, clasa 0,2 S (pus la dispozi?ie de OD); - Amplasare punct de conexiune -compartiment operator de re?ea, cu acces liber din domeniul public, dimensionat pentru exploatare din interior; PC se va pozitiona pe un amplasament pus la dispozi?ie de utilizator; (constructia PC este in sarcina utilizatorului si va ramane in proprietatea acestuia) in proximitatea LES 20kV Mahle Terenurile necesare pentru realizarea acestui racord vor fi puse la dispozitie de Beneficiar si va fi incheiat contract de uz si superficie pentru exploatarea acestor instalatii cu E-Distributie Banat. Noua celula din statia 20kV Bucovinava fi integrata in sistemul telecontrol existent al E-Distributie Banat.  B. Lucrari ce se realizeaza prin grija si pe cheltuiala utilizatorului reprezentand instalatie de utilizare:  Echipare punct de conexiune compartiment Utilizator, conform PD_IO 1815-EDB -PL86 ?Criterii tehnice de racordare a clien?ilor la re?elele de ÎT, MT, JT? si anume: - 1 celul? DG cu izola?ie în aer, 24 kV ? 630A ? 16 kA, echipat? cu separator ?i întreruptor, transformatoare de m?surare de curent 300/5A cl. min 0,5; 10Ipn, transformator de curent homopolar tip toroidal 100/1A montat pe cablurile MT. Întreruptorul este prev?zut cu protec?ie digital? ?i modul de comunica?ie integrabil în sistemul de telecontrol E-Distributie Banat. - 1 celula de abonat ? sosire CEF, cu func?ie DI, gabarit normal cu izola?ie în aer, de 24 kV ? 630 A ? 16 kA cu intreruptor ?i separator de sarcin? având mediul de stingere a arcului electric în SF6, cu cu?ite de legare la p?mânt, prev?zute cu l?mpi de semnalizare prezen?? tensiune în celul?, cu rezisten?a de înc?lzire 50 W ? 220 V.c.a, cu releu de semnalizarea scurtcircuitelor mono ?i polifazate ; TC toroidal 100/1A montat pe cablul de sosire CEF, protectii antiinsularizare; - 1 celul? trafo servicii interne, 24 kV ? 400 A ? 16 kA, gabarit normal cu izola?ie aer, echipat? cu separator de sarcin? ?i siguran?e fuzibile 6,3 A, pentru transformator de putere trifazat de 4 kVA, 20/0,4 kV. - 1 transformator de putere trifazat, de 4 kVA, 20/0,23 kV, usc = 4%; - 1 tablou general servicii interne abonat. - Montarea traductorilor P, Q, U; - Instala?ia de iluminat, prize si instala?ia de legare la p?mânt a cl?dirii punctului de conexiune; - Montare analizor pentru monitorizarea calit??ii energiei electrice; echipamentul va trebui sa asigure, în principal, cerintele tehnice din FT 111_MAT "ANALIZOR STATIONAR DE CALITATE A ENERGIEI ELECTRICE". - Sistem pentru culegere informa?ii ?i transmitere a m?rimilor P, Q, U?i pozi?ie întreruptor DG la DET prin dispecerul E?Distribu?ie. In compartimentul utilizator, se vor instala traductoarele de putere active P, putere reactiva Q ?i tensiune U. Acestea se vor racorda in circuitele de masura ale transfomatoarelor de curent si de tensiune. Semnalele de ie?ire ale traductoarelor, împreuna cu cel de pozi?ie a dispozitivului general DG, vor fi disponibile într-un ?ir cleme. De la ?irul de cleme pân? la UP2020 amplasat în compartimentul OD, semnalele vor fi transmise printr-un cablu special ecranat, care va face parte împreun? cu traductoarele din instala?ia de utilizare. Lungimea cablului nu va dep??i 20 m. Punctul de Conexiuni va fi prev?zut cu priz? de legare la p?mânt combinat? interior-exterior, a c?rei rezisten?? de dispersie s? fie R &lt; 4 ?. Sistemul de protec?ie general (SPG) asociat DG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Sistemul de protec?ie SPI asociat DI contine relee de frecven??, de tensiune ?i eventual de tensiune homopolar? si cuprinde: - func?ie protec?ie de tensiune minima /maxima in 2 trepte; - func?ie protec?ie de frecventa minima /maxima in 2 trepte; - func?ie de protec?ie de maxima de tensiune mediata la 10 minute. - Racord LES 20 kV între PC utilizator ?i PC OD Din celula DG va pleca un cablu de 20 kV Cu sec?iune 3x(1x95 mm²) Cu L=25m ?i se va conecta in punctul de conexiuni 20 kV ce apar?ine E-Distributie Banat, celula de masura. - Realizare LES 20 kV cu cablu 20kV XLPE 3x(1x185mm2) cu lungimea de 0 ,5km între punctul de conexiune PC 20kV ce se va amplasa lâng? punctul de racordare ?i CEF; - Posturi de transformare cu puterea unitara trafo sub 2000kVA si instalatii jt incinta parc</t>
  </si>
  <si>
    <t>ICD HEXAGON DEVELOPMENT S.R.L.</t>
  </si>
  <si>
    <t>Parc fotovoltaic 2.97 MW</t>
  </si>
  <si>
    <t>A20 ORAS LIPOVA-LIPOVA AR</t>
  </si>
  <si>
    <t>Conform lucrarii:EEI-SS-SS/59/2022 revizuit in data de 29.09.2022 - elaborata de SC ENERPROD SYSTEM SRL si avizata de E-Distributie Banat SA cu documentul Aviz CTE nr. 51/02/29.09.2022, Varianta 1 din studiu de solutie pentru care utilizatorul a optat in scris prin adresa nr. 29/07.11.2022, inregistrata la E-Distributie Banat SA cu nr. 132885 / 08.11.2022, tinand seama de situatia energetica din zona precum si de datele solicitate de utilizator racordarea se va realiza Racordare in antena pe bara 20 kV statia Lipova- celula nr 15, cu realizarea urmatoarelor lucrari : I. Lucrari pe tarif de racordare conform Ordin ANRE nr. 59/2013 cu completarile si modificarile ulteroare: Noul utilizator va fi racordat în antena pe bara Rosie 20 kV celula nr. 15 a statiei Lipova intr-o celula existenta de rezerva din containerul existent. Celula disponibila va fi echipata complet cu echipamente compatibile cu cele existente in statie , inclusiv intrerupator 24 kV, releu de protectie DV 901 conform cerinte E-Distributie Banat (EDB) si se vor realiza lucrarile necesare de integrare in sistemul de telecontrol a statiei. Se vor monta TC-uri pe cablul plecare spre PC CEF Lipova 2,97 MW pentru realizarea masurii de balanta conform specificatiilor EDB. Pentru racordarea PC proiectat se vor utiliza: - LES 20 kV între celula de 20 kV din sta?ie ?i celula de linie din punctul de conexiune proiectat, lungime traseu cca .200 m , LES 20 kV se va realiza cu cablu tripolar de medie tensiune cu conductoare de Al, cu elice vizibil? pentru montare subteran?, izolat în polietilen? reticular? de grosime redus?, cu ecran în tub de Al, sub înveli? de PE, 3x1x185 mmp, pozat în tub de protec?ie; - montare fibr? optic? între punctul de conexiune ?i celula de linie MT din sta?ia 110/20 kV Lipova; Pentru racordul noii CEF se va amplasa in imediata apropiere a statiei un punct de conexiuni echipat cu: - 1 buc. celul? modular? de linie (f?r? mentenan??) extensibila, cu echipament de comuta?ie în SF6, echipate cu separator de sarcin? ?i CLP, motorizata; - 1 buc. celul? de m?sur? cu separator de sarcin?, cu dou? transformatoare de tensiune 20/0,1 kV clasa de precizie 0,5 ?i doua transformatoare de curent de 400/5 A, clasa de precizie 0,2S, integrata in sistemul de telecontrol; - montarea de RGDAT-1 buc, UP 2020 LITE-1 buc, baterii acumulatori-2 buc, TSA-1 buc, Router Rugged pentru comunicatii 4G - CISCO IR1101, Swich-uri rugged CISCO IE-4000-8S4G-E, dulap pentru echipamente de telecomunicatii FT-045_TLC-M - TIP B si accesoriile de conectica: modul SFP CISCO GLC_FE-100LX-RGD de tip SM - FT-277_MAT ? 2 buc, Patch-cord duplex LC/PC ? E2000 APC, 2m ? 2 buc, PATCH-PANNEL FO MONOMODE pentru 24 fibre oprice - E2000/APC complet echipat ? 2 buc, Patch-cord ftp cat. 6e (lungime 1 m), Patch-cord ftp cat. 6e (lungime 10 m) Terenurile necesare pentru realizarea acestui racord vor fi puse la dispozitie de Beneficiar si va fi incheiat contract de uz si superficie pentru exploatarea acestor instalatii cu E-Distributie Banat. Noua celula din statia 20kV statia Lipova va fi integrata in sistemul telecontrol existent al E Distributie Banat. II. Lucrari ce se realizeaza prin grija si pe cheltuiala utilizatorului reprezentand instalatie de utilizare:  - cl?direa punctului de conexiune cu dou? compartimente, unul pentru instala?iile electrice din gestiunea  E - Distribu?ie Banat SA ?i unul pentru instala?iile electrice ale utilizatorului. Gabaritul compartimentului de racordare va permite montarea a înc? unei celule de linie ?i va fi cu ac?ionare din interior ?i cu acces direct din exterior; Punctul de conexiune se va amplasa cat mai aproape de statia Lipova. - LES 20 kV de Cu, sec?. 150 mmp, L? 20 m, între celula de m?sur? din compartimentul de racordare ?i celula de sosire din compartimentul utilizatorului; - celula sosire cu întrerup?tor general automat debro?abil în compartimentul utilizatorului cu urm?toarele protec?ii: ? protec?ie general? maximal? de curent în trei trepte (la scurtcircuit si suprasarcina); ? protec?ie homopolar? de curent în dou? trepte, contra punerilor la p?mânt monofazate, respectiv bifazate; ? protectie homopolara directionata. - dispozitivul de interfa?? în compartimentul utilizatorului, cu urm?toarele protec?ii: ? protec?ie maximal? de tensiune netemporizat?; ? protec?ie minimal? de tensiune temporizat?; ? protec?ie maximal?/minimal? de frecven?? netemporizat?; ? protectie homopolara de tensiune temporizata; ? protec?ie împotriva deconect?rilor de la re?ea (stabilit? de comun acord între ENEL ?i produc?tor în func?ie de caracteristicile re?elei de distribu?ie); - realizare LEA/LES 20 kV cu lungimea de 5.5 km între punctul de conexiune ce se va amplasa lâng? sta?ia Lipova ?i central?; - instala?ia de iluminat, prize ?i instala?ia de legare la p?mânt a cl?dirii punctului de conexiune; - serviciile interne în compartimentul de racordare se vor asigura din transformatorul monofazat de 4 kVA montat în compartimentul utilizatorului, dup? întrerup?torul general (DG), spre produc?tor. - realizare drum de acces la punctul de conexiune; - montare analizor pentru monitorizarea calitatii energiei electrice conform specificatii E Distributie Banat - sistem pentru culegere informa?ii ?i transmitere a m?rimilor P, Q, U ?i pozi?ie întrerup?tor la DET prin dispecerul E-Distributie Banat; - in compartimentul utilizator, se vor instala traductoarele de putere activa P, putere reactiva Q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amplasat in compartimentul EDD, semnalele vor fi transmise printr-un cablu special ecranat, care va face parte impreuna cu traductoarele, din instalatia de utilizare. Lungimea cablului nu trebuie sa depaseasca 20m.</t>
  </si>
  <si>
    <t>10084108</t>
  </si>
  <si>
    <t>WAREHOUSES DE PAUW ROMANIA S.R.L.</t>
  </si>
  <si>
    <t>SC TERASTEEL SA</t>
  </si>
  <si>
    <t>HALE DE PRODUCTIE PANOURI TERMOIZOLANTE</t>
  </si>
  <si>
    <t>Lehliu</t>
  </si>
  <si>
    <t>12027486</t>
  </si>
  <si>
    <t>25/11/2022</t>
  </si>
  <si>
    <t>COMPREST UTIL SRL</t>
  </si>
  <si>
    <t>Statie Concasare Piatra</t>
  </si>
  <si>
    <t>12618529</t>
  </si>
  <si>
    <t>17/11/2022</t>
  </si>
  <si>
    <t>WDP INDUSTRIAL PARK 2 STEFANESTII DE JOS - Echipare cu panouri fotovoltaice - Unitate pentru depozitare articole alimentare si nealimentare, anexe administrative, tehnice</t>
  </si>
  <si>
    <t>S20 METRO STEFANESTI-AFUMATI IF</t>
  </si>
  <si>
    <t>Conform Aviz CTE nr. 46/4/27.10.2022 Conform SS revizia 1 Se mentine solutia de racordare aprobata prin CER RO001E142693099/1 din 31.08.2020. PC 4507 din celula UTM sep 32511 - LES 20 kV Metro Stefanesti ? statia 110/20 kV Afumati. Lucrari pe tarif de racordare : Echipare punct de conexiune medie tensiune ? PC4507 - Inlocuire UP existent in PC 4507 aferent barei MT de racord a noului prosumator cu UP 2020 LITE-16 sloturi si Router Rugged pentru comunicatii 4G - CISCO IR1101 Lucrari ce se realizeaza prin grija beneficiarului: Montare in instalatia de utilizare pe partea de jt a elementelor ce formeaza unitatea de producere energie electrica fotovoltaica. Debitarea puterii produse in centrala fotovoltaica amplasata pe acoperisul cladirii se va realiza prin reteaua de JT a consumatorului prin transformatoarele 2x1250kVA+1x800kVA si implicit PC 4507 in momentele in care centrala va produce o putere mai mare decat cea consumata in instalatiile proprii. Racordul centralei fotovoltaice se va realizain tablourile electrice generale existente ale beneficiarului aflat în postul de transformare PT Metro-20/0,4kV 2x1250kVA +1x800kVA. Solutia de racord presupune realizarea a unui tablou electric care vor contine toate elementele necesare realizarii conectarii noii unitati de producerea a energie electrice pentru autoconsum si injectie in retea. Fiecare tablou TEG-CEF este prevazut pe legatura cu tabloul general al halei unde se realizeaza CEF, cu un intreruptor motorizat impreuna cu un releu multifunctional CM-UFD.M31 care va realiza comanda (open/close) a motorului intreruptorului. Aceste intrerupatoare vor avea rol de dispozitiv de interfata, DI, si vor fi declansate prin intermediul releului multifunctional CM-UFD.M31, prin urmatoarele protectii: - protectie maxima tensiune, valoare mediata 10 minute*: 1,1*Un/600+3 secunde; - protectie maxima tensiune: 1,15*Un/temporizata; - protectie minima tensiune : 0,85*Un/ temporizata; - protectie minima tensiune:0,3*Un/ temporizata; - protectie maxima frecventa: 52 Hz/ temporizata; - protectie minima frecventa: 47,5 Hz/ temporizata. OBSERVATII: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JT a consumatorului)). Invertoarele vor avea pe tot timpul functionarii in paralel cu reteaua de distributie activata functia de antiinsularizare, respectiv se va seta o rampa de crestere a puterii active la conectare de maxim 10% din Pmax. Suplimentar se va monta un dulap sigilabil echipat complet cu grup de masura semidirecta (TC, cleme si conectica) dimensionata pentru intreaga putere debitata de CEF in vederea montarii unui contor electronic pus la dispozitie de E Distributie Muntenia. In fiecare TEG CEF se va monta cate un analizor de energie conform schemelor monofilare. De la analizorul instalat in TEG CEF se folosi canal de comunicatie, pentru transmiterea informatiilor de putere activa/reactiva, catre un PLC instalat intr-un dulap montat langa PC 4507. De la PLC catre Unitatea Periferica nou montata in PC 4507, se vor folosi ie?irile analogice 4-20mA ale acestuia. Conversia, însumarea si scalarea semnalelor de putere activa/reactiva, se va face in softul din PLC. Pentru preluarea in sistemul SCADA EDM, se vor transmite de la instalatia de producere energie electrica urmatoarele informatii: ? Putere active, P; ? Putere revtiva, Q, ? Tensiune, U, ? Frecventa, f, ? Pozitie dispozitive de interfata, DDI, sub forma de un singur contact liber de potential. Toate aceste informatii vor fi transmise catre SCADA EDM, in unitatea periferica, UP, din PC 4507. Traductorul si PLC-ul vor fi montate intr-un dulap nou, montat in exterior, langa PC 4507. Punerea in functiune a noi centrale se va face respectand ?PROCEDUR? din 17 aprilie 2019 de notificare pentru racordare a unit??ilor generatoare ?i de verificare a conformit??ii unit??ilor generatoare cu cerin?ele tehnice privind racordarea unit??ilor generatoare la re?elele electrice de interes public?. Utilizatorul are obligatia sa achizioneze si sa monteze cate o cutie/carcasa corespunzatoare, destinata exclusiv montarii contorului/grupului de masurare pentru energia electrica produsa, conform art. 45 alin. 1 lit. a1 din Legea energiei electrice si a gazelor naturale nr. 123/2012, cu modificarile si completarile ulterioare. Grupul de masura se va procura si monta prin grija operatorului de distributie.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Celelaltemateriale ?i echipamente, pentru care nu sunt elaborate specifica?ii tehnice unificate, trebuie s? fie noi, compatibile cu starea tehnic? a instala?iei, s? îndeplineasc? cerin?ele specifice de fiabilitate ?i siguran??.</t>
  </si>
  <si>
    <t>10728985</t>
  </si>
  <si>
    <t>Solar Revolution SRL</t>
  </si>
  <si>
    <t>CEF Calugareni 2</t>
  </si>
  <si>
    <t>Calugareni</t>
  </si>
  <si>
    <t xml:space="preserve">stație 220/110/20kV Ghizdaru racordată intrare – ieșire în LEA 220 kV Bucuresti Sud  – Ghizdaru </t>
  </si>
  <si>
    <t>26/52463</t>
  </si>
  <si>
    <t>59/2014</t>
  </si>
  <si>
    <t>ENERGY INNOVATIVE SOLUTIONS SRL</t>
  </si>
  <si>
    <t>SC DORADIA COM SRL</t>
  </si>
  <si>
    <t>LEA 20 KV RASTOCI-JIBOU-STC.0609</t>
  </si>
  <si>
    <t>LEA 20 KV JIBOU-ILEANDA-STC.0610</t>
  </si>
  <si>
    <t>SC ENERGOVERT PROD COM SRL</t>
  </si>
  <si>
    <t>MURES. PANET. BERGHIA. BERGHIA. FN</t>
  </si>
  <si>
    <t>LEA 20 KV UNGHENI-BAND 7D27O312</t>
  </si>
  <si>
    <t>ENERGY CONCEPT DISTRIBUTION SRL</t>
  </si>
  <si>
    <t>ALBA. ZLATNA. MESTEACANULUI. FN</t>
  </si>
  <si>
    <t>STATIA ZLATNA 110/20 KV</t>
  </si>
  <si>
    <t>Celula 6 kV Z16B - Tratament din Stația 110/6 kV Astra</t>
  </si>
  <si>
    <t>SC ROMAN SA</t>
  </si>
  <si>
    <t>SGROM ELEVEN SRL</t>
  </si>
  <si>
    <t>A20 LABASINT-LUGOJ TM</t>
  </si>
  <si>
    <t>Conform SS avizat in data de 10.11.2022 Racordarea intrare – iesire in LEA 20kV Labasint din statia 110/20 kV Lugoj
A. Lucrari pe tarif de racordare Racordarea intrare – iesire in LEA 20kV Labasint din statia 110/20 kV Lugoj
- plantare 2 stalpi speciali unificati 12G31 (notati cu st.1 si st.2) intre stalpii 289/25/18/5 si 289/25/18/6 existenti din LEA 20kV Labasint - echiparea stalpilor proiectati cu coronament semiorizontal de intindere, lanturi duble terminale compozit, descarcatoare cu oxid de zinc 24kV si priza de Pamant cu Rp&lt;4ohmi
- demontare conductor intre stalpii 1 si 2 proiectati.
- realizare racord 20kV intrare – ieşire LES 20kV între stalpii proiectati nr.1 si nr.2 şi punctul de conexiune, prin intermediul LES 20kV cu cablu tip XLPE 3x(1x185mm2) in lungime totala de 80m (inclusiv pe stalpi) intre celulele de linie LE din PC si stalpii 1 si 2 proiectati.
- echipare punct de conexiune compartiment OD cu:
        2 celule de linie (1LE) LE 24 kV ,400A , 16 KA;
        1 celulă de măsură (1UT) pentru CEF, cu plecare în cablu, UT, 24 kV, 400A , 16 kA, echipată cu 2 transformatoare de curent 400/5A, cls.0,2S şi 2 transformatoare de tensiune 20/0.1kV cls. 0,2;
- echipamente pentru integrarea în sistemul de telecontrol E−Distribuţie Banat SA a celulelor de linie si masura:
- montarea de RGDAT − 2 buc,
- UP 2020 LITE − 1 buc, Al120mmp (de la stalpul 1-35), Al95mmp (st 35 – 165)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măsurare de decontare in firidă securizată, cu contor cu telecitire bidirecţional, clasa 0,2 S (pus la dispoziţie de OD); 
- Amplasare punct de conexiune -compartiment operator de reţea, cu acces liber din domeniul public, dimensionat pentru exploatare din interior; PC se va pozitiona pe un amplasament pus la dispoziţie de utilizator; (constructia PC este in sarcina utilizatorului si va ramane in proprietatea acestuia) in proximitatea LEA 20kV Labasint.
Terenurile necesare pentru realizarea acestui racord vor fi puse la dispozitie de Beneficiar si va fi incheiat contract de uz si superficie pentru exploatarea acestor instalatii cu E-Distributie Banat.
B. Lucrari ce se realizeaza prin grija si pe cheltuiala utilizatorului reprezentand instalatie de utilizare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Întreruptorul este prevăzut cu protecţie digitală şi modul de comunicaţie integrabil în sistemul de telecontrol E Distributie Banat.
- 1 celula de abonat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Sistemul de protecţie general (SPG) asociat DG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Sistemul de protecţie SPI asociat DI contine relee de frecvenţă, de tensiune şi eventual de tensiune homopolară si cuprinde:
- funcţie protecţie de tensiune minima /maxima in 2 trepte;
- funcţie protecţie de frecventa minima /maxima in 2 trepte;
- funcţie de protecţie de maxima de tensiune mediata la 10 minute.
- Racord LES 20 kV între PC utilizator şi PC ODDin celula DG va pleca un cablu de 20 kV Cu secţiune 3x(1x95 mm²) Cu L=25m şi se va conecta in punctul de conexiuni 20 kV ce aparţine E-Distributie Banat, celula de masura.
- Realizare LES 20 kV cu cablu 20kV XLPE 3x(1x185mm2) cu lungimea de 1 ,5km între punctul de conexiune PC 20kV ce se va amplasa lângă punctul de racordare şi CEF;
- Posturi de transformare cu puterea unitara trafo sub 2000kVA si instalatii jt incinta par</t>
  </si>
  <si>
    <t>SGROM EIGHT S.R.L.</t>
  </si>
  <si>
    <t>A20 UZINA APA 1 EST-CHISINEU CRIS AR</t>
  </si>
  <si>
    <t>Conform SS avizat in data de 17.11.2022 Racordarea intrare – iesire in LEA 20kV UZ.APA 1 din Statia 110/20 kV Chisinau Cris
A. Lucrari pe tarif de racordare Racordarea intrare – iesire in LEA 20kV UZ.APA 1 din Statia 110/20 kV Chisinau Cris
- plantare 2 stalpi speciali unificati 12G31 (notati cu STP 242/81/73/A si STP 242/81/73/B) intre stalpii STP 242/81/73 si STP 242/81/74 existenti in axul LEA 20kV UZ.APA 1
- echiparea stalpilor proiectati cu coronament semiorizontal de intindere, lanturi duble terminale compozit, descarcatoare cu oxid de zinc 24kV si priza de Pamant cu Rp&lt;4ohmi
- demontare conductor intre stalpii STP 242/81/73/A si STP 242/81/73/B
- realizare racord 20kV intrare – ieşire LES 20kV între stalpii proiectati STP 242/81/73/A si STP 242/81/73/B şi punctul de conexiune, prin intermediul LES 20kV cu cablu tip XLPE 3x(1x185mm2) in lungime totala de 80m (inclusiv pe stalpi) intre celulele de linie LE din PC si STP 242/81/73/A si STP 242/81/73/B.
- echipare punct de conexiune compartiment OD cu:
2 celule de linie (1LE) LE 24 kV ,400A , 16 Ka;
1 celulă de măsură (1UT) pentru CEF, cu plecare în cablu, UT, 24 kV, 400A , 16 kA, echipată cu 2 transformatoare de curent 400/5A, cls.0,2S şi 2 transformatoare de tensiune 20/0.1kV cls. 0,2;
echipamente pentru integrarea în sistemul de telecontrol E−Distribuţie Banat SA a celulelor de linie si masura:
montarea de RGDAT − 2 buc,
UP 2020 LITE − 1 buc,
baterii acumulatori − 2 buc,
TSA − 1 buc,
router Rugged pentru comunicatii 4G − CISCO IR1101,
Swich−uri rugged CISCO IE−4000−-8S4G−E,
dulap pentru echipamente de telecomunicatii FT−045_TLC-M − TIP B si accesoriile de conectica:
Patch−cord ftp cat. 6e (lungime 1 m); Patch−cord ftp cat. 6e (lungime 10 m).
- Montare grup de măsurare de decontare in firidă securizată, cu contor cu telecitire bidirecţional, clasa 0,2 S (pus la dispoziţie de OD);
- Amplasare punct de conexiune -compartiment operatorde reţea, cu acces liber din domeniul public, dimensionat pentru exploatare din interior; PC se va pozitiona pe un amplasament pus la dispoziţie de utilizator; (constructia PC este in sarcina utilizatorului si va ramane in proprietatea acestuia) in proximitatea LEA 20kV UZ.APA 1.
Terenurile necesare pentru realizarea acestui racord vor fi puse la dispozitie de Beneficiar si va fi incheiat contract de uz si superficie pentru exploatarea acestor instalatii cu E-Distributie Banat
B. Lucrari ce se realizeaza prin grija si pe cheltuiala utilizatorului reprezentand instalatie de utilizare: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Întreruptorul este prevăzut cu protecţie digitală şi modul de comunicaţie integrabil în sistemul de telecontrol E Distributie Banat.
- 1 celula de abonat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Sistemul de protecţie general (SPG) asociat DG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Sistemul de protecţie SPI asociat DI contine relee de frecvenţă, de tensiune şi eventual de tensiune homopolară si cuprinde:
- funcţie protecţie de tensiune minima /maxima in 2 trepte;
- funcţie protecţie de frecventa minima /maxima in 2 trepte;
- funcţie de protecţie de maxima de tensiune mediata la 10 minute.
- RacordLES 20 kV între PC utilizator şi PC OD Din celula DG va pleca un cablu de 20 kV Cu secţiune 3x(1x95 mm²) Cu L=20m şi se va conecta in punctul de conexiuni 20 kV ce aparţine E-Distributie Banat, celula de masura.
- Realizare LES 20 kV cu cablu 20kV Al 3x185mm2 cu lungimea de 0,200km între punctul de conexiune PC 20kV ce se va amplasa lângă punctul de racordare şi CEF.</t>
  </si>
  <si>
    <t>10344284</t>
  </si>
  <si>
    <t>WDP INDUSTRIAL PARK 2 STEFANESTII DE JOS</t>
  </si>
  <si>
    <t>AFUMATI</t>
  </si>
  <si>
    <t>Conform SS revizia 1, aviz CTE nr 46/6/27.10.2022:   Lucrari pe tarif de racordare : Echipare punct de conexiune medie tensiune ? PC4507 - Inlocuire UP existent in PC 4507 aferent barei MT de racord a noului prosumator cu UP 2020 LITE-16 sloturi si Router Rugged pentru comunicatii 4G - CISCO IR1101 Lucrari ce se realizeaza prin grija beneficiarului: Montare in instalatia de utilizare pe partea de jt a instalatiilor ce formeaza unitatea de producere energie electrica fotovoltaica. Racordul centralei fotovoltaice se va realiza in tablourile electrice generale existente ale beneficiarului aflat în postul de transformare PT Ambient-20/0,4kV 1600kVA. Solutia de racord presupune realizarea a unui tablou electric care vor contine toate elementele necesare realizarii conectarii noii unitati de producerea a energie electrice pentru autoconsum si injectie in retea. Fiecare tablou TEG-CEF este prevazut pe legatura cu tabloul general al halei unde se realizeaza CEF, cu un intreruptor motorizat impreuna cu un releu multifunctional CM-UFD.M31 care va realiza comanda (open/close) a motorului intreruptorului. Aceste intrerupatoare vor avea rol de dispozitiv de interfata, DI, si vor fi declansate prin intermediul releului multifunctional CM-UFD.M31,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JT a consumatorului)). Invertoarele vor avea pe tot timpul functionarii in paralel cu reteaua de distributie activata functia de antiinsularizare, respectiv se va seta o rampa de crestere a puterii active la conectare de maxim 10% din Pmax. Suplimentar se va monta un dulap sigilabil echipat complet cu grup de masura semidirecta (TC, cleme si conectica) dimensionata pentru intreaga putere debitata de CEF in vederea montarii unui contor electronic pus la dispozitie de E Distributie Muntenia. In fiecare TEG CEF se va monta cate un analizor de energie conform schemelor monofilare. De la analizorul instalat in TEG CEF se folosi canal de comunicatie, pentru transmiterea informatiilor de putere activa/reactiva, catre un PLC instalat intr-un dulap montat langa PC 4507. De la PLC catre Unitatea Periferica nou montata in PC 4507, se vor folosi ie?irile analogice 4-20mA ale acestuia. Conversia, însumarea si scalarea semnalelor de putere activa/reactiva, se va face in softul din PLC. Pentru preluarea in sistemul SCADA EDM, se vor transmite de la instalatia de producere energie electrica urmatoarele informatii: ? Putere active, P; ? Putere revtiva, Q ? Tensiune, U ? Frecventa, f ? Pozitie dispozitive de interfata, DDI, sub forma de un singur contact liber de potential. Toate aceste informatii vor fi transmise catre SCADA EDM, in unitatea periferica, UP, din PC 4507. Traductorul si PLC-ul vor fi montate intr-un dulap nou, montat in exterior, langa PC 4507. Punerea in functiune a noi centrale se va face respectand ?PROCEDUR? din 17 aprilie 2019 de notificare pentru racordare a unit??ilor generatoare ?i de verificare a conformit??ii unit??ilor generatoare cu cerin?ele tehnice privind racordarea unit??ilor generatoare la re?elele electrice de interes public?. Utilizatorul are obligatia sa achizioneze si sa monteze cate o cutie/carcasa corespunzatoare, destinata exclusiv montarii contorului/grupului de masurare pentru energia electrica produsa, conform art. 45 alin. 1 lit. a1 din Legea energiei electrice si a gazelor naturale nr. 123/2012, cu modificarile si completarile ulterioare. Grupul de masura se va procura si monta prin grija operatorului de distributie.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</si>
  <si>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10723478</t>
  </si>
  <si>
    <t>CEF-CTPARK BUCHAREST WEST 3,5MW</t>
  </si>
  <si>
    <t>Conform SS -aviz CTE nr. 49/3/08.11.2022.  Lucrari pe tarif de racordare : nu e cazul .Lucrari ce se realizeaza prin grija beneficiarului: Montare in instalatia de utilizare pe partea de jt a instalatiilor ce formeaza unitatea de producere energie electrica fotovoltaica. Racordul centralei fotovoltaice se va realiza in tablourile electrice generale existente ale beneficiarului aflat in posturile de transformare aferente utilizatorului. Solutia de racord presupune realizarea a 8 tablourielectrice TE1+CEF, TE2+CEF, TE3+CEF, TE4+CEF, TEs+CEF, TE6+CEF, TE7+CEF si TE+SEP care vor contlne toate elementele necesare realizarii conectarii noii unitati de producerea a energiie electrice pentru autoconsum si injectie in retea. Fiecare tablou TE-CEF este prevazut pe legatura cu tabloulgeneral al halei unde se realizeaza CEF, cu un intreruptor motorizat impreuna cu un releu multifunctional CM-UFD.M31 care va realiza comanda (open/close) a motorului intreruptorului. Aceste intrerupatoare vor avea rol de dispozitiv de interfata, Dl, si vor fi declansate prin intermediul releului multifunctional CM-U FD.M 3 1, prin urmatoarele protectii : - protectie maxima tensiune, valoare mediata 10 minute*: 1 ,1*Un/600+3 secunde; - protectie maxima tensiune: 1,1 5*Un/temporizata; - protectie minima tensiune : 0,85*Un/ temporizata; - protectie minima tensiune: 0,3*Un/ temporizata; - protectie maxima frecventa: 52 Hzltemporizata; - protectie minima frecventa: 47,5 Hzltemporizata. ln cazul defectiunilor releului atasat fiecarui dispozitiv de interfata sau in cazul lipsei alimentarii acestuia va fi declansat intrarupatorul de interfata. ln cazul refuzului de declansare a intrerupatorului de interfata va declansa intrerupatorul adiacent din amonte (spre reteaua de JT a consumatorului)). lnvertoarele vor avea pe tot timpul functionarii in paralel cu reteaua de distributie activata functia de antiinsularizare, respectiv se va seta o rampa de crestere a puterii active la conectare de maxim 10% din Pmax. Suplimentar se va monta un dulap sigilabil echipat complet cu grup de masura semidirecta (TC, cleme si conectica) dimensionata pentru intreaga putere debitata de CEF in vederea montarii unui contor electronic pus la dispozitie de E Distributie Muntenia. ln fiecare TE CEF se va monta cate un analizor de energie conform schemelor monofilare. De la analizoare instalate in TE CEF prin comunicatie RS485 cu protocol MODBUS, se transmit informatii de putere activa/reactiva, catre un PLC instalat intr-un dulap montat in PC 1445, compartiment utilizator. De la PLC catre Unitatea Periferica existenta in PC 1445, vom folosi iegirile analogice 4-20mA ale acestuia. Conversia, insumarea si scalarea semnalelor de putere activa/reactiva, se vaface in softul din PLC. Deasemenea in compartimentul utilizator PC 1445, se vor monta un traductor de tensiune si frecventa tip MC2UP4, racordati prin intermediul TT existenti in PC1445 - compartiment Utilizator, care vor transmite sub forma de semnal unificat 4-20mA valorile de U si f catre UP existenta in PC 1445. Pentru preluarea in sistemul SCADA EDM, se vor transmite de la instalatia de producere energie electrica urmatoarele informatii: . Putere active, P; . Putere reactiva, Q . Tensiune, U. Frecventa, f . Pozitie dispozitive de interfata, DDl, sub forma de un singur contact liber de potential. Toate aceste informatii vor fi transmise catre SCADA EDM, in unitatea periferica, UP, din PC 1445. Traductorul si PLC-ul vor fi montate intr-un dulap nou, montat in compartiment utilizator PC 1445. Utilizatorul are obligatia sa achizioneze si sa monteze cate o cutie/carcasa corespunzatoare, destinata exclusiv montarii contorului/grupului de masurare pentru energia electrica produsa, conform arl. 45 alin. 1 lit. al din Legea energiei electrice si a gazelor naturale nr. 12312012, cu modificarile si completarile ulterioare. Grupul de masura se va procura si monta prin grija operatorului de distributie. Materialele gi echipamentele care se utilizeazd la realizarea lucrdrilor de racordare trebuie si fie noi, omologate sau certificate, dupd caz, dacd acest lucru este prevdzut in specificaliile tehnice unificate, in conformitate cu procedurile aplicabile in grup ENEL gi E-Distribu[ie Muntenia. Celelalte materiale gi echipamente, pentru care nu sunt elaborate specificafii tehnice unificate, trebuie sd fie noi, compatibile cu starea tehnicd a instalaliei, si indeplineasci cerinlele specifice de fiabilitate 9i siguran[i.</t>
  </si>
  <si>
    <t>10735977</t>
  </si>
  <si>
    <t>FOCUS ENERGY PROJECT SRL</t>
  </si>
  <si>
    <t>CEF Petrachioaia+baterii stocare</t>
  </si>
  <si>
    <t>Conform SS revizia 1-aviz CTE 37/2/24.08.2022-var 1. Lucrari pe tarif de racordare - racordarea centralei electrice fotovoltaice CEF Petrachioaia intrare-iesire în LEA 20 kV Petrachioaia st. 362 din statia Caciulati, prin LES 20 kV si PC 20kV noi proiectate - echiparea stalpului 356 cu: coronament semiorizontal, lanturi duble compozit, STEPnv 24 kV in montaj vertical, DRV ZnO 24kV, CT exterior si Rp? 4?; - plantare stalp unificat tip 12G/31 pe domeniul public, dupa stalpul nr. 362 de racord spre PTA 70408 echipat cu: coronament semiorizontal, lanturi duble de intindere, DRV ZnO 24kV, CT exterior si Rp? 4?; - pozare LES 20 kV de tipul ARE4H5(AR)E 3x(1x185)AL mmp intre stalpul 356 si PC 20kV proiectat respectiv intre PC 20kV proiectat si stalpul proiectat (l total =270m). - demontare conductorul existent in deschiderea intre stalpul existent nr.362 si cel proiectat - PC 20 kV proiectat in anvelopa de beton amplasata langa LEA 20 kV Petrachioaia st.362 echipata cu: ? 2 celule de linie motorizate 24 kV, 630A, 16 kA cu separator de sarcina in SF6 conf. DY803/416-LE ? celula de masura conf. DY 803M/316-1UT cu separator si grup de masura format din dou? transformatoare de tensiune 20/0,1 kV, clasa de precizie 0,5 ?i dou?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celulelor de linie si masura din PC 20kV proiectat prin montarea de RGDAT-2 buc,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 2m ? 2 buc, PATCH-PANNEL FO MONOMODE pentru 24 fibre oprice - E2000/APC complet echipat ? 2 buc, Patch-cord ftp cat. 6e (lungime 1 m), Patch-cord ftp cat. 6e (lungime 10 m) Achizitia si montarea contorului de revin in sarcina Operatorului de Distributie. Tensiunea 0,4 kV necesara telecontrolului va fi asigurata din instalatiile beneficiarului. Lucrari prin grija beneficiarului - Anvelopa de beton compusa din doua incaperi cu acces separat fiecare, o incapere fiind pentru montarea echipamentelor 20 kV EDM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20kV de Cu, 95 mmp, L? 20m între celula de m?sur? din compartimentul de racordare ?i celula cu înterup?tor din compartimentul utilizatorului ; - Dispozitivul general -celula sosire cu intrerupator automat si separator in compartimentul utilizatorului (DG) cu urmatoarele protectii: Sistemul de protectie general (SPG) asociat dispozitivului general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mediata la 10 minute. - serviciile interne in compartimentul de racordare se vor asigura din transformatorul monofazat de 4 kVA montat în compartimentul utilizatorului, dup? întrerup?torul general (DG), spre produc?tor.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traductoarelor,impreuna cu cel de pozitie al dispozitivului general DG,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LES 20kV intre PC 20kV proiectat si CEF - Posturi trafo si tablouri jt aferente parcului fotovoltaic - Asigurare accesului la PC 20kV proiectat pentru EDM.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</si>
  <si>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10053375</t>
  </si>
  <si>
    <t>APA NOVA BUCURESTI S.A.</t>
  </si>
  <si>
    <t>STATIA DE POMPARE NORD+CEF</t>
  </si>
  <si>
    <t>Conform SS revizuit la data de 03.11.2022-aviz CTE 45/1/18.10.2022 ,,a) Lucrari pe tarif de racordare Evacuarea puterii produse se va realiza prin instalatiile de racordare existente la locul de consum conform CER RO001E109433469/1 din data de 07.03.2016. Pentru preluarea marimilor : putere activa P; putere reactiva Q; tensiune U din punctul de delimitare; -frecventa, f; -pozitii dispozitive de interfata DI, in statia 110/20/10 kV Pipera se vor monta urmatoarele echipamente: - Router CISCO RUGGED, Patch cord-uri fibra optica, Patch cord-uri UTP, Modul SFP+SM de conectare pentru fibra optica, Rack comunicatie 19 inch cu 18-20U in care vor fi instalate echipamentele pentru asigurarea caii de comunicatie de back-up prin radio sau 4G ? 1 buc, Switch, ODF. - Dulap TLC amplasat in statia Pipera, ce va fi in conformitate cu normele EDM Delimitarea de gestiune si exploatare din punct de vedere al caii de comunicatie se va face la iesire din patch panel de fibra optica E2000 din statia 110/20/10 kV Pipera. Prin grija OD se vor inlocui contoarele existente cu contoare electronice de energie active si reactiva in dublu sens, curba de sarcina, interfata de comunicare RS 232 si cutie de teletransmitere date. Materialele si echipamentele care se utilizeaza la realizarea instalatiei trebuie sa fie noi, omologate sau certificate, dupa caz, daca acest lucru este prevazut in specificatiile tehnice unificate, in conformitate cu procedurile aplicabile in grup ENEL si E-Distributie. Celelalte materiale si echipamente, pentru care nu sunt elaborate specificatii tehnice unificate, trebuie sa fie noi, compatibile cu starea tehnica a instalatiei, sa indeplineasca cerintele specifice de fiabilitate si siguranta. ,,b) Lucr?ri finan?ate de beneficiar: -extinderea conexiunii de 6kV in substatia utilizatorului prin instalarea a doua PC 6kV, echipate cu cate doua celule de linie cu separator si o celula cu intreruptor cu toate protectiile impuse pentru racordulsistemului fotovoltaic -montarea unitatilor de transformare 6/0,4kV cu putere unitara de 1600kVA -montare in instalatia de utilizare pe partea de jt elementelor ce formeaza unitatea de producere energie electrica fotovoltaica Sistemul de protectie SPI asociat DI contine relee de frecven??, de tensiune ?i eventual de tensiune homopolar?. Sistemul de protectie de interfata (SPI) asociat dispozitivului de interfata cuprinde: ? functie protectie de tensiune minima /maxima in 2 trepte; ? functie protectie de frecventa minima /maxima in 2 trepte; ? functie de protectie de maxima de tensiune mediata la 10 minute. Pentru integrarea in sistemul de telecontrol/SCADA existent al E-DM se vor transmite urmatoarele informatii: -putere activa, P; -putere reactiva, Q; -tensiune, U; -frecventa, f; -pozitie dispozitiv de interfata, DI. Toate aceste informatii, preluate de la grupurile generatoare, se vor integra in sistemul de telecontrol/SCADA al E-DM printr-un echipamental utilizatorului (dulap de telecomunicatii) ce poate asigura interfatarea prin protocolul de comunicatie IEC50870-104 si utilizarea unui suport de fibra optica asigurat tot de catre utilizator pana in statia Pipera, in rack-ul de comunicatii aferent E-DM; Pentru asigurarea transmiterii marimilor de stare, calea principala de comunicatie trebuie sa fie asigurata de catre utilizator prin fibra optica de la statia de pompare Apa Nova Nord pana la interfata cu echipamentele E-Distributie Muntenia (statia de transformare 110/10kV Pipera); Delimitarea de gestiune si exploatare din punct de vedere al caii de comunicatie se va face la iesire din patch panel de fibra optica E2000 din statia 110/20/10 kV Pipera . Pentru asigurarea transmiterii marimilor de stare, calea principala de comunicatie trebuie sa fie asigurata de catre utilizator prin cabluri de semnalizare a pozitiei echipamentelor de la posturile de transformare aferente CEF Apa Nova Nord, pana la interfata cu echipamentele E-Distributie Muntenia;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In cadrul substatiei 10kV ce apartine statiei de pompare Apa Nova Nord sunt necesare a fi montate urmatoarele echipamente: - Router CISCO RUGGED ? 1 buc; - Patch cord-uri fibra optica ? 1 buc; - Patch cord-uri UTP ? 1 buc; - Patch panel de fibra optica (E2000) ? 2 buc, cate unul in fiecare statie; - Modul SFP de conectare pentru fibra optica ? 1 buc; - Switch CISCO RUGGED ? 1 buc; Se prevad montarea a cate doua TT 20/0.1kV pe fiecare sistem de bare la care este prevazuta celula CEF producator, ce au in componenta sigurante fuzibile pentru preluarea valorilor tensiunii, frecventei si pozitiei DI+DG-CEF. Se va asigurara calea de comunicatie prin fibra optica pana in statia 110/20/10 kV Pipera impreuna cu parametrizarile necesare; Pentru preluarea in sistemul SCADA EDM, se vor transmite de la instalatia de producere energie electrica urmatoarele informatii: -Puterea active P -Puterea reactiva Q -Tensiunea U -Frecventa f -Pozitie dispozitive de interfata, DDI, sub forma de contact liber de potential. Utilizatorul are obligatia sa achizioneze si sa monteze cate o cutie/carcasa corespunzatoare, destinata exclusiv montarii contorului/grupului de masurare pentru energia electrica produsa, conform art. 45 alin. 1 lit. a1 din Legea energiei electrice si a gazelor naturale nr. 123/2012, cu modificarile si completarile ulterioare. Grupul de masura se va procura si monta prin grija operatorului de distributie.</t>
  </si>
  <si>
    <t>09827758</t>
  </si>
  <si>
    <t>CEF CORDUN SOCERAM, LOC. CORDUN, JUD NEAMT</t>
  </si>
  <si>
    <t>1005108186 </t>
  </si>
  <si>
    <t>FGAET SOLAR THREE SRL</t>
  </si>
  <si>
    <t>A20 FAGET-LUGOJ TM</t>
  </si>
  <si>
    <t>11957878</t>
  </si>
  <si>
    <t>S.C. SOLAR SUNLIGHTS TWO S.R.L.</t>
  </si>
  <si>
    <t>Construire centrala fotovoltaica</t>
  </si>
  <si>
    <t>A20 LOVRIN-JIMBOLIA TM</t>
  </si>
  <si>
    <t>11847304</t>
  </si>
  <si>
    <t>FRATELIA TM</t>
  </si>
  <si>
    <t>E-Distributie Banat</t>
  </si>
  <si>
    <t>CTPARK BETA SRL</t>
  </si>
  <si>
    <t>PARC LOGISTIC</t>
  </si>
  <si>
    <t>13318465</t>
  </si>
  <si>
    <t>CTPark Incontro</t>
  </si>
  <si>
    <t>11042809</t>
  </si>
  <si>
    <t>PERNAT ROMANIA SRL</t>
  </si>
  <si>
    <t>ORASTIE DV</t>
  </si>
  <si>
    <t>12029061</t>
  </si>
  <si>
    <t>OLIMP IMOBILIARE SRL</t>
  </si>
  <si>
    <t>ansamblu locuinte</t>
  </si>
  <si>
    <t>08209306</t>
  </si>
  <si>
    <t>TURBOMECANICA SA</t>
  </si>
  <si>
    <t>09140637</t>
  </si>
  <si>
    <t>S.C. NX DATA S.R.L.</t>
  </si>
  <si>
    <t>CENTRU DATE</t>
  </si>
  <si>
    <t>09265489</t>
  </si>
  <si>
    <t>STAR FOODS E.M. S.R.L.</t>
  </si>
  <si>
    <t>12001700</t>
  </si>
  <si>
    <t>UM 01965</t>
  </si>
  <si>
    <t>CONSOLIDARE SI MODERNIZARE PAVILIOANE DIN CAZARMA 429</t>
  </si>
  <si>
    <t>12234186</t>
  </si>
  <si>
    <t>Valrom Industrie SRL</t>
  </si>
  <si>
    <t>Spor putere Hala Productie 32A</t>
  </si>
  <si>
    <t>13525023</t>
  </si>
  <si>
    <t>NUFERILOR SRL</t>
  </si>
  <si>
    <t>Imobil Locuinte C1+C2</t>
  </si>
  <si>
    <t>10529443</t>
  </si>
  <si>
    <t>SC MOTIF ENERGY SRL</t>
  </si>
  <si>
    <t>PARC FOTOVOLTAIC CAI DE VIS 2,5MW, LOC. IONASENI, COM. VARFU CAMPULUI, JUD. BOTOSANI</t>
  </si>
  <si>
    <t>BUCECEA</t>
  </si>
  <si>
    <t>1005115981 </t>
  </si>
  <si>
    <t>Noiembrie 2023</t>
  </si>
  <si>
    <t>Modernizare ST 110/20 kV Bucecea, Siret, Dorohoi in scopul preluarii ee produse din surse regenerabile-2023</t>
  </si>
  <si>
    <t>Modernizare ST 110/20 kV Husi, Stanilesti, Vetrisoaia, Falciu,. Murgeni in scopul preluarii ee produse din surse regenerabile - 2022</t>
  </si>
  <si>
    <t>Modernizare perte de constructii (cadre, rigle, suporti) statia de transformare 110/20 kV Campulung, jud. Suceava</t>
  </si>
  <si>
    <t>Inlocuire TT si TC la celula 110 kV Trafo 1 - 25M VA din statia Galata , jud. Iasi</t>
  </si>
  <si>
    <t>Inlocuire TT si TC la celula LEA 110 kV B4 din statia Galata , jud. Iasi</t>
  </si>
  <si>
    <t>Inlocuire TT si TC la celula 110 kV Trafo 2 - 25 MVA din statia Galata , jud. Iasi</t>
  </si>
  <si>
    <t>Inlocuire TT si TC la celula LEA 110 kV HOLBOCA 1 din statia Galata , jud. Iasi</t>
  </si>
  <si>
    <t>Inlocuire TT si TC la celula LEA 110 kV MANTA ROSIE 2 din statia Galata , jud. Iasi</t>
  </si>
  <si>
    <t>Inlocuire TT si TC la celula LEA 110 kV FAI 1 din statia Galata , jud. Iasi</t>
  </si>
  <si>
    <t>Inlocuire TT si TC la celula LEA 110 kV FAI 2 din statia Galata , jud. Iasi</t>
  </si>
  <si>
    <t>Inlocuire TT si TC la celula LEA 110 kV HOLBOCA 2 din statia Galata , jud. Iasi</t>
  </si>
  <si>
    <t>Inlocuire TT si TC la celula LEA 110 kV MANTA ROSIE 1 din statia Galata , jud. Iasi</t>
  </si>
  <si>
    <t>Inlocuire TT si TC la celula 110 kV  Cupla CTv din statia Galata , jud. Iasi</t>
  </si>
  <si>
    <t>Inlocuire TT si TC la celula 111 kV  Cupla CLTv din statia Galata , jud. Iasi</t>
  </si>
  <si>
    <t>Inlocuire TT si TC la celula LEA 110 kV Barlad din statia Rosiesti , jud. Vaslui</t>
  </si>
  <si>
    <t>Inlocuire TT si TC la celula LEA 110 kV Rediu din statia Rosiesti , jud. Vaslui</t>
  </si>
  <si>
    <t>Inlocuire TT si TC la celula LEA 110 kV Barlad circ.1 din statia Crang , jud. Vaslui</t>
  </si>
  <si>
    <t>Inlocuire TT si TC la celula LEA 110 kV FAI din statia Tibanesti , jud. Vaslui</t>
  </si>
  <si>
    <t>Inlocuire TT si TC la celula LEA 110 kV Negresti din statia Tibanesti , jud. Vaslui</t>
  </si>
  <si>
    <t>Inlocuire TT si TC la celula 110 kV TRAFO din statia Roznov , jud. Neamt</t>
  </si>
  <si>
    <t>Inlocuire TT si TC la celula LEA 110 kV Bucecea din statia Conexiuni , jud. Suceava</t>
  </si>
  <si>
    <t>Inlocuire TT si TC la celula LEA 110 kV Burdujeni 1 din statia Conexiuni , jud. Suceava</t>
  </si>
  <si>
    <t>Inlocuire TT si TC la celula LEA 110 kV Burdujeni 2 din statia Conexiuni , jud. Suceava</t>
  </si>
  <si>
    <t>Inlocuire TT si TC la celula LEA 110 kV CET 1 din statia Conexiuni , jud. Suceava</t>
  </si>
  <si>
    <t>Inlocuire TT si TC la celula LEA 110 kV CET 2 din statia Conexiuni , jud. Suceava</t>
  </si>
  <si>
    <t>Inlocuire TT si TC la celula LEA 110 kV Masura 1 din statia Conexiuni , jud. Suceava</t>
  </si>
  <si>
    <t>Inlocuire TT si TC la celula LEA 110 kV Masura 2 din statia Conexiuni , jud. Suceava</t>
  </si>
  <si>
    <t>Inlocuire TT si TC la celula LEA 110 kV SUCEAVA din statia Radauti , jud. Suceava</t>
  </si>
  <si>
    <t>Inlocuire TT si TC la celula LEA 110 kV SOLCA din statia Radauti , jud. Suceava</t>
  </si>
  <si>
    <t>Inlocuire TT si TC la celula LEA 110 kV VICOV din statia Radauti , jud. Suceava</t>
  </si>
  <si>
    <t>Inlocuire TT si TC la celula LEA 110 kV Barlad circ.2 din statia Crang , jud. Vaslui</t>
  </si>
  <si>
    <t>Inlocuire TT si TC la celula LEA 110 kV Zanesti din statia Roznov , jud. Neamt</t>
  </si>
  <si>
    <t>Inlocuire TT si TC la celula LEA 110 kV Dumbrava din statia Roznov , jud. Neamt</t>
  </si>
  <si>
    <t>Inlocuire TT si TC la celula 110 kV TRAFO din statia Dolhasca , jud. Suceava</t>
  </si>
  <si>
    <t>Inlocuire TT si TC la celula LEA 110 kV Falticeni din statia Dolhasca , jud. Suceava</t>
  </si>
  <si>
    <t>Inlocuire TT si TC la celula LEA 110 kV Hudum din statia Dolhasca , jud. Suceava</t>
  </si>
  <si>
    <t>Inlocuire TT si TC la celula LEA 110 kV Dolhasca din statia Falticeni , jud. Suceava</t>
  </si>
  <si>
    <t>Inlocuire TT si TC la celula LEA 110 kV Suceava din statia Falticeni , jud. Suceava</t>
  </si>
  <si>
    <t>Inlocuire TT si TC la celula LEA 110 kV Timisesti din statia Falticeni , jud. Suceava</t>
  </si>
  <si>
    <t>Inlocuire TT si TC la celula LEA 110 kV EGGER din statia Radautii , jud. Suceava</t>
  </si>
  <si>
    <t>Inlocuire TT si TC la celula LEA 110 kV STEJARU - CHE P.TEIULUI din statia Barnar , jud. Suceava</t>
  </si>
  <si>
    <t>Inlocuire TT si TC la celula LEA 110 kV POIANA TEIULUI din statia Barnar , jud. Suceava</t>
  </si>
  <si>
    <t>Inlocuire TT si TC la celula LEA 110 kV TARNITA din statia Barnar , jud. Suceava</t>
  </si>
  <si>
    <t>Inlocuire TT si TC la celula 110 kV CUPLA TRANSVERSALA din statia Barnar , jud. Suceava</t>
  </si>
  <si>
    <t>Inlocuire TT si TC la celula 110 kV Cupla CT din statia Rediu , jud. Vaslui</t>
  </si>
  <si>
    <t>Inlocuire TT si TC la celula LEA 110 kV Rosiesti din statia Rediu , jud. Vaslui</t>
  </si>
  <si>
    <t>Inlocuire TT si TC la celula LEA 110 kV Munteni circ.1 din statia Rediu , jud. Vaslui</t>
  </si>
  <si>
    <t>Inlocuire TT si TC la celula LEA 110 kV Munteni circ.2 din statia Rediu , jud. Vaslui</t>
  </si>
  <si>
    <t>Inlocuire TT si TC la celula 110 kV Masura M+D-1 din statia Rediu , jud. Vaslui</t>
  </si>
  <si>
    <t>Inlocuire TT si TC la celula 111 kV Masura M+D-2 din statia Rediu , jud. Vaslui</t>
  </si>
  <si>
    <t>Decembrie 2023</t>
  </si>
  <si>
    <t>Februarie 2023</t>
  </si>
  <si>
    <t>Iulie 2023</t>
  </si>
  <si>
    <t>Octombrie 2023</t>
  </si>
  <si>
    <t>Septembrie 2023</t>
  </si>
  <si>
    <t>ECO TULUCESTI S.R.L.</t>
  </si>
  <si>
    <t>CEE TULUCESTI 3</t>
  </si>
  <si>
    <t>STATIA 110/20kV VANATORI</t>
  </si>
  <si>
    <t>Racord 20kV si PC 20kV proiectat</t>
  </si>
  <si>
    <t xml:space="preserve">Lucrari in St 110/20kV Vanatori : inlocuire ambelor transformatoare T1 si T2 cu 2 transformatoare de putere noi 110/20kV , Sn=31,5MVA;    Lucrari de reconfigurare LEA 110kV apartinand SDEE Galati, care au alimentat Combinatul Siderurgic Arcelor Mittal. </t>
  </si>
  <si>
    <t>CEF Dobra</t>
  </si>
  <si>
    <t>CEF Cristesti</t>
  </si>
  <si>
    <t>TSG CAPITAL SRL</t>
  </si>
  <si>
    <t>in LEA 220kV Brazi Vest_x0002_Targoviste circ.2 prin intermediul unei statii de transformare 220/110kV (Investitor) si o statie de conexiuni intrare/iesire 220kV (OTS)</t>
  </si>
  <si>
    <t>31/62376</t>
  </si>
  <si>
    <t>SC VERTICAL PLUS SRL</t>
  </si>
  <si>
    <t>220/110/20 kV Ungheni</t>
  </si>
  <si>
    <t>racord LES 20 kV in lung. de 3 km din PC 20 kV CEF Cristesti pana pe bara de  20 kV din statia 220/110/20 kV Ungheni</t>
  </si>
  <si>
    <t>DATALINK SRL</t>
  </si>
  <si>
    <t>IROS BRAVE 21 SRL</t>
  </si>
  <si>
    <t>MARPOD</t>
  </si>
  <si>
    <t>LEA 20 kV Hosman</t>
  </si>
  <si>
    <t>Stația 110 / 20 kV Agnita</t>
  </si>
  <si>
    <t>KB ENERGIE VERDE SRL</t>
  </si>
  <si>
    <t>BRUIU</t>
  </si>
  <si>
    <t>MAURER IMOBILIARE SA</t>
  </si>
  <si>
    <t>PCT 59.80.08 Avantgarden 4 si PCT 59.80.01 Institutul Cartofului</t>
  </si>
  <si>
    <t>PTZ 461209 20/0,4 KV PCT HOLVER</t>
  </si>
  <si>
    <t>PTAB 339 20/0,4 KV SIBIU</t>
  </si>
  <si>
    <t>KNAUF INSULATION SRL</t>
  </si>
  <si>
    <t>PTAB 22 20/20 kV PC TARNAVENI</t>
  </si>
  <si>
    <t>UNITATEA MILITARA NR.02444 SIBIU</t>
  </si>
  <si>
    <t>LEA 20 kV Statia Codlea – MAI</t>
  </si>
  <si>
    <t>UAT JUDET BRASOV</t>
  </si>
  <si>
    <t>LES 20 KV ICA GHIMBAV</t>
  </si>
  <si>
    <t>LES 20 kV St. ICA Ghimbav - PCT 38 Ghimbav, PCT 43.21.01 conform ATR organizare de santier ( care isi inceteaza valabilitatea odata cu finalizarea lucrarilor prevazute in AC), echipat cu : 2 celule 20 kV Linie, 1 celula 20 kV PT + masura (inlocuire TC existente cu TC 100/5/5A cls 0,2s - 12.5 kA pentru masura - pe fonduri beneficiar), 1 celula Masura 20 kV ( TT), 1 celula 20 kV servicii interne. LES 20 KV de la celula PT+ masura la PT ( Aeroport) beneficia</t>
  </si>
  <si>
    <t>UNITATEA MILITARA 1495</t>
  </si>
  <si>
    <t>CINCU</t>
  </si>
  <si>
    <t>Derivatia LEA 20 kV PT 2 Cincu al LEA 20 kV Cincu (Statia Fagaras)</t>
  </si>
  <si>
    <t>Derivatia LEA 20 kV PT 2 Cincu al LEA 20 kV Cincu (Statia Fagaras); LEA 20 kV Voila (Statia Ucea), PCT(realizat conform ATR nr.70101798547/30.03.2017 UM 01495 CINCU)</t>
  </si>
  <si>
    <t>PT 339 SIBIU, echipat cu trafo 2(abonat) 20/0,4kv-630KVA, celula de masura 20kV, echipata cu contor electronic trifazat existent, (activ+reactiv), 5(10)A, cls. 0,5S, cu curba de sarcina, interfata de comunicatie RS 485, in montaj indirect prin 3 transformatoare de curent 20/5/5A, cls. 0,5 si 3 transformatoare de tensiune 20/√3/0,1/√3 kV, cls. 0,5</t>
  </si>
  <si>
    <t>CENTRALA ELECTRICA EOLIANA CURCUBATA MARE</t>
  </si>
  <si>
    <t>CEE</t>
  </si>
  <si>
    <t>ST.110/20/6 kV Baita</t>
  </si>
  <si>
    <t>TN18272</t>
  </si>
  <si>
    <t>ELECTRICOM SA</t>
  </si>
  <si>
    <t>RUPEA GARA</t>
  </si>
  <si>
    <t>LEA 20 KV ST HOGHIZ-IF HOMOROD</t>
  </si>
  <si>
    <t>Realizare PC 20 kV nou proiectat in anvelopa de beton/metal pe terenul beneficiarului, integrat in SCADA, echipat cu: - 3 celule de Linie 20 kV, 630 A, cu separator si intrerupator in SF6, 630 A, cu motorizare 48 Vc.c., 3xTC 200/5 A; - 1 celula Servicii interne 20 kV, 200 A, cu separator de sarcina in SF6, sigurante fuzibile 24 kV si un transformator de servicii interne 20/0.23 kV, 4 kVA; - 1 celula Masura tensiune 20 kV, 630 A, cu separator de sarcina in SF6 si 3xTT 20/√3 / 0.1/√3 / 0.1/3 kV, clasa 0.2; - 1 celula plecare spre Parcul fotovoltaic 20 kV, 630 A, cu separator si intrerupator in SF6, 630 A, cu motorizare 48 Vc.c., 3xTC 150/5/5 A, clasa 0.2S si un transformator toroidal 20 kV, 50/1 A, 1FS10, releu de protectie electronic cu minim functiile PMRD, PMTD, PHD, df/dt, Urnin./ Umax., fmin./fmax.; - 2 locuri libere pentru 2 celule 20 kV, 630 A cu separator si intrerupator</t>
  </si>
  <si>
    <t>HYPERION SOARE SRL</t>
  </si>
  <si>
    <t>ACILIU</t>
  </si>
  <si>
    <t xml:space="preserve"> LEA 110 kV Orlat - Miercurea</t>
  </si>
  <si>
    <t>Parcul Fotovoltaic (CEF Săliște) – va fi realizat în extravilanul comunei Aciliu (Săliște), județul Sibiu, km 333, drum E 81 și va fi traversat de LEA 110 kV Orlat – Miercurea și LEA 20 kV Săliște – Apold – Miercurea</t>
  </si>
  <si>
    <t>PORTLAND TRUST-RENEWABLES 3 SRL</t>
  </si>
  <si>
    <t>CEF Corbii Mari</t>
  </si>
  <si>
    <t>racordarea în sistem “intrare – ieșire” în LEA 400 kV Urechești – Domnești (Bucșani) la aprox. 220 km față de stația 400 kV Urechești și 10 km față de viitoarea stație 400 kV Bucșani.</t>
  </si>
  <si>
    <t>KNAUF GIPS SRL</t>
  </si>
  <si>
    <t>HUEDIN</t>
  </si>
  <si>
    <t>ST.110/20 KV HUEDIN</t>
  </si>
  <si>
    <t>SC SOLHAY SRL</t>
  </si>
  <si>
    <t>CRISTIAN</t>
  </si>
  <si>
    <t>celula de linie 20 kV nou montata in Statia 110/20 kV Cristian</t>
  </si>
  <si>
    <t>Statia 110/20 kV Cristian</t>
  </si>
  <si>
    <t>PARC TERMO 2022 SRL</t>
  </si>
  <si>
    <t>LUDUS</t>
  </si>
  <si>
    <t>LEA 20 kV Gura Aries</t>
  </si>
  <si>
    <t>Montare in axul LEA 20 kV Gura Aries a unui stalp tip SC 15015 (nr. 16A) echipat cu: consola CIT 140, izolatoare compozite duble de intindere 24 kV, varfar compozit, separator cu CLP STEP3NV, doua manete de actionare, descaractoare 24 kV cu consola tripolara, izolatoare suport compozite pentru capete terminale LES 20 kV, priza de pamant cu dirijare potential cu Rp</t>
  </si>
  <si>
    <t>CEF PARC TERMO 2022 de 4,9 MW, va putea evacua in SEN, atat la N, cat si la N-1, cu lucrari de intarire generale, prin reconductorare pe circuitele LEA 110 kV: Fantanele - Tarnaveni 1, Fantanele - Tarnaveni 2, Iernut - Tarnaveni 1, Iernut - Tarnaveni 2, Marsa - Cisnadie 1, Sibiu (bara A) - Ucea, Sibiu - Cisnadie, Sibiu (bara B) - Ucea si Sibiu - Orlat. Din analiza efectuata pentru verificarea la N si N-1 elemente in functiune in zona RED, cu considerarea CEF se constata ca: - suprasarcinile care apareau dinainte se mentin si nu sunt infuentate de noua CEF; - nu apar suprasarcini suplimentare.</t>
  </si>
  <si>
    <t>SC WEBASTO ROMANIA SRL</t>
  </si>
  <si>
    <t>CEF WEBASTO</t>
  </si>
  <si>
    <t>A20 ZIMAND-CURTICI AR</t>
  </si>
  <si>
    <t>10157565</t>
  </si>
  <si>
    <t>SOLAR GREEN PLANET ONE S.R.L</t>
  </si>
  <si>
    <t>CEF PANCOTA</t>
  </si>
  <si>
    <t>A20 ORAS PANCOTA-PINCOTA AR</t>
  </si>
  <si>
    <t>09946396</t>
  </si>
  <si>
    <t>SERVICIUL DE TELECOMUNICATII SPECIALE</t>
  </si>
  <si>
    <t>IMOBIL CU DESTINATIE SPECIALA-CENTRU DE DATE TIER IV</t>
  </si>
  <si>
    <t>MUSICESCU TM</t>
  </si>
  <si>
    <t>12950164</t>
  </si>
  <si>
    <t>ARTEMIS REAL ESTATE SRL</t>
  </si>
  <si>
    <t>HALA DEPOZITARE</t>
  </si>
  <si>
    <t>AVICOLA CALACEA-SATCHINEZ TM</t>
  </si>
  <si>
    <t>14283646</t>
  </si>
  <si>
    <t>SOLAR ENEGY ULMENI SRL</t>
  </si>
  <si>
    <t>CEF Oltenita 1</t>
  </si>
  <si>
    <t>la bara 20kV din statia Oltenita Sud</t>
  </si>
  <si>
    <t xml:space="preserve">	
Conform solutiei 2: Lucrari pe tarif de racordare 1 Lucrari in statia 110/20kV Oltenita SUD Reconfigurare sistem bare 20kV in st Oltenita SUD astfel: -deasupra celulei de linie 20Y se vor sectiona barele transversale ale statiei. Bara 1-20kV va fi intrerupta deaspra celulei 20Y. Bara 2-20kV va fi conectata intr-o celula de racord in bare, noua, compacta 24kV, 1600A, cu izolatie in aer, de tipul DY732RO/2. In continuarea ei se vor instala 2 celule noi, compacte, 24kV, 1600A, izolate in aer cu intreruptor in vid, cu translatie verticala de tipul DY696A .In spatiu creat se vor monta cele doua celule noi si anume: celula racord bare 24kV si celula linie 24kV pentru CEF OLTENITA 1 si se va crea un spatiu necesar pentru celula 24kV aferenta CEF OLTENITA 2; celulele noi vor fi integrate in SCADA si in sistemul de telecontrol si telemasura al statiei de transformare Oltenita SUD. - Circuitele secundare din celula pentru noul racord vor fi integrate prin intermediul unui releu de protectie DV971A2NCI nou care se va instala in zona de circuite secundare a statiei OLTENITA SUD. - mutarea liniilor LE 20kV existente din celulele 16Y si 18Y in celulele de linie 20kV rezerva care vor fi reechipate si integrate in SCADA si sistemul de telecontrol existenta al statiei; Cele doua celule de rezerva se vor echipa astfel: • 2 x separator de bare 630A; • Intrerupator debrosabil 630A; • 3xTC 400/5A, cls. 0,2s; • 1xTCH 100/1A; • Separator de punere la pamant. 2 Racord LES 20kV +FO - LES 20 kV cu cablu Al 3x185 mmp+FO în lungime de 0,270km cu traseul de la celula proiectata din staţia 110/20 kV Oltenita SUD până la punctul de conexiune de 20 kV proiectat , amplasat la cca 270m de statia Oltenita SUD ; Pe traseul de medie tensiune care realizeaza racordul intre PC nou si ST OLTENITA SUD se va instala si fibra optica. 3 PC 20 kV proiectat in anvelopa de beton amplasata la cca 270m de statia Oltenita SUD echipata cu: ·,,1celule de linie motorizate 24 kV, 630A, 16 kA cu separator de sarcina in SF6 conf. DY803/416-LE ed. 2 ·,,o celula de masura conf. DY 803M/316-1UT cu separator si grup de masura format din două transformatoare de tensiune 20/0,1 kV&lt;(&gt;,&lt;)&gt; clasa de precizie 0,5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APC&lt;(&gt;,&lt;)&gt; 2m – 2 buc, PATCH-PANNEL FO MONOMODE pentru 24 fibre oprice - E2000/APC complet echipat – 2 buc, Patch-cord ftp cat. 6e (lungime 1 m), Patch-cord ftp cat. 6e (lungime 10 m) Achizitia si montarea contorului de revin in sarcina Operatorului de Distributie. Tensiunea 0,4 kV necesara telecontrolului va fi asigurata din instalatiile beneficiarului. Punctul de conexiune 20 kV va fi in anvelopa de beton amplasat langa statia 110/20kV Oltenita SUD, cu acces din domeniu public si va fi alcatuit din doua compartimente cu acces separat fiecare: unul cu acces numai pentru personalul EDD (compartiment de racordare) iar cealalalt cu acces pentru utilizator (compartiment utilizator). Anvelopa va fi prevazuta si cu nisa pentru montarea contorului de decontare cu posibilitatea vizualizarii atat de catre E-Distributie Dobrogea cat si de catre beneficiar. Lucrari ce se realizeaza prin grija beneficiarului: - Anvelopa de beton compusa din doua incaperi cu acces separat fiecare, o incapere fiind pentru montarea echipamentelor 20 kV EDD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mediata la 10 minute. -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 in lungime de 4,7km - Posturi trafo si tablouri jt aferente parcului fotovoltaic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</si>
  <si>
    <t>SC ECO ENERGY MITRENI SRL</t>
  </si>
  <si>
    <t xml:space="preserve">	
Centrala Fotovoltaica Mitreni</t>
  </si>
  <si>
    <t xml:space="preserve">	
A20 MITRENI-OLTENITA NORD CL</t>
  </si>
  <si>
    <t>Solutia 1 - racordarea centralei electrice fotovoltaice CEF Mitreni intrare - iesire in LEA 20 kV Mitreni, zona PTA2468, prin LES 20 kV si PC 20kV noi proiectate Lucrari pe tarif de racordare - montarea in axul LEA 20 kV Mitreni a doi stâlpi din beton de intindere-tractiune, tip 12/G/31, echipat fiecare cu: coronament semiorizontal, lanturi duble compozit, STEPnv 24 kV in montaj vertical , DRV ZnO 24kV, CT exterior si Rp≤ 4Ω si demontarea stalpului de sustinere existent in axul LEA 20kV Mitreni; ➢ realizare trecere LEA 20kV in LES 20kV prin montarea pe fiecare din cei doi stalpi proiectati a unui set de terminale unipolare pentru exterior (conforme cu GSCC 005/1), pentru cabluri MT cu câmp radial cu izolaţie extrudată şi un set de descărcătoare cu oxizi metalici si dispozitive de deconectare; ➢ realizare LES 20 kV intrare-iesire cu cablu medie tensiune tripolar, cu elice vizibila, cu izolație XLPE, 3x(1x185)AL mmp intre stalpii proiectati si punctul de conexiuni 20kV proiectat (l=10m); ➢ punct de conexiuni 20 kV proiectat in anvelopa de beton, amplasat la cca 10m de punctul de racord Echiparea compartimentului de racordare al punctului de conexiuni 20 kV ce se va amplasa pe terenul CEF Mitreni, la limita de proprietate, cu: •,,• 2 celula de linie motorizate 24 kV, 630A, 16 kA cu separator de sarcina in SF6 conf. Specificatie Enel •,,• o celula de masura conf. Specificatie Enel cu separator si grup de masura format din două transformatoare de tensiune 20/0,1 kV, clasa de precizie 0,5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 2m – 2 buc, PATCH-PANNEL FO MONOMODE pentru 24 fibre oprice - E2000/APC complet echipat – 2 buc, Patch-cord ftp cat. 6e (lungime 1 m), Patch-cord ftp cat. 6e (lungime 10 m) Achizitia si montarea contorului de revin in sarcina Operatorului de Distributie. •,,Tensiunea 0,4 kV necesara telecontrolului va fi asigurata din instalatiile beneficiarului. Lucrari prin grija beneficiarului pentru solutiile 1 si 2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LES 20kV intre PC 20kV proiectat si CEF cca 2,3km; ➢ Posturi trafo cu putere unitara trafo de maxim 2000kVA si tablouri jt aferente parcului fotovoltaic; - Asigurare accesului la PC 20kV proiectat pentru EDD.</t>
  </si>
  <si>
    <t>Black Sea Vision SRL</t>
  </si>
  <si>
    <t xml:space="preserve">	
HALA PRODUCTIE SI DEPOZITARE - B2</t>
  </si>
  <si>
    <t>Petrol Sud</t>
  </si>
  <si>
    <t>11297655</t>
  </si>
  <si>
    <t>Gemini Estate SRL</t>
  </si>
  <si>
    <t>Ansamblu rezidential</t>
  </si>
  <si>
    <t>Depozite</t>
  </si>
  <si>
    <t>04976770</t>
  </si>
  <si>
    <t xml:space="preserve">	
MUNICIPIUL RESEDINTA DE JUDET CONSTANTA</t>
  </si>
  <si>
    <t>CT BUS GARA</t>
  </si>
  <si>
    <t>11615974</t>
  </si>
  <si>
    <t>MUNICIPIUL RESEDINTA DE JUDET CONSTANTA</t>
  </si>
  <si>
    <t xml:space="preserve">	
CT BUS GARAJ</t>
  </si>
  <si>
    <t>11767966</t>
  </si>
  <si>
    <t>LEGUMELE NOASTRE LOCALE COOPERATIVA AGRICOLA</t>
  </si>
  <si>
    <t>SERA DE LEGUME</t>
  </si>
  <si>
    <t>Fundulea</t>
  </si>
  <si>
    <t>10519015</t>
  </si>
  <si>
    <t>ORGANIZATIA UTILIZATORILOR DE APA PENTRU IRIGATII (O.U.A.I) JEGA</t>
  </si>
  <si>
    <t>irigatii aferente plotului SPP B Jegalia</t>
  </si>
  <si>
    <t xml:space="preserve">	
12821786</t>
  </si>
  <si>
    <t>AUCHAN ROMANIA SA</t>
  </si>
  <si>
    <t xml:space="preserve">	
supermarket Auchan VIVO - separatie</t>
  </si>
  <si>
    <t>13112615</t>
  </si>
  <si>
    <t xml:space="preserve">	
SPITALUL JUDETEAN DE URGENTA SLOBOZIA</t>
  </si>
  <si>
    <t>Slobozia nord</t>
  </si>
  <si>
    <t xml:space="preserve">	
13518770</t>
  </si>
  <si>
    <t xml:space="preserve">	
1.010</t>
  </si>
  <si>
    <t>SC EUROBEST IMOB COMPANY SRL</t>
  </si>
  <si>
    <t>Centrala Electrica Fotovoltaica 10 MW</t>
  </si>
  <si>
    <t>BUFTEA 110/20KV</t>
  </si>
  <si>
    <t>Conform aviz CTES nr. 303/2022 si conform aviz CTE nr. 50/2/17.11.2022- Varianta 1, faza studiu de solutie si anume: Racordarea parcului fotovoltaic CEF Crevedia la bara 110kV Buftea, prin intermediul unei celule 110kV, sectionarea barei de 110kV printr-o cupla longitudinala, LES 110kV in lungime de 4,5km ?i sta?ie de transformare 20/110kV nou proiectat? pentru CEF producator. Lucrarile pe tarif de racordare:  Extinderea barei de 110kV din statia 110kV Buftea prin urm?toarele lucr?ri: - sectionarea barei de 110 kV printr-o cupla longitudinala echipata cu intrerupator si doua separatoare utilizandu-se un modul hibrid bara, echipat cu un intrerupator 110 kV si 2 separatoare 110 kV cu CLP; - montarea unei celule noi 110kV pentru racordarea CEE 10 MW Crevedia ce va fi echipata cu un modul hibrid care va avea intrarea aeriana si iesirea in cablu catre una dintre cele doua sectii de bare; - montare grup de m?sura cu 3 transformatoare de m?sur? curent ?i 3 de tensiune pentru m?sur? de decontare, contor ?i analizor de calitate a energiei electrice (Contorul se va asigura de catre Operatorul de Distributie EDM); - amenajare camer? de comand? pentru montarea dulapurilor de comand? ?i protec?ii aferente celulei 110kV proiectat?; - celula va avea protec?ii ?i automatiz?ri proprii corespunz?toare func?iei destinate, respectiv protec?ii complexe de distan?? ?i protec?ie diferen?ial? de linie; - realizare circuite de m?sur? ?i extinderea serviciilor auxiliare c.a. ?i c.c. existente în sta?ie; - integrarea celulei în sistemul SCADA existent, parametrizare protec?ii; - integrarea celulelor noi proiectate în sistemul de telecontrol al EDM prin racordarea la TPT existent; - parametrizare protec?iilor existente (DRRI, comenzi locale, m?surare ?i interblocaje din sta?ie). Modulul 110 kV CEF Crevedia va fi amplasat pe trenul ocupat de aparatajul de rezerva depozitat in statie. Platforma betonata pentru depozitare echipamente electrice se va reamplasa in incinta cladirii ce a fost folosita ca domiciliu pentru personalul de desemnare operare. Costurile pentru aceasta relocare vor fi suportate de catre Utilizator/ Producator si au fost cuprinse in Devizul general. Noile celule proiectate de LES 110 kV ?i de CL 110 kV din sta?ia 110 kV Buftea vor respecta cerin?ele NTE 011/12/00, din punct de vedere al echipamentelor secundare de comand? ? control, protec?ii ?i automatiz?ri necesare pentru LES 110 kV/Trafo 110 kV/ CL 110 kV, respectiv se vor integra în DMS ? SCADA existent? a sta?iei 110 kV Buftea de la momentul realiz?rii lucr?rilor de racordare pentru CEF Crevedia Lucrari prin grija utilizatorului : ? racord LES 110kV+FO in lungime de 4,7 km; ? statie de transformare 110/MT aferenta CEF Crevedia, inclusiv celula 110 kV bloc trafo-LES 110kV cu intreruptor (dispozitivul general, dispozitivul de interfata cu protectiile aferente); statia va fi echipata cu 1 transformator de 16 MVA, în construc?ie suprateran? exterioar? pentru partea de 110 kV ?i în construc?ie de tip interior pentru partea de MT, comand?, servicii interne. ? TNP-urile din noua celul? comun? de Trafo+LES 110 kV proiectat? din sta?ia 110 kV CEF Crevedia 10 MW vor avea incluse, printre altele, urm?toarele func?ii de protec?ie de antiinsularizare: func?ia de protec?ie de maxim? tensiune, func?ia de protec?ie de maxim? frecven??, func?ia de protec?ie de minim? ? partea de MT va avea bara simpla echipata cu celule MT de linie, de TSI, de transformator ?i de compensare ? dac? va fi nevoie. La celulele de linie vor fi racordate sosirile de la CEF. ? statia va avea un container destinat protectiilor - comenzilor - controlului si serviciilor proprii de curent continuu si curent alternativ. Alimentarea seviciilor proprii c.c. se va face dintr-un dulap climatizat de acumulatoare performante cu gel de 220 V c.c.- 150 Ah, legat in tampon cu redresor automat. ? lucr?rile de realizare a re?elei electrice din CEF, respectiv re?eaua electric? de cabluri MT,jt, posturi trafo ? realizare cale de comunicatie de la instalatiile de monitorizare si instalatiile de reglaj secundar ale noii centrale pana la interfata cu Transelectrica; ? montare analizor pentru monitorizarea calitatii energiei electrice.</t>
  </si>
  <si>
    <t>09384072</t>
  </si>
  <si>
    <t>PONS-RO PRODCOM SRL</t>
  </si>
  <si>
    <t>AEE- HALA INDUSTRIALA DE PRODUCTIE , SPATII ADM. P+1E</t>
  </si>
  <si>
    <t>SOLEX</t>
  </si>
  <si>
    <t>11942978</t>
  </si>
  <si>
    <t>SERVICIUL DE PROTECTIE SI PAZA UNITATEA MILITARA 0149F BUCURESTI</t>
  </si>
  <si>
    <t>SISTEM INTEGRAT PENTRU INTERVENTIA LA DEZASTRE URGENTE SI CRIZE COD SMIS 137307</t>
  </si>
  <si>
    <t>12206305</t>
  </si>
  <si>
    <t>AEE (apartam. si PC, partial Bl.A,B si C)</t>
  </si>
  <si>
    <t>12000293</t>
  </si>
  <si>
    <t>BUTLERS WALSALL SRL</t>
  </si>
  <si>
    <t>imobile locuinte Bl. 7, 8, 9, 10, 11, 12</t>
  </si>
  <si>
    <t>10526845</t>
  </si>
  <si>
    <t>ansambluri blocuri M01, Y02, Y03 si L04</t>
  </si>
  <si>
    <t>10329409</t>
  </si>
  <si>
    <t>DIMRI CONSTRUCTION &amp; DEVELOPMENT SRL</t>
  </si>
  <si>
    <t>10163496</t>
  </si>
  <si>
    <t>ONE FLOREASCA TOWERS S.R.L.</t>
  </si>
  <si>
    <t>IMOBILE LOCUINTE COLECTIVE</t>
  </si>
  <si>
    <t>06986888</t>
  </si>
  <si>
    <t>Parc logistic, spatii de depozitare</t>
  </si>
  <si>
    <t>09821000</t>
  </si>
  <si>
    <t>HANN DEVELOPMENT PARTNERS SRL</t>
  </si>
  <si>
    <t>11484324</t>
  </si>
  <si>
    <t>VISUAL INVESMENT SRL</t>
  </si>
  <si>
    <t>hala-depozit</t>
  </si>
  <si>
    <t>12976038</t>
  </si>
  <si>
    <t>TEK FRUITS MARKETING SRL</t>
  </si>
  <si>
    <t>Hale Tek Fruit</t>
  </si>
  <si>
    <t>14525699</t>
  </si>
  <si>
    <t>EXIGENT PROPERTY INVESTMENT SRL</t>
  </si>
  <si>
    <t>Blocuri de locuinte colective</t>
  </si>
  <si>
    <t>12949771</t>
  </si>
  <si>
    <t>10222398</t>
  </si>
  <si>
    <t>SUNLIGHT VENTURE S.R.L</t>
  </si>
  <si>
    <t>CEF Venture (Trivalea Mosteni 4)</t>
  </si>
  <si>
    <t xml:space="preserve">statie noua 400kV intrare-iesire in LEA Bucuresti Sud (Iepuresti)-Slatina  </t>
  </si>
  <si>
    <t>RETIM ECOLOGIC SERVICE SA</t>
  </si>
  <si>
    <t>Depozit deseuri nepericuloase</t>
  </si>
  <si>
    <t>LUGOJ</t>
  </si>
  <si>
    <t>nu e cazul</t>
  </si>
  <si>
    <t>MUNICIPIUL ARAD</t>
  </si>
  <si>
    <t>Stadionul UTA - Francisc Neuman Arad</t>
  </si>
  <si>
    <t>UVA</t>
  </si>
  <si>
    <t>Din LES 20kV UVA – Victoriei, respectiv LES 20kV POLTURA – 6P Poetului, prin realizarea urmatoarelor lucrari, conform L.7230/2021 , elaborata de SMCL MT/JT: I. Lucrări finantate pe baza tarifului de racordare, conform Ordin 17/2021: 1). Dezafectarea vechii căi de alimentare prin demontarea PT 3112 si a grupului de măsură existent; 2). Realizare LES 20kV cu cablu de Al 2x[3x(1x185 mmp)] montat în tub, prin interceptarea cablurilor de 20kV de alimentare a PT 3112, sectionarea, mansonarea si racordarea lor în noul PC, pentru înserierea acestuia în bucla LES 20kV UVA Victoriei – POLTURA 6P Poetului, între PT 3056 si PT 3111; 3). Echiparea compartimentului de racordare din noul PC, cu: - 2 buc. celule de linie de 24kV, 400A, 16kA(1s), cu separator de sarcină în SF6 si CLP, conform DY803/2-LE ed.3; - 1 buc. celulă de măsură cu separator de sarcină, conform DY803/4-UTM ed.3, echipată cu două TT 20/0,1 kV, conform DMI031015 RO, cls.0,5 si două TC 50/5A, conform DM031052 RO, cls.0,5S; - echipamente necesare pentru realizarea telecontrolului în PC nou si în PT 3111 (RGDAT, UP, TSA, modul GSM/DCS, baterie) care vor fi alimentate de la reteaua de j.t. a clientului; - montare rezistente în celulele MT si termo-higrostat în PT, care vor fi alimentate de la reteaua de j.t. a clientului; 4). Realizarea în noul punct de conexiune PC a grupului de măsurare a energiei electrice pe MT, prin montarea unui contor electronic trifazat 2x100V, 5A, cls.0,5S cu curbă de sarcină, în montaj indirect (TT 20/0 ,1kV conform DMI031015 RO, cls.0.5, TC 50/5A conform DM031052 RO, cls.0 ,5S si cordon de conectare grup de măsurare conform DMI031011 RO). Contorul va fi astfel amplasat încât să fie posibilă citirea lui din exteriorul punctului de conexiune atât de către consumator cît si de distribuitor. În PC se prevede contor pus la dispozitie de E-Distributie. Pentru asigurarea celor 2 căi de alimentare la stadionul UTA, este necesar modificarea schemei SN retea 20 kV prin extindere alimentare tronson 6P Poetului din PT 3115 pînă în PC nou proiectat având celula de linie cu separator de sarcină deschisă spre 6P asigurând astfel alimentarea clientului din două surse, LES 20kV Victoriei si LES 20kV 6P Poetului si 2 statii de transformare 110/20kV, UVA respectiv POLTURA. Compartimentul în care sunt amplasate instalatiile de racordare, trebuie să permită montarea de celule de linie, să fie cu exploatare din interior&lt;(&gt;,&lt;)&gt; să fie cu acces direct din exterior, din domeniul public si să aibă un gabarit de 2,5 x 3 m. Compartimentul de racordare va fi dotat cu tablou electric pentru servicii auxiliare conform DY3016 RO ed.2, care va fi alimentat de la reteaua de j.t. a clientului. Instalatia de racordare contine echipamentele de manevră si sectionare ale E-Distributie Banat. II. Lucrări finantate de beneficiar, realizate prin grija lui, cf. Ordin 17/2021: 1). Clădirea punctului de conexiune cu două compartimente, unul pentru instalatiile electrice din gestiunea E-Distributie Banat si unul pentru instalatiile electrice ale utilizatorului. Compartimentul de racordare va fi cu exploatare din interior si cu acces direct din exterior, va avea caracteristici minime echivalente cu cele prevăzute în prescriptiile Enel DG10061RO, DG2061RO ed.2 si DG2092RO si un gabarit de 2,5 x 3 m care să permită montarea de celule. Asigurarea izolării postului, a măsurilor de PSI, a accesului în instalatii si protectiei fată de eventualele inundatii sau acumulări de gaze, vor fi în responsabilitatea proiectantului, constructorului si proprietarului părtii de constructie a PC; 2). Realizare LES 20kV cît mai scurt posibil (max. 20m), cu cablu de cupru de sectiune minimă 95mmp, între celula de măsură din compartimentul de racordare si celula cu înterupător din compartimentul utilizatorului; 3). Montare celula de sosire, echipată cu separator tripolar si un întrerupător automat fix (sau numai un întrerupător automat debrosabil) în compartimentul utilizatorului. Întrerupătorul va fi obligatoriu prevăzut cu sistem de protectie generală maximală de curent si împotriva defectelor de punere la pămînt, cu reglajul corelat cu celelalte protectii din instalatiile E-Distributie Banat; 4). Instalatia de legare la pământ a clădirii si instalatia de iluminat interior si prize a punctului de conexiune; 5). Echiparea compartimentului de racordare cu tablou electric pentru servicii auxiliare conform DY3016 RO, montare rezistente în celulele MT si termo-higrostat în PC, care vor fi alimentate de la reteaua de j.t. a clientului; 6). Realizarea instalatiei de utilizare prin montarea unui PT în anvelopă de beton de 20/0,4 kV – 2x1250 kVA cu actionare din interior, (anvelopa dimensionată pentru 2 unităti de transformare), echipată cu: - 1 buc. celulă sosire echipată cu separator tripolar si întrerupător automat 24kV, 630A; - 2 buc. celule trafo echipate fiecare cu întrerupător automat 24kV, 630A; - 2 buc. trafo trifazate de 20/0,4 kV – 1250 kVA; - 2 buc. tablouri distributie j.t. echipate fiecare cu întrerupător debrosabil 2000A si plecări de fortă, cu automatizare AAR. Indicatorii de fiabilitate la nivelul barei de MT din noul punct de conexiune sint: - Număr mediu de defecte eliminate prin reparatii si manevre/an: 2 - Durata medie a unei restabiliri prin reparatii: 18 h - Durata maximă a unei restabiliri prin reparatii: 41 h Clientul are obligatia să asigure prin solutii proprii (sursa de interventie-grup electrogen) alimentarea de rezervă a consumatorilor vitali în cazul în care se întrerupe furnizarea energiei electrice. Clientul va trebui să prevadă în instalatiile proprii aparate de comutatie interblocate în mod adecvat pentru a evita functionarea în paralel, chiar si accidental, între propriul sistem de alimentare si reteaua Enel. La realizarea schemei interne de distributie, consumatorul vaadopta solutii care să respecte cu strictete cerintele impuse de Norma Enel ed.3 „Reguli tehnice privind racordarea Consumatorilor si Producătorilor la retelele electrice IT si MT ale societătiilor de distributie de energie electrică ENEL”, în special paragrafele 8.5.11 - 8.5.14, referitoare la dispozitivul general cu sistemele de protectie asociate, la limitarea puterilor pe sectiile de bare j.t. si la limitarea energizării trafo instalate simultan.Se respectă distantele de sigurantă conform Ordin ANRE 239/2019 Normă tehnică privind delimitarea zonelor de protectie si de sigurantă aferente capacitătilor energetice.Traseele si amplasamentul retelelor electrice proiectate, se vor stabili în cadrul PTE de către proiectant, conform avizelor obtinute si de comun acord cu beneficiarul lucrării, astfel încît să permită accesul pentru mentenantă si înlocuirea instalatiilor electrice defecte în timp util. Proiectul tehnic se va aviza în CTE a E-Distributie Banat.  Este necesara obtinerea autorizatiei de construire pentru instalatia de racordare si avizare in CTE a proiectului tehnic.  Racordarea la retea este conditionata de incheierea unei conventii de exploatare care sa reglementeze delimitarea gestiunii în instalatii, realizarea conducerii operative prin dispecer, conditiile de exploatare si intretinere, reglajul protectiilor, executarea de manevre/interventii in caz de incidente, etc.</t>
  </si>
  <si>
    <t>CTPARK SIGMA SRL</t>
  </si>
  <si>
    <t>CTPark Ghiroda</t>
  </si>
  <si>
    <t>Instalatia existenta corespunde din punct de vedere tehnic ,sporul solicitat se poate asigura din LES 20KV REMETEA -Padurea Verde. Masura este realizata in PC 22323 cu reductori de 4005/A.</t>
  </si>
  <si>
    <t>U.C.M. RESITA SA</t>
  </si>
  <si>
    <t>PLATFORMA RESITA</t>
  </si>
  <si>
    <t>LEA 110KV RESITA-GREBLA-ICMR 1</t>
  </si>
  <si>
    <t>Racord adanc statia 110kV UCMR alinentata prin LEA 110kV UCMR 1 si LEA 110kV UCMR 2 din statia 220/110kV Resita Tinand cont de situatia energetica existenta precum si de solicitarea beneficiarului de modificare a elementelor de natura administrativa fara depasirea puterii aprobate anterior se va actualiza ATR cu lista de cosumatori noi, actualizandu-se certificatul de racordare Platforma Resita a UCM Resita cu nr RO005E541495447/09.10.2019
1.Pentru utilizatorul U.C.M. RESITA SA (Platforma Resita)
2.Pentru consumatorii racordati la reteaua prestatorului:
CABINET INDIVIDUAL MEDICINA DE familie Dr.Emanuel Cristian FILERI=0,4 kW / 0.43 kVA
S.C. RCS &amp; RDS S.A. = 3 kW / 3,26 kVA;
ASOCIATIA DE PROPRIETARI NR.537=10 kW / 10,87kVA;
MULTIFARM SRL = 4 kW / 4,35 kVA;
APARTAMENT nr 1 cu Pabs = 4 kW / 4,35 kVA;
APARTAMENT nr 2 cu Pabs = 4 kW / 4,35 kVA;
APARTAMENT nr 3 cu Pabs = 4 kW / 4,35 kVA;
APARTAMENT nr 4 cu Pabs = 4 kW / 4,35 kVA;
APARTAMENT nr 5 cu Pabs = 4 kW / 4,35 kVA;
APARTAMENT nr 6 cu Pabs = 4 kW / 4,35 kVA;
APARTAMENT nr 7 cu Pabs = 4 kW / 4,35 kVA;
APARTAMENT nr 8 cu Pabs = 4 kW / 4,35 kVA;
APARTAMENT nr 9 cu Pabs = 4 kW / 4,35 kVA;
APARTAMENT nr 10 cu Pabs = 4 kW / 4,35 kVA;
APARTAMENT nr 11 cu Pabs = 4 kW / 4,35 kVA;
APARTAMENT nr 12 cu Pabs = 4 kW / 4,35 kVA;</t>
  </si>
  <si>
    <t>14781714</t>
  </si>
  <si>
    <t>FUTURE ENERGY PROJECT</t>
  </si>
  <si>
    <t>Construire CEF Ganeasa 1 si montare baterii de stocare energie electrica</t>
  </si>
  <si>
    <t xml:space="preserve">	
HAGIESTI 110/20 KV</t>
  </si>
  <si>
    <t>A)Lucrari pe tarif de racordare -Lucrari in statia 110/20kV Hagiesti: Montarea pe bara 20kV a urmatoarelor echipamente: o Celula de adaptare conform specificației ENEL, necesară adaptării ieșirii celulei de linie la stația de medie tensiune existentă; o Celula de linie, gabarit normal cu izolație în aer, de 24 kV – 630 A – 16 kA conform specificatiilor unificate Enel cu întreruptor cu acționare manuală şi motor de armare la 110 Vcc și separator de sarcină, cu cuțite de legare la pământ, prevăzute cu lămpi de semnalizare prezenta tensiunii în celulă, rezistență anticondens. Integrarea celulei de linie in sistemul de telecontrol existent al E-DD. o Montare TC pentru contorizarea de balanta in celula de linie nou montata in statia Hagiesti. Racord LES 20kV +FO: - LES 20 kV cu cablu Al 3x185 mmp+FO în lungime de 0,2km cu traseul de la celula proiectata din staţia 110/20kV Hagiesti până la punctul de conexiune de 20 kV proiectat. - PC 20 kV proiectat in anvelopa de beton amplasata la cca 200m de statia Hagiesti echipata cu: 1 celula de linie motorizate 24 kV, 630A, 16 kA cu separator de sarcina in SF6 conform specificatii unificate Enel; o celula de masura UTM cu separator si grup de masura format din două transformatoare de tensiune 20/0,1 kV, clasa de precizie 0,5 şi două transformatoare de curent de 400/5A, clasa de precizie 0,2S si contor electronic trifazat static (afisaj LCD), In=5(6)A,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 2m – 2 buc, PATCH-PANNEL FO MONOMODE pentru 24 fibre oprice - E2000/APC complet echipat – 2 buc, Patch-cord ftp cat. 6e (lungime 1 m), Patch-cord ftp cat. 6e (lungime 10 m) Achizitia si montarea contorului de revin in sarcina Operatorului de Distributie. B)Lucrari ce se realizeaza prin grija beneficiarului: - Anvelopa de beton amplasata in apropierea statiei 110/20kV Hagiesti compusa din doua incaperi cu acces separat fiecare, o incapere fiind pentru montarea echipamentelor 20 kV EDD (compartiment racordare). Compartimentul de racordare va fi cu actionarea echipamentelor din interior si cu acces din exterior, va avea caracteristici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mediata la 10 minute. -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CEF+IS in lungime cca.6,5km - Posturi trafo si tablouri jt aferente parcului fotovoltaic cu putere unitara trafo sub 2000kVA - Asigurare accesului la PC 20kV proiectat pentru EDD. Celulele de 20 kV proiectate vor fi echipate cu echipamente secundare de comandă – control, protecții și automatizări, conforme cu NTE011/12/00. Se va avea in vedere si montarea unei instalatii de compensare a puterii reactive produse de cablu astfel incat in PCC schimbul de putere reactiva sa fie 0.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</si>
  <si>
    <t>CONNECT GREEN PROJECT</t>
  </si>
  <si>
    <t xml:space="preserve">	
CEF Ganeasa 2 si montare baterii de stocare energie electrica</t>
  </si>
  <si>
    <t>HAGIESTI 110/20 KV</t>
  </si>
  <si>
    <t>A)Lucrari pe tarif de racordare Lucrari in statia 110/20kV Hagiesti: - Montarea pe bara 20kV a urmatoarelor echipamente: Celula de adaptare conform specificației ENEL, necesară adaptării ieșirii celulei de linie la stația de medie tensiune existentă; Celula de linie, gabarit normal cu izolație în aer, de 24 kV – 630 A – 16 kA conform specificatiilor unificate Enel cu întreruptor cu acționare manuală şi motor de armare la 110 Vcc și separator de sarcină, cu cuțite de legare la pământ, prevăzute cu lămpi de semnalizare prezenta tensiunii în celulă, rezistență anticondens. Integrarea celulei de linie in sistemul de telecontrol existent al E-DD. Montare TC pentru contorizarea de balanta in celula de linie nou montata in statia Hagiesti. Racord LES 20kV +FO: - LES 20 kV cu cablu Al 3x185 mmp+FO în lungime de 0,2km cu traseul de la celula proiectata din staţia 110/20kV Hagiesti până la punctul de conexiune de 20 kV proiectat. - PC 20 kV proiectat in anvelopa de beton amplasata la cca 200m de statia Hagiesti echipata cu: 1 celula de linie motorizate 24 kV, 630A, 16 kA cu separator de sarcina in SF6 conform specificatii unificate Enel; o celula de masura UTM cu separator si grup de masura format din două transformatoare de tensiune 20/0,1 kV, clasa de precizie 0,5 şi două transformatoare de curent de 400/5A, clasa de precizie 0,2S si contor electronic trifazat static (afisaj LCD), In=5(6)A,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celulei de linie si masura din PC 20kV proiectat prin montarea de RGDAT-1 buc , UP 2020 LITE-1 buc, baterii acumulatori -2 buc, TSA-1 buc, Router Rugged pt comunicatii 4G - CISCO IR1101, Swich-uri rugged CISCO IE-4000-8S4G-E, dulap pentru echipamente de telecomunicatii FT-045_TLC-M_ed02 - TIP B si accesoriile de conectica: Modul SFP CISCO GLC_FE-100LX-RGD de tip SM, FT-277_MAT – 2 buc, Patch-cord duplex LC/PC – E2000 APC, 2m – 2 buc, PATCH-PANNEL FO MONOMODE pentru 24 fibre oprice - E2000/APC complet echipat – 2 buc, Patch-cord ftp cat. 6e (lungime 1 m), Patch-cord ftp cat. 6e (lungime 10 m) Achizitia si montarea contorului de revin in sarcina Operatorului de Distributie. B)Lucrari ce se realizeaza prin grija beneficiarului: - Anvelopa de beton amplasata in apropierea statiei 110/20kV Hagiesti compusa din doua incaperi cu acces separat fiecare, o incapere fiind pentru montarea echipamentelor 20 kV EDD (compartiment racordare). Compartimentul de racordare va fi cu actionarea echipamentelor din interior si cu acces din exterior, va avea caracteristici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mediata la 10 minute. -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CEF+IS in lungime cca.6,5km - Posturi trafo si tablouri jt aferente parcului fotovoltaic cu putere unitara trafo sub 2000kVA - Asigurare accesului la PC 20kV proiectat pentru EDD. Celulele de 20 kV proiectate vor fi echipate cu echipamente secundare de comandă – control, protecții și automatizări, conforme cu NTE011/12/00. Se va avea in vedere si montarea unei instalatii de compensare a puterii reactive produse de cablu astfel incat in PCC schimbul de putere reactiva sa fie 0.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</si>
  <si>
    <t>ALPILIGHT</t>
  </si>
  <si>
    <t xml:space="preserve">LEA 20KV SRPA 02 CUZA </t>
  </si>
  <si>
    <t>SUNERGY GREEN SRL</t>
  </si>
  <si>
    <t>LEA 20 KV SUPUR-SM</t>
  </si>
  <si>
    <t>SEBES</t>
  </si>
  <si>
    <t>Complex Energetic Oltenia</t>
  </si>
  <si>
    <t>CEF Isalnita</t>
  </si>
  <si>
    <t>SGROM THIRTEEN SRL</t>
  </si>
  <si>
    <t>A20 ICM PALTINIS-BALTA SARATA RE</t>
  </si>
  <si>
    <t>SPOWER PROJECT ALPHA S.R.L.</t>
  </si>
  <si>
    <t>A20 SEMLACU MARE-GATAIA TM</t>
  </si>
  <si>
    <t xml:space="preserve">	
ORGANIZATIA UTILIZATORILOR DE APA PENTRU IRIGATII " ALISEO "</t>
  </si>
  <si>
    <t xml:space="preserve">	
SRPA 15</t>
  </si>
  <si>
    <t>13247878</t>
  </si>
  <si>
    <t xml:space="preserve">	
1.384</t>
  </si>
  <si>
    <t>Unitate militara</t>
  </si>
  <si>
    <t>ROTAR COMALIMENT IMPEX SRL</t>
  </si>
  <si>
    <t>Spatii comerciale</t>
  </si>
  <si>
    <t>15137458</t>
  </si>
  <si>
    <t>M.A.I - DIRECTIA ASIGURARE LOGISTICA INTEGRATA</t>
  </si>
  <si>
    <t>HUB SERVICII LA NIVELUL MAI</t>
  </si>
  <si>
    <t>PARC DRUMUL TABEREI</t>
  </si>
  <si>
    <t>15359093</t>
  </si>
  <si>
    <t>11594466</t>
  </si>
  <si>
    <t>SC HELIOSUN SRL</t>
  </si>
  <si>
    <t>PARC FOTOVOLTAIC 4.965 MW, situat în EXTRAVILANUL COMUNEI BALTENI, SOLA 15, PARCELA 389, PUNCT BRODOC, NC 76166, JUDEŢUL VASLUI</t>
  </si>
  <si>
    <t>MUNTENI</t>
  </si>
  <si>
    <t>racord LEA MT</t>
  </si>
  <si>
    <t>ELBON INVERT SRL</t>
  </si>
  <si>
    <t>RASNOV</t>
  </si>
  <si>
    <t>celula de linie 20 kV nou montata in Statia 110/20/6 kV Tohan</t>
  </si>
  <si>
    <t>Statia 110/20/6 kV Tohan</t>
  </si>
  <si>
    <t>TRANSILVANIA GREEN POWER S.R.L.</t>
  </si>
  <si>
    <t>CUCERDEA</t>
  </si>
  <si>
    <t>LEA 20 kV Baby Beef din Statia 110/20 kV Tarnaveni,</t>
  </si>
  <si>
    <t>Statia 110/20 kV Tarnaveni</t>
  </si>
  <si>
    <t xml:space="preserve"> celula 6 kV (Z11B) – Turbocompresoare (L2) din Stația 110/6 kV IABv</t>
  </si>
  <si>
    <t>SC ROMCAB</t>
  </si>
  <si>
    <t>TG. MURES</t>
  </si>
  <si>
    <t>celula J32 (existentă) din Conexiunea 20 kV a Stației 110 / 20 kV Baraj</t>
  </si>
  <si>
    <t>HENDRICKSON ROMANIA SRL</t>
  </si>
  <si>
    <t>la PT458 Sibiu</t>
  </si>
  <si>
    <t>RA AEROPORTUL IASI</t>
  </si>
  <si>
    <t>TERMINAL T4 SI CENTRALA FOTOVOLTAICA, STR. AEROPORTULUI NR. 46, LOC. IASI, JUD. IAS</t>
  </si>
  <si>
    <t>TATARASI</t>
  </si>
  <si>
    <t>MCAV 20K IN LES MT</t>
  </si>
  <si>
    <t>PROSUMATOR 
PMS_EVACUATA=0,95MW
PMS_ABSORBITA=2,4MW</t>
  </si>
  <si>
    <t>HAI EXTRUSION SRL</t>
  </si>
  <si>
    <t>CLADIRE SI CEF-PROSUMATOR</t>
  </si>
  <si>
    <t>S20 ALCOA-CHISINEU CRIS AR</t>
  </si>
  <si>
    <t>TRECON LOGISTIC</t>
  </si>
  <si>
    <t>CONSTRUIRE PARC FOTOVOLTAIC SI SERVICII CONEXE</t>
  </si>
  <si>
    <t>A20 MOCREA-PINCOTA AR</t>
  </si>
  <si>
    <t>Restart Energy One SA</t>
  </si>
  <si>
    <t>Extindere CEF existent Tustea Hunedoara</t>
  </si>
  <si>
    <t>A20 MINA BOITA-HATEG DV</t>
  </si>
  <si>
    <t>DAEN GREEN</t>
  </si>
  <si>
    <t>Centrala Electrica</t>
  </si>
  <si>
    <t>LEA 110 kV Baru Mare -Otelu Rosu</t>
  </si>
  <si>
    <t>PORTLAND TRUST REAL ESTATE 1 SRL</t>
  </si>
  <si>
    <t>Ansamblu locuinte corpurile C si D</t>
  </si>
  <si>
    <t>13848856</t>
  </si>
  <si>
    <t>STATIA DE POMPARE SUD+CEF</t>
  </si>
  <si>
    <t>S6 RGAB POMPE SUD 2-JILAVA CEL 7 BUC</t>
  </si>
  <si>
    <t>Solutia de racordare analizate in cadrul studiului de solutie: Evacuare puterii se va asigura prin instalatiile electrice existente si anume :substatia abonat 6kV, prin feederele existente 6kV, respectiv celulele 7,22 si 25 din statia 110/20/6kV Jilava. a) Lucrari pe tarif de racordare Evacuarea puterii produse se va realiza prin instalatiile de racordare existente la locul de consum conform RO001E109433492/2 din data de 11.09.2018. Pentru preluarea marimilor : putere activa P; putere reactiva Q; tensiune U din punctul de delimitare; - frecventa, f; -pozitii dispozitive de interfata DI, in statia 110/20/6 kV Jilava se vor monta urmatoarele echipamente: - Router CISCO RUGGED, Patch cord-uri fibra optica, Patch cord-uri UTP, Modul SFP+SM de conectare pentru fibra optica, Rack comunicatie 19 inch cu 18-20U in care vor fi instalate echipamentele pentru asigurarea caii de comunicatie de back-up prin radio sau 4G ? 1 buc, Switch, ODF. - Dulap TLC amplasat in statia Jilava, ce va fi in conformitate cu normele EDM Delimitarea de gestiune si exploatare din punct de vedere al caii de comunicatie se va face la iesire din patch panel de fibra optica E2000 din statia 110/20/6kV Jilava. Prin grija OD se vor inlocui contoarele existente cu contoare electronice de energie active si reactiva in dublu sens, curba de sarcina, interfata de comunicare RS 232 si cutie de teletransmitere date. Pentru asigurarea transmiterii marimilor de stare, calea principala de comunicatie trebuie sa fie asigurata de catre utilizator prin cabluri de semnalizare a pozitiei echipamentelor de la posturile de transformare aferente CEF Apa Nova Sud , pana la interfata cu echipamentele E-Distributie Muntenia; Spatiul de montare/dispunere a noului dulap TLC din statia Jilava se va stabili la fazele ulterioare Materialele si echipamentele care se utilizeaza la realizarea instalatiei trebuie sa fie noi, omologate sau certificate, dupa caz, daca acest lucru este prevazut in specificatiile tehnice unificate, in conformitate cu procedurile aplicabile in grup ENEL si E-Distributie. Celelalte materiale si echipamente, pentru care nu sunt elaborate specificatii tehnice unificate, trebuie sa fie noi, compatibile cu starea tehnica a instalatiei, sa indeplineasca cerintele specifice de fiabilitate si siguranta. b) Lucr?ri finan?ate de beneficiar: In substatia de 6kV a utilizatorului se vor monta urmatoarele echipamente: -2 buc. Celule 6kV prevazute cu dispozitiv de interfata si dispozitiv general, montate la nivelul tensiunii de 6 kV, pozitionate pe ambele sisteme de bare, pentru maximizarea autoconsumului in zona statiei de pompare Sud. Acestea vor dispune de urmatoarele tipuri de protectii: ? protec?ie maximal? de tensiune netemporizat?; ? protec?ie general? maximal? de curent în trei tepte (la scurtcircuit si suprasarcina); ? protectie homopolar? de curent în dou? trepte, contra punerilor la p?mânt monofazate, respectiv bifazate. Sistemul de protectie SPI asociat DI contine relee de frecven??, de tensiune ?i eventual de tensiune homopolar?. Sistemul de protectie de interfata (SPI) asociat dispozitivului de interfata cuprinde: ? functie protectie de tensiune minima /maxima in 2 trepte; ? functie protectie de frecventa minima /maxima in 2 trepte; ? functie de protectie de maxima de tensiune mediata la 10 minute. Se prevede instalarea unui transformator de tensiune in celulele DI+DG pentru preluarea informatiilor de tip U si f. Se vor transmite urmatoarele informatii: -putere activa, P; -putere reactiva, Q; -tensiune, U; -frecventa, f; - pozitie dispozitiv de interfata, DI. Toate aceste informatii, preluate de la grupurile generatoare, se vor integra in sistemul de telecontrol/SCADA al E-DM printr-un echipament al utilizatorului (dulap de telecomunicatii) ce poate asigura interfatarea prin protocolul de comunicatie IEC50870-104 si utilizarea unui suport de fibraoptica asigurat tot de catre utilizator pana in statia Jilava, in rack-ul de comunicatii aferent E-DM; Modulele generatoare ale centralei vor fi monitorizate permanent din punct de vedere al calit??ii energiei electrice în punctul de delimitare, atat pe durata testelor de verificare a conformit??ii cu cerin?ele tehnice de racordare cat si in functionarea ulterioara, prin instalarea unui analizor de calitate a energiei electrice clasa A ce va respecta minim cerintele din specificatia tehnica FT 111_MAT "ANALIZOR STATIONAR DE CALITATE A ENERGIEI ELECTRICE" Achizitionarea si montarea cablurilor de fibra optica, pana in statia Jilava se va efectua pe investitia beneficiarului. Pentru asigurarea transmiterii marimilor de stare, calea principala de comunicatie trebuie sa fie asigurata de catre utilizator prin fibra optica de la statia de pompare Apa Nova Sud pana la interfata cu echipamentele EDistributie Muntenia (statia de transformare 110/20/6kV Jilava); Pentru preluarea in sistemul SCADA EDM, se vor transmite de la instalatia de producere energie electrica urmatoarele informatii: -Puterea active P -Puterea reactiva Q -Tensiunea U -Frecventa f -Pozitie dispozitive de interfata, DDI, sub forma de contact liber de potential. Delimitarea de gestiune si exploatare din punct de vedere al caii de comunicatie se va face la iesire din patch panel de fibra optica E2000 din statia 110/206 kV Jilava .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In cadrulsubstatiei 6kV ce apartine statiei de pompare Apa Nova Sud sunt necesare a fi montate urmatoarele echipamente: - Router CISCO RUGGED ? 1 buc; - Patch cord-uri fibra optica ? 1 buc; - Patch cord-uri UTP ? 1 buc; - Patch panel de fibra optica (E2000) ? 2 buc, cate unul in fiecare statie; - Modul SFP de conectare pentru fibra optica ? 1 buc; - Switch CISCO RUGGED ? 1 buc; Pentru varianta propusa, instalatiile de utilizare vor fi prevazute cu instalatii de protectii adecvate cu o temporizare de maxim 150 ms, care sa nu permita functionarea producatorului conectat la reteaua de distributie, in regim insularizat. Modul de functionare, in regim insularizat a producatorului, prin care acesta sa asigure numai alimentarea cu energie electrica a propriei instalatii de utilizare, va trebui sa fie aprobat in mod specific, de catre Operatorul de Distributie. Prin grija utilizatorului, la punere sub tesiune a instalatiei de utilizare, se va asigura pornirea in cascada(pe rand) a transformatoarelor de putere 6/0,4kV pentru a reduce variatiile de tensiune datorate efectului de magnetizare a infasurarilor. Sistemul de protec?ie al re?elei de medie tensiune este structurat ?i coordonat pentru a realiza eliminarea selectiv? a scurtcircuitelor si defectelor la pamant. Protectiile aferente instalatiei Operatorului de Retea nu au scopul de a proteja instala?iile Utilizatorului. În consecin??, protec?ia propriilor instala?ii revine exclusiv Utilizatorului. Se prevede instalarea unui transformator de tensiune in celulele DI+DG pentru preluarea informatiilor de tip U si f. Utilizatorul are obligatia sa achizioneze si sa monteze cate o cutie/carcasa corespunzatoare, destinata exclusiv montarii contoarelor/grupurilor de masurare pentru energia electrica produsa, conform art. 45 alin. 1 lit. a1 din Legea energiei electrice si a gazelor naturale nr. 123/2012, cu modificarile si completarile ulterioare. Contoarele se vor procura si monta prin grija operatorului de distributie.</t>
  </si>
  <si>
    <t>09826874</t>
  </si>
  <si>
    <t>LIZIERA DE LAC RESIDENCES SRL</t>
  </si>
  <si>
    <t>CEF LIZIERA DE LAC</t>
  </si>
  <si>
    <t>GLINA 110/20 KV</t>
  </si>
  <si>
    <t>Conform aviz CTE 44/1/13.10.2022, aviz CTE -Transelectrica 31/2023 - Varianta 1. Racordarea parcului fotovoltaic CEF Liziera de Lac radial in statia 110/20kV Glina pe bara 110kV, intr-un pas de celula existent Lucrarile pe tarif de racordare - montare celula 110kV noua in pasul de celula liber din statia 110/20kV Glina echipata cu: Separator de bara cu CLP, Intrerupator cu comanda uni-tripolara, set 3xTC 2x100/5/5/5/5A, Separator de linie cu 2 CLP, set 3xTT 110/√3//3x(0,1/√3)//0,1 kV, set de 3xDZn 10 kA, set 3xCTE 110 kV; - asigurarea protectiilor necesare noii celulei 110kV proiectate prin montarea unui dulap DQ 7010 in camera de comanda pentru protecție și control echipat cu protectie de baza, de rezerva si protecția diferențială de linie pentru celula 110kV nou proiectata aferenta CEF Liziera de Lac; Pentru realizarea protectiei PDL LES CEF se vor folosi 2 FO (o pereche) din cablul de fibră optică care se pozează pe traseul LES 110kV (13,3km de la statia CEF LIZIERA DE LAC) prin grija utilizatorului. Se va actualiza schema de selectie tensiuni implementata la nivelul statiei, prin integrarea releului noii celule de racord CEF; - realizare circuite de măsură si extinderea serviciilor auxiliare c.a. si c.c. existente in statie - integrarea celulelei noi proiectate în sistemul de telecontrol al EDM prin racordarea la TPT existent, parametrizare RTU local, aplicatii locale, servere, aplicatii trepte dispecer si utilizatori, inclusiv teste. - parametrizare protecţiilor existente (DRRI, comenzi locale, măsurare și interblocaje din stație) - montare grup de masura, contor si analizor pentru monitorizarea calitatii energiei electrice Contorul se va asigura de catre Operatorul de Distributie EDM. Pe perioada de revizie asupra echipamentelor, utilizatorul isi va exprima acordul de a fi deconectat si ca nu este indreptatit sa solicite si sa primeasca de la operatorul de retea despagubiri pentru energie eléctrica ce un a fost produsa si livrata in retea pe toata acesta perioada. Lucrari ce se realizeaza prin grija si pe cheltuiala utilizatorului: - realizare racord LES 110kV intre statia de transformare 20/110kV CEF Liziera de Lac si statia existenta 110/20kV GLINA: → LES 110kV+FO în lungime de 13,3km, intre stația 110/20kV Glina si staţia de transformare 20/110kV CEF Liziera de Lac (producător); - statie de transformare 110/20kV CEF Liziera de Lac va fi echipata cu un transformator 40MVA - realizare cai de comunicatie de la instalatiile de monitorizare si instalatiile de reglaj secundar ale noii centrale pana la interfata cu Transelectrica; - montare analizor pentru monitorizarea calitatii energiei electrice. Alimentarea servicilor interne (DSIca si DSIcc) de bază se face din producție proprie, iar ca rezervă, pentru staţia de transformare 110/20 kV CEF LIZIERA DE LAC din LEA 20 kV aflată in apropierea CEF(loc.Frumusani) si se va realiza pe Tarif de Racordare, prin ATR separat. Lucrări în interiorul parcului fotovoltaic şi pozare cabluri 20kV sianume: - montare aproximativ 16970 panouri fotovoltaice cu puteri de 660 W; - se vor monta 61 invertoare Pn invertoare 0,175 MW; - se vor monta 6 transformatoare 0,8/20kV Pmax-T=2,0 MVA pentru a putea injecta energie în reţeaua de 20 kV a parcului; - transformatoarele se vor grupa şi se vor conecta în celulele 20kV din Camera de Conexiuni din noua staţie de transformare 110/20kV CEF Liziera de Lac. Transmiterea informatiile in sistemul EMS SCADA al OTS (DEN), se va asigura prin 2 cai independente: printr-un canal FO respectiv prin sistem GSM-GPRS, canale asigurate prin grija utilizatorului. → Informatiile transmise: 1. P,Q, U, f în punctul de racordare/delimitare, după caz, 2. semnale de stare: cu/fără răspuns la variaţiile de frecvenţă ,reglaj O/U" (comutarea regimului de reglaj putere reactivă/tensiune) 3. comenzi + poziţie întreruptor şi poziţie separatoare.</t>
  </si>
  <si>
    <t>09977450</t>
  </si>
  <si>
    <t>SC TEIUS SOLAR SRL</t>
  </si>
  <si>
    <t>TEIUS</t>
  </si>
  <si>
    <t>LEA 110 kV Alba Iulia – Aiud</t>
  </si>
  <si>
    <t>Stația 110/20 kV Teiuș</t>
  </si>
  <si>
    <t>SC SUN CONNECT RESOURCES SRL</t>
  </si>
  <si>
    <t>PANET</t>
  </si>
  <si>
    <t xml:space="preserve"> Derivației 20 kV PT Berghia din LEA 20 kV Ungheni - Band</t>
  </si>
  <si>
    <t>LEA 20 KV UNGHENI-BAND</t>
  </si>
  <si>
    <t>UNITATEA MILITARA 01512</t>
  </si>
  <si>
    <t>PTZ 9 20/0,4 KV SIBIU, 20/0.4 kV</t>
  </si>
  <si>
    <t>LUCA SOLAR PROJECT SRL</t>
  </si>
  <si>
    <t>VADENI</t>
  </si>
  <si>
    <t>LEA 20 KV Vamesu</t>
  </si>
  <si>
    <t>DEER MN</t>
  </si>
  <si>
    <t>MN2505</t>
  </si>
  <si>
    <t>GALBENU</t>
  </si>
  <si>
    <t>LEA 28 kV Drogu</t>
  </si>
  <si>
    <t>MN2504</t>
  </si>
  <si>
    <t>SC COMCRIS ENERGY SRL</t>
  </si>
  <si>
    <t>CEF - stocare</t>
  </si>
  <si>
    <t>LEA 20 KV SARMASAG-SIMLEU</t>
  </si>
  <si>
    <t>NEXTE RENEWABLE S.R.L.</t>
  </si>
  <si>
    <t>Bara 1 - 20 kV din Statia de transformare 110/20 kV Prundu Bargaului</t>
  </si>
  <si>
    <t>ST.110/20/6 kV Prundu-Birgaului</t>
  </si>
  <si>
    <t>Black Sea Renewables SRL</t>
  </si>
  <si>
    <t>CEF Trivalea Mosteni 1, 2 si 3</t>
  </si>
  <si>
    <t xml:space="preserve">Racordare în sistem intrare-ieșire în LEA 400 kV Slatina - Iepurești prin realizarea unei noi stații 400 kV Trivalea-Moșteni in aceeasi statie  cu CEF Trivalea Moșteni 4 (Venture) </t>
  </si>
  <si>
    <t>3/3181</t>
  </si>
  <si>
    <t>S.C. MASSIV FOREST PRODUCTS SRL</t>
  </si>
  <si>
    <t>CLADIRE SI CEF</t>
  </si>
  <si>
    <t>A20 MASSIV 3-BALTA SARATA RE</t>
  </si>
  <si>
    <t>SOLAR REEF SRL</t>
  </si>
  <si>
    <t>Construire ~Parc Fotovoltaic Fârdea" cu o putere instalata de 49MWp</t>
  </si>
  <si>
    <t>LUGOJ 110/20KV</t>
  </si>
  <si>
    <t>SC SOLAREALIZE PARK MERISOR SRL</t>
  </si>
  <si>
    <t>Centrala Electrica Fotovoltaica Seitin</t>
  </si>
  <si>
    <t>STATIA SEMLAC</t>
  </si>
  <si>
    <t>SC CEDAR INVEST SRL</t>
  </si>
  <si>
    <t>Consta într-un PTanvelopa 10/0,4 kV, racordat la LES 10kV S10 CB.17 CETATE TM intre P 1150 si P1254 , cu realizarea urmatoarelor lucrari:
-Se intercepteaza la LES 10kV S10 CB.17 CETATE TM intre P 1150 si P1254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2x100m (din care 3m rezerva la manson, 10m in postul de transformare, spatiu verde) pana la postul de transformare 20/0,4kV proiectat.
-Cablul se va poza in sapatura deschisa la o adincime de 0.8-1 m, protejat in tub de polietilena reticulara, acoperit cu un strat de nisip de 20 cm masurat de la partea superioara a tubului, semnalizat cu benzi avertizoare cf. DS 4235 RO si DS 4247 RO.
- post de transformare (PT) in anvelopa, 20/10/0,4 kV-2x630 kVA, cu gabarit pentru 2xtrafo de 630 kVA, (cf. DG 2061RO Ed.02), echipat cu: - 2 buc celula linie 24 kV, 630 A, Isc=16 kA, cu separator de sarcina in SF6 (cf. DY 803/2Ed.03), telecontrolate; PT trebuie sa permita o dezvoltare ulterioara cu inca o celula de linie; - 2 buc. celula trafo cu separator de sarcina in SF6 si sigurante (cf. DY 803/3 Ed,03); - 2 buc. transformator 20/10/0,4 kV-630 kVA cu pierderi reduse (cf.GST001RO ); - 4 buc. tablou JT cu doua iesiri, 2x(cf. DY 3009/1 RO)1xcf.DY 3009/2,1x cf.DY 3009/3 echipate cu 3 intrerupatore tetrapolare automate JT, 250A (cf. DY 3101/7 RO) 3 intreruptoare tetrapolare automate JT,350A(cf.DY 3102/4 RO) – si placa de inchidere pentru tablou JT in absenta intrerupatorulu) – 2 buc. echipamente de telecontrol si automatizare conform specificatiilor Enel: RGDAT pe fiecare celula linie (2 buc)-(cf. DY859 RO), UP standard pentru PT (cf. DX 1215 RO), modul GSM (cf. DX 1226 RO), antena (cf. DN760 RO), acumulatori (cf. DY815 RO).
- instalatie completa de iluminat interior/exterior si prize, tablou electric pentru servicii auxiliare, instalatie de iluminat si o priza bipolara cu întrerupator 16 A - 230 V cu siguranta automata; - rezistente in celulele MT – 3buc. si termohigrostat in PT – 3 buc.;
- PT va fi amplasat astfel incat accesul in PT sa fie direct din domeniul public;
- legatura electrica intre bornele trafo si tabloul JT se va realiza cu cablu unipolar de CU cu sectiunea de 150 mmp (cf. DC 4141 RO), lungime (4x8) m; Trafo 1 Circuit 1-Cladire C2 Corp A+spatiu comercial 1.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–E2+8 - ;
- legatura electrica intre intrerupatorul tetrapolar automat JT, 250A din postul de transformare (PT) proiectat si firida de distributie se va realiza cu cablu tetrapolar cu elice vizibila cu conductoare Al3x150+95N , izolate cu cauciuc sub manta de PVC (cf. DC 4146 RO), lungime 65m ,pozat in spatiu verde ,1m Firida proiectata,7m postul de transformare, protejat in tub (cf. DS 4247 RO) pe toata lungimea, prevazut in PT cu adaptori pentru scurtcircuitoare; - din firida proiectata E2+8 se vor executa 7 bransamente electrice trifazate ce se vor realiza cu cablu 7xAl 3x25+16C (cf. DC 4126) în lungime totala de 168m(1x6+…+7x6)m pozate pe canalul destinat cablurilor electrice. Cablurile se vor poza pana la 5xTDC-4,1xTDC 6,1xTDC 3 (29x1F) cf. FT-133_MAT echipat conform FT264MAT prevazut cu 29 intreruptoare automate bipolare de 40A, proiectat pe fiecare etaj.
- TDC-ul nou proiectat se va lega la o priza de pamant ce va avea valoarea rezistentei de dispersie de maxim 4 ohmi. -Din firida proiectata se va executa un cablu Al 3x50+25C , (cf.DC4126RO), lungime 15 m (,1m firida,1m BMPTi,restul pozat pe canalul destinat cablurilor electrice),pana la un BMPTi 100A, FT 133 echipat cu separator jt si intrerupator automat tetrapolar jt, In=100A, transformatoare de curent 3xTC 250/5A. BMPT proiectat se va lega la o priza de punere la pamant cu valoare de maxim 4 Ohm, realizata prin grija beneficiarului. Circuit 2-Cladire C2 Corp C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–E2+6 - ;
- legatura electrica intre intrerupatorul tetrapolar automat JT, 250A din postul de transformare (PT) proiectat si firida de distributie se va realiza cu cablu tetrapolar cu elice vizibila cu conductoare Al3x150+95N , izolate cu cauciuc sub manta de PVC (cf. DC 4146 RO), lungime 183m ,pozat in spatiu verde ,1m Firida proiectata,7m postul de transformare, protejat in tub (cf. DS 4247 RO) pe toata lungimea, prevazut in PT cu adaptori pentru scurtcircuitoare;
- din firida proiectata E2+6 se vor executa 6 bransamente electrice trifazate ce se vor realiza cu cablu 6xAl 3x25+16C (cf. DC 4126) în lungime totala de 126m(1x6+..+6x6)m pozate pe canalul destinat cablurilor electrice. Cablurile se vor poza pana la 5xTDC-10,1xTDC 9,(59x1F) cf. FT-133_MAT echipat conform FT264MAT prevazut cu 59 intreruptoare automate bipolare de 40A, proiectat pe fiecare etaj.
- TDC-ul nou proiectat se va lega la o priza de pamant ce va avea valoarea rezistentei de dispersie de maxim 4 ohmi. Circuit 3-Cladire C2 Corp B+spatiu comercial 2.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–E2+4 - ;
- legatura electrica intre intrerupatorul tetrapolar automat JT, 350A din postul de transformare (PT) proiectat si firida de distributie se va realiza cu cablu tetrapolar cu elice vizibila cu conductoare Al3x240+150N , izolate cu cauciuc sub manta de PVC (cf. DC 4146 RO), lungime 130 m,pozat in spatiu verde ,1m Firida proiectata,7m postul de transformare, protejat in tub (cf. DS 4247 RO) pe toata lungimea, prevazut in PT cu adaptori pentru scurtcircuitoare;
- din firida proiectata E2+8 se vor executa 6 bransamente electrice trifazate ce se vor realiza cu cablu 6xAl 3x25+16C (cf. DC 4126) în lungime totala de 128(1x6+..+6x6)m pozate pe canalul destinat cablurilor electrice. Cablurile se vor poza pana la 5xTDC-6,1xTDC 5,(35x1F) cf. FT-133_MAT echipat conform FT264MAT prevazut cu 35 intreruptoare automate bipolare de 40A, proiectat pe fiecare etaj. - TDC-ul nou proiectat se va lega la o priza de pamant ce va avea valoarea rezistentei de dispersie de maxim 4 ohmi.
-Din firida proiectata se va executa un cablu Al 3x50+25C , (cf.DC4126RO), lungime 15 m (,1m firida,1m BMPTi,restul pozat pe canalul de cabluri)pana la un BMPTi 160A FT 133 echipat cu separator jt si intrerupator automat tetrapolar jt, In=160A, transformatoare de curent 3xTC 250/5A. BMPT proiectat se va lega la o priza de punere la pamant cu valoare de maxim 4 Ohm, realizata prin grija beneficiarului. Trafo 2 Circuit 1-Cladire C3 Corp A+Corp B .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–E2+8 - ;
- legatura electrica intre intrerupatorul tetrapolar automat JT, 350A din postul de transformare (PT) proiectat si firida de distributie se va realiza cu cablu tetrapolar cu elice vizibila cu conductoare Al3x240+150N , izolate cu cauciuc sub manta de PVC (cf. DC 4146 RO), lungime 65m,pozat in spatiu verde ,1m Firida proiectata,7m postul de transformare, protejat in tub (cf. DS 4247 RO) pe toata lungimea, prevazut in PT cu adaptori pentru scurtcircuitoare;
Corp A - din firida proiectata E2+8 se vor executa 7 bransamente electrice trifazate ce se vor realiza cu cablu 7xAl 3x25+16C (cf. DC 4126) în lungime totala de 168(1x6+..+7x6)m pozate pe canalul destinat cablurilor electrice. Cablurile se vor poza pana la 6xTDC-6,1xTDC 5 ,(41x1F) cf. FT-133_MAT echipat conform FT264MAT prevazut cu 41 intreruptoare automate bipolare de 40A, proiectat pe fiecare etaj.
- TDC-ul nou proiectat se va lega la o priza de pamant ce va avea valoarea rezistentei de dispersie de maxim 4 ohmi.
Corp B - montare firida de distributie din poliester armatcu fibra de sticla, cu separatoare cu MPR, cu actionare pol cu pol si bare de cupru stanat, piulita fixata in bara, sistem de fixare cu coliere a cablurilor, cu soclu incastrat in beton, prevazuta cu o priza de pamant de maxim 4 ohmi –E2+6 - ;
- legatura electrica intre Firida proiectata la corpul A si firida proiectata la corpul B se va realiza cu cablu tetrapolar cu elice vizibila cu conductoare Al3x150+95N , izolate cu cauciuc sub manta de PVC (cf. DC 4146 RO), lungime 50m,pozat in spatiu verde ,1m Firida proiectata corp A, 1m Firida proiectata corp B protejat in tub (cf. DS 4247 RO) pe toata lungimea, prevazut in PT cu adaptori pentru scurtcircuitoare;
- din firida proiectata E2+6 se vor executa 6 bransamente electrice trifazate ce se vor realiza cu cablu 6xAl 3x25+16C (cf. DC 4126) în lungime totala de 126(1x6+..+6x6)m pozate pe canalul destinat cablurilor electrice. Cablurile se vor poza pana la 6xTDC-6,(30x1F) cf. FT-133_MAT echipat conform FT264MAT prevazut cu 30 intreruptoare automate bipolare de 40A, proiectat pe fiecare etaj.
- TDC-ul nou proiectat se va lega la o priza de pamant ce va avea valoarea rezistentei de dispersie de maxim 4 ohmi. Circuit 2-Cladire C3 Corp C+spatiul comun .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–E2+8 - ;
- legatura electrica intre intrerupatorul tetrapolar automat JT, 350A din postul de transformare (PT) proiectat si firida de distributie se va realiza cu cablu tetrapolar cu elice vizibila cu conductoare Al3x240+150N , izolate cu cauciuc sub manta de PVC (cf. DC 4146 RO), lungime 177 m,pozat in spatiu verde ,1m Firida proiectata,7m postul de transformare, protejat in tub (cf. DS 4247 RO) pe toata lungimea, prevazut in PT cu adaptori pentru scurtcircuitoare;
- din firida proiectata E2+8 se vor executa 7 bransamente electrice trifazate ce se vor realiza cu cablu 7xAl 3x25+16C (cf. DC 4126) în lungime totala de 168(1x6+..+7x6)m pozate pe canalul destinat cablurilor electrice. Cablurile se vor poza pana la 5xTDC-6,1xTDC 5,1xTDC 7(42x1F) cf. FT-133_MAT echipat conform FT264MAT prevazut cu 42 intreruptoare automate bipolare de 40A, proiectat pe fiecare etaj.
- TDC-ul nou proiectat se va lega la o priza de pamant ce va avea valoarea rezistentei de dispersie de maxim 4 ohmi.
-Din firida proiectata se va executa un cablu Al 3x50+25C , (cf.DC4126RO), lungime 15 m (,1m firida,1m BMPTi,restul m pozate pe canalul destinat cablurilor electrice)pana la un BMPTi 160A Ft 133 echipat cu separator jt si intrerupator automat tetrapolar jt, In=160A, transformatoare de curent 3xTC 250/5A. BMPT proiectat se va lega la o priza de punere la pamant cu valoare de maxim 4 Ohm, realizata prin grija beneficiarului.
Circuit 3-Cladire C2 spatiul comercial 3+spatiul comun . - montare firida de distributie din poliester armat cu fibra de sticla, cu separatoare cu MPR, cu actionare pol cu pol si bare de cupru stanat, piulita fixata in bara, sistem de fixare cu coliere a cablurilor, cu soclu incastrat in beton, prevazuta cu o priza de pamant de maxim 4 ohmi –E2+2 - ;
- legatura electrica intre intrerupatorul tetrapolar automat JT, 250A din postul de transformare (PT) proiectat si firida de distributie se va realiza cu cablu tetrapolar cu elice vizibila cu conductoare Al3x150+95N , izolate cu cauciuc sub manta de PVC (cf. DC 4146 RO), lungime 183 m ,pozat in spatiu verde ,1m Firida proiectata,7m postul de transformare, protejat in tub (cf. DS 4247 RO) pe toata lungimea, prevazut in PT cu adaptori pentru scurtcircuitoare;
-Din firida proiectata se va executa un cablu Al 3x50+25C , (cf.DC4126RO), lungime 15 m (,1m firida,1m BMPTi,restul m pozate pe canalul destinat cablurilor electrice).pana la un BMPTi 160A, FT 133 echipat cu separator jt si intrerupator automat tetrapolar jt, In=160A, transformatoare de curent 3xTC 250/5A. BMPT proiectat se va lega la o priza de punere la pamant cu valoare de maxim 4 Ohm, realizata prin grija beneficiarului.
-Din firida proiectata se va executa un cablu Al 3x50+25C , (cf.DC4126RO), lungime 15 m (,1m firida,1m BMPTi, ,restul m pozate pe canalul destinat cablurilor electrice)pana la un BMPTi 100A, echipat cu separator jt si intrerupator automat tetrapolar jt, In=100A, transformatoare de curent 3xTC 250/5A. BMPT proiectat se va lega la o priza de punere la pamant cu valoare de maxim 4 Ohm, realizata prin grija beneficiarului.
- In cazul in care instalatia de racordare si/sau deviere ocupa/traverseaza terenuri private se vor constitui/recunoaste drepturile reale de superficie/uz si servitute, dupa caz, in favoarea Enel, aferente imobilelor afectate de instalatia de racordare/capacitatile deviate.
- Materialele si echipamentele care se utilizeaza la realizarea instalatiei trebuie sa fie conforme cu cerintele din specificatiile tehnice unificate ENEL. Celelalte materiale si echipamente pentru care nu sunt elaborate specificatii tehnice unificate, trebuie sa fie noi, compatibile cu starea tehnica a instalatiei, sa indeplineasca cerintele specifice de fiabilitate si siguranta.
*instalatia de utilizare a clientului (priza de pamint, de maxim 4 ohmi, calea de curent dintre locul de delimitare si locul de consum al solicitantului) se recomanda a se realiza cu cablu electric avand sectiunea minima de 16 mmp, pozat inaintea executiei lucrarilor stabilite prin prezentul aviz tehnic de racordare.
**Clientul va depune dosar definitiv pentru instalatia electrica de utilizare in aval de punctul de delimitare. Dosarul definitiv va fi elaborat de catre un electrician autorizat ANRE, prin grija si cheltuiala consumatorului.</t>
  </si>
  <si>
    <t>12029376</t>
  </si>
  <si>
    <t>PORTLAND TRUST DEVELOPMENTS EIGHT SRL</t>
  </si>
  <si>
    <t>LEA 110 KV CET BRAZI - FUNDENI+DERIV TANCABESTI</t>
  </si>
  <si>
    <t>10185832</t>
  </si>
  <si>
    <t>ONE HERASTRAU VISTA SRL</t>
  </si>
  <si>
    <t>14146241</t>
  </si>
  <si>
    <t>NUSCO IMOBILIARA S.A.</t>
  </si>
  <si>
    <t>ANSAMBLU REZIDENTIAL DE VILE</t>
  </si>
  <si>
    <t>12058753</t>
  </si>
  <si>
    <t>Shikum and Binui Energy Satu Mare SRL</t>
  </si>
  <si>
    <t>FULVA ENERGY SRL</t>
  </si>
  <si>
    <t>LEA 20 KV ODORHEI</t>
  </si>
  <si>
    <t>bornele de legătură ale LES 20 kV, în Celula 20 kV Trafo (PT+Măsură) din PC 20 kV (existent) - (plecare spre PT CEF – Fulva Energy)</t>
  </si>
  <si>
    <t>JOISONQUIN AUTOMOTIVE SYSTEMS ROMANIA SRL</t>
  </si>
  <si>
    <t>la conexiunea 20 kV a PCT 46.20.09 Quin ;, PTAB 462009 20/0,4 KV BRASOV, 20/0,4 kV, 6400 kV</t>
  </si>
  <si>
    <t>Modificarea instalatiei de racordare fara depasirea puterii aprobate</t>
  </si>
  <si>
    <t>CRACIUN LUCIAN</t>
  </si>
  <si>
    <t>SURAIA</t>
  </si>
  <si>
    <t>LEA 20 kV Gologanu</t>
  </si>
  <si>
    <t>BABA ANA SOLAR GREEN ENERGY SRL</t>
  </si>
  <si>
    <t>BABA ANA</t>
  </si>
  <si>
    <t>statia 110/20 KV MIZIL</t>
  </si>
  <si>
    <t>MN3034</t>
  </si>
  <si>
    <t>Braila</t>
  </si>
  <si>
    <t>ELBA SOLAR SRL</t>
  </si>
  <si>
    <t xml:space="preserve">LEA 20 KV SIGHET1 </t>
  </si>
  <si>
    <t>RAAL SA</t>
  </si>
  <si>
    <t>Statia 110/20/6 kV Prundu Bargaului</t>
  </si>
  <si>
    <t>MUNICIPIUL  BAIA MARE</t>
  </si>
  <si>
    <t>BAIA MARE</t>
  </si>
  <si>
    <t>20 kV Baia Mare 1 - PT332 Baia Mare</t>
  </si>
  <si>
    <t>SC EN-PREST SRL</t>
  </si>
  <si>
    <t>CENTRALA ELETRICA FOTOVOLTAICA 2,75MW, LOC. TUTA, JUD. BACAU</t>
  </si>
  <si>
    <t>BC</t>
  </si>
  <si>
    <t>TG.OCNA</t>
  </si>
  <si>
    <t>SC SUNLIGHT GREEN ENERGY SRL</t>
  </si>
  <si>
    <t>CENTRALA ELECTRICA FOTOVOLTAICA 2MW, LOC. CARLIGI, COM. STEFAN CEL MARE, JUD. NEAMT</t>
  </si>
  <si>
    <t>NT</t>
  </si>
  <si>
    <t>IZVOARE</t>
  </si>
  <si>
    <t>OMV PETROM</t>
  </si>
  <si>
    <t>CORBII MARI</t>
  </si>
  <si>
    <t>LEA 20 KV Petrol 1</t>
  </si>
  <si>
    <t>Statia 110/20 kV Potlogi</t>
  </si>
  <si>
    <t>ORGANIZATIA UTILIZATORILOR DE APA PT. IRIGATII "SRPA 09 LISCOTEANCA"</t>
  </si>
  <si>
    <t>BORDEI VERDE</t>
  </si>
  <si>
    <t>stalpul nr. 39 al racordului spre PTZ 5450 alimentat din Statia Bordei Verde prin LEA 20 kV Bordei Verde – SPP 6</t>
  </si>
  <si>
    <t>INTERNATIONAL SOLAR ENERGY S.R.L</t>
  </si>
  <si>
    <t>CENTRALA ELECTRICA FOTOVOLTAICA MOSNITA NOUA</t>
  </si>
  <si>
    <t>GATAIA 110/20 KV</t>
  </si>
  <si>
    <t>SGROM NINE S.R.L.</t>
  </si>
  <si>
    <t>A20 SANTANA-CURTICI AR</t>
  </si>
  <si>
    <t>S.C. CRIS SOLAR INVEST S.R.L.</t>
  </si>
  <si>
    <t>Parc Fotovoltaic</t>
  </si>
  <si>
    <t>A20 SINTEA MARE-CHISINEU CRIS AR</t>
  </si>
  <si>
    <t>LOSAN ROMANIA SRL</t>
  </si>
  <si>
    <t>FABRICA PRODUCTIE FURNIRE</t>
  </si>
  <si>
    <t>I. Consta într-un PTanvelopa 20kV pus la dispozitie de catre beneficiar, cu masura MT racordat la LES 9 MAHLE intre T22313– T22349, cu realizarea urmatoarelor lucrari: -Se intercepteaza LES 9 MAHLE intre T22313– T22349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2x20m (din care 2x3m rezerva la manson,2x10m in postul de transformare, restul in zona verede) pana la postul de transformare 20kV proiectat. -Cablul se va poza in sapatura deschisa la o adincime de 0.8-1 m, protejat in tub de polietilena reticulara, acoperit cu un strat de nisip de 20 cm masurat de la partea superioara a tubului, semnalizat cu benzi avertizoare cf. DS4235RO si DS4247RO. -Echipare compartiment racordare pus la dispozitie de beneficiar: ,,2 buc. celule modulare de linie de 24kV, 630A, 16 kA(1s), cu separator de sarcină în SF6 şi CLP, conform DY803/2-LE ed.3 PT, telecontrolate, trebuie sa permita o dezvoltare ulterioara cu inca o celula de linie; ,,1 buc. celulă de măsură cu separator de sarcină, conform DY803M/316-UTM ed.2, cu două TT 20/0,1 kV, conform DMI031015 RO, clasa de precizie 0,5 şi 2 buc. TC de 400/5A, conform DM031052 RO, clasa de precizie 0,2S. Realizarea grupului de măsurare a energiei electrice pe MT, prin montarea unui contor electronic trifazat 2x100V, 5A, clasa de precizie 0.5S, cu curbă de sarcină, cu interfaţă serială RS232, cu sistem de teletransmisie, în montaj indirect (TT 20/0,1kV conform DMI031015 RO, clasa precizie 0,5, TC 50/5A conform DM031052 RO, clasa precizie 0,2S şi cordon de conectare grup de măsurare conform DMI031011 RO). Contorul va fi astfel amplasat încât să fie posibilă citirea lui din exteriorul punctului de conexiune atât de către consumator cât şi de distribuitor ,,rezistente in celulele MT – 3buc. si termohigrostat in PT – 3buc.; ,,PT va fi amplasat astfel incat accesul in PT sa fie direct din domeniul public; ,,Lucrări finanţate de beneficiar, realizate prin grija lui, ce devin proprietatea acestuia, conform Ordin nr. 59/2013: ,,LES 20 kV cît mai scurtă posibil (l≤20m), cu cablu de cupru de secţiune minimă 95 mmp, între celula de măsură din compartimentul de racordare şi celula cu înterupător din compartimentul utilizatorului ,,Celulă sosire cu un separator tripolar şi a unui întrerupător automat fix (sau numai un întrerupător automat debroşabil) în compartimentul utilizatorului. Întrerupătorul va fi obligatoriu prevăzut cu sistem de protecţie generală maximală de curent şi împotriva defectelor de punere la pămînt, cu reglajul corelat cu celelalte protecţii din instalaţiile SC E-Distribuţie Banat SA- Zona MT/jt Timisoara ,,Instalaţia de iluminat interior, prize şi instalaţiade legare la pământ a clădirii punctului de conexiune 4) 1 buc trafo 20/0,4 kV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Comisia Tehnică de Avizare a E- Distribuţie Banat SA – Zona Reţea MT/jt Timisoara.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</si>
  <si>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SC CONTINENTAL AUTOMOTIVE ROMANIA SRL</t>
  </si>
  <si>
    <t>VENUS</t>
  </si>
  <si>
    <t>Tinand cont de situatia energetica existenta precum si de solicitarea beneficiarului, alimentarea cu energie electrica a obiectivului consta in realizarea unui Punct de Conexiune de 20 kV alimentat din LES 20 kV Nr. 8 Venus si inseriat intre statia Venus si T52156. PC de 20 kV va fi realizat cu 2 compartimente cu acces separat (compartiment de racordare pentru acces personal Enel si compartiment utilizator pentru acces utilizator). Incaperea in care se va realiza punctului de conexiune va fi pusă la dispoziţie de beneficiar. Pentru realizarea soluţiei de alimentare cu energie electrică prezentate mai sus, sunt necesare urmatoarele lucrari, ce se vor executa in doua etape: ETAPA 1 1. Lucrări finanţate de beneficiar si platite catre E- Distribuţie BANAT SA: - Mansonare cablu existent- se va realiza mansonarea cablului existent LES 20 kV Nr. 8 Venus cu mansoane drepte unipolare conform DJ 4387; - Pozare LES 20 kV (in domeniul public si la limita de proprietate) doua cabluri de medie tensiune tripolare cu elice vizibila pentru montare subterana, izolat in polietilena reticulara de grosime redusa, Al 3x1x185 mmp, cu ecran in tub de aluminiu sub invelis de PVC sau PE (cf. DC 4385 RO), in lungime de 2*685 m din care 2*286 m se vor poza prin foraj, portiune ce se va proteja in tub PVC de tip rigid cf. DS4235RO , 2*10 m in postul de transformare , 2*110 m in zona asfaltata, 2*247 m in zona nepavata si 2*175 m in zona pavata pana la punctul de conexiune proiectat. Cablul se va poza in sapatura deschisa la o adincime de 0.8-1 m, protejat in tub de polietilena reticulara cf. DS4235RO si DS4247RO, acoperit cu un strat de nisip de 20 cm masurat de la partea superioara a tubului, semnalizat cu benzi avertizoare. - Punct de Conexiune, trebuie sa permita o dezvoltare ulterioara cu inca o celula de linie, se va echipa cu: cinci celule de linie motorizate 24 kV, 630 A, 16 kA cu separator de sarcină în SF6conf. DY803/2 - LE PT, telecontrolate; o celula de masura conf. DY803/4 - UT cu separator si grup de masura format din doua transformatoare de tensiune 20/0,1 kV, clasa de precizie 0,5 conform DMI031015 RO,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montare termo higrostat si a sistemului de incalzire pentru celulele; Compartimentul în care sunt amplasate instalaţiile de racordare, trebuie să fie cu acţionare din interior. Compartimentul de racordare trebuie să fie dotat cu o instalaţie de iluminat corespunzătoare şi cu o priză bipolară cu întrerupător 16A - 230V cu siguranţă fuzibilă, alimentate de la reţeaua de j.t. a clientului. Instalaţia de racordare conţine echipamentele de manevră şi secţionare ale Enel. Punctul de racordare: LES 20 kV Nr. 8 Venus. Punctul de delimitare: este stabilit la 20 kV, la capetele terminale de racordare ale cablului din celula de masura MT, plecare din compartimentul de racordare spre compartimentul utilizatorului. Punctul de masurare: este stabilit la nivelul de 20 kV, in compartimentul de racordare din noul punctul de conexiune. 2. Lucrări finanţate de beneficiar, realizate prin grija lui, ce devin proprietatea acestuia: - PC de 20 kV realizat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 Realizare LES 20 kV cît mai scurtă posibil (l≤20m), cu cablu de cupru de secţiune minimă 95 mmp, între celula de măsură din compartimentul de racordare de 20 kV şi celula de record cablu a celulei cu intrerupator din compartimentul utilizatorului; - Celula de sosire in compartimentul utilizatorului va fi cu intrerupator general automat debrosabil Întrerupătorul va fi obligatoriu prevăzut cu sistem de protecţie generală maximală de curent in trei trepte ( la scurtcircuit si la suprasarcina ) si protective homopolara de current in doua trepte, contra punerilor la pamant monofazate respective bifazate, c reglajul corelat cu celelalte protectii din intalatiile E-Distributie Banat SA; - Instalatie de iluminat si o priza bipolară cu întrerupător 16A-230V; - LES 20 kV intre punctul de conexiune si postul/posturile trafo montat la beneficiar; - Trafo 20/0,4 kV; - Realizarea instalaţiei de legare la pămant pentru noul PC, Rp, 4 ohmi; Delimitarea fiind la medie tensiune, utilizatorul va asigura respectarea prevederilor normativelor PE 101/85 - “ Normativ pentru constructia instalatiilor electrice de conexiuni si transformare cu tensiuni peste 1 kV “ (republicat in 1993) , Ordinul ANRE 239/2019 si P 118/1999 Normativ privind securitatea la incendiu a construcţiilor in ceea ce priveste amplasarea postului de transformare care este in gestiunea sa. Amplasarea în teren a instalaţiilor energetice existente şi proiectate sunt prezentate în planul de situaţie 16449957/2023 anexat. SE VOR PLATI COMPENSATII CONFORM ATR 01293645 din 13/04/2018, catre primul utilizator LISA DRAXLMAIER AUTOPART ROMANIA S.R.L, in valoare de 590.881,72 lei , din care TVA 94.342,46 lei. ETAPA 2 Se va realiza in momentul in care LES 10 kV Nr 16 Azur va fi schimbat cu LES 20 kV. Lucrări finanţate de beneficiar si platite catre E- Distribuţie BANAT SA: - Pozare LES 20 kV (in domeniul public si la limita de proprietate) doua cabluri de medie tensiune tripolare cu elice vizibila pentru montare subterana, izolat in polietilena reticulara de grosime redusa, Al 3x1x185 mmp, cu ecran in tub de aluminiu sub invelisde PVC sau PE (cf. DC 4385 RO) in lungime de 2*80 m, din care 2* 10 m in PC proiectat, 2*50 m in zona pava, 2*10 m pozat prin foraj, portiune ce se va proteja in tub PVC de tip rigid cf. DS4235RO si 2*10 m in PC existent nr. 11085. - Montare o celula de linie motorizata 24 kV, 630 A, 16 kA cu separator de sarcină în SF6 conf. DY803/2 - LE PT, telecontrolata in PC existent nr. 11085.</t>
  </si>
  <si>
    <t>MUNICIPIUL LUGOJ</t>
  </si>
  <si>
    <t>AUTOBAZA SI STATII INCARCARE PT.AUTOBUZE ELECTRICE</t>
  </si>
  <si>
    <t>Consta într-un PC 20kV pus la dispozitie de catre beneficiar, cu masura MT racordat la LES 4 din statia IURT intre PT 5169 si PT5190 , cu realizarea urmatoarelor lucrari: - Se intercepteaza LES 4 din statia IURT intre PT 5169 si PT5190 prin 2 seturi de mansoane (cf. DJ 4387 RO); - Se va poza (in domeniul public) un cablu de medie tensiune tripolar cu elice vizibila pentru montare subterana, izolat in polietilena reticulara de grosime redusa, Al 3x1x185 mmp, cu ecran in tub de aluminiu sub invelis de PVC sau PE (cf. DC 4385 RO), in lungime de 2x1517m (din care 1,5m rezerva la manson, 20m in Punctul de Conexiune ,40 m foraj asfalt, restul in zona verde) pana la Punctul de Conexiune 20kV proiectat; - Cablul se va poza in sapatura deschisa la o adincime de 0.8-1 m, protejat in tub de polietilena reticulara, acoperit cu un strat de nisip de 20 cm masurat de la partea superioara a tubului, semnalizat cu benzi avertizoare cf. DS4235RO si DS4247RO. - Echipare PC 20kV compartiment racordare pus la dispozitie de beneficiar:  2 buc. celule modulare de linie de 24kV, 630A, 16 kA(1s), cu separator de sarcină în SF6 şi CLP, conform DY803/2-LE ed.3 ,telecontrolate ,compartimentul trebuie sa permita o dezvoltare ulterioara cu inca o celula de linie;  1 buc. celulă de măsură cu separator de sarcină, conform DY803M/316-UTM ed.2, cu două TT 20/0,1 kV, conform DMI031015 RO, clasa de precizie 0,5 şi 2 buc. TC de 400/5A, conform DMI 031052 RO ED.02 , clasa de precizie 0,2s.  rezistente in celulele MT – 2 buc. si termohigrostat in PT – 2 buc.;  PC va fi amplasat astfel incat accesul in el sa fie direct din domeniul public; II. Lucrări finanţate de beneficiar, realizate prin grija lui, ce devin proprietatea acestuia, conform Ordin nr. 59/2013: 1). LES 20 kV cat mai scurtă posibil (l≤20m), cu cablu de cupru de secţiune minimă 95 mmp, între celula de măsură din compartimentul de racordare şi celula cu înterupător din compartimentul utilizatorului. 2). Celulă sosire cu un separator tripolar şi a unui întrerupător automat fix (sau numai un întrerupător automat debroşabil) în compartimentul utilizatorului. Întrerupătorul va fi obligatoriu prevăzut cu sistem de protecţie generală maximală de curent şi împotriva defectelor de punere la pămant, cu reglajul corelat cu celelalte protecţii din instalaţiile SC E-Distribuţie Banat SA-Zona MT/JT Timisoara. 3). Instalaţia de iluminat interior, prize şi instalaţia de legare la pământ a clădirii punctului de conexiune. Măsurarea energiei electrice se va face la MT, cu contor electronic trifazat 2x100V, 5A, clasa de precizie 0.5S, cu curbă de sarcină, cu interfaţă serială RS232, cu sistem de teletransmisie, în montaj indirect (TT 20/0,1kV conform DMI031015 RO, clasa precizie 0,5, TC 400/5A conform DMI 031052 RO ED.02 , clasa precizie 0.2S, cordon de conectare grup de măsurare conform DMI031011 RO). 4) 1 buc trafo 20/0,4 kV.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încat să permită accesul pentru mentenanţă şi înlocuirea instalaţiilor electrice defecte în timp util. Proiectul tehnic se va aviza în Comisia Tehnică de Avizare a E- Distribuţie Banat SA – Zona Reţea MT/JT Timisoara .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</si>
  <si>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 xml:space="preserve">	
16640967</t>
  </si>
  <si>
    <t>emz Hanauer Romania S.R.L.</t>
  </si>
  <si>
    <t>HALE PRODUCTIE SI DEPOZITARE, CLADIRE ADMINISTRATIVA , ANEXE</t>
  </si>
  <si>
    <t>In zona exista LEA 20 KV Mociur la stalpul 48 si LES 20 kV Calnic la stalpul 50. Incarcarea pe LEA 20 kV Mociur este de 2,19 MW si pe LEA 20 kV Calnic este de 0 MW. Se va intercepta LES 20 kV CALNIC stalp 48 la st.50, langa stalpul 48 se va executa 1 manson intre cablul nou sosire din celula 2 si cablul existent plecare la stalpul 50 cat si montare cablu nou plecare la celula 1 pe stalpul 48 si pozare 2 buc cabluri noi in traseu comun intre stalpul 48 si celulele PT Anv nou proiectat cu cabluri de 20kV, tripolare, cu elice vizibila pentru montare subterana, cu izolatie XLPE, AL 3x(1x185) cf. DC4385/2RO, matricola 332284, pozate in tub din polietilena, in sapatura sub trotuar(90 m), foraj sub drum (20m) si spatiu verde(10 m) in lungime traseu de 120 metri, pana la un post de transformare in anvelopa PTAnv nou proiectat, amplasat la limita de proprietate a beneficiarului, prevazut cu compartiment de racordare si masura, cu acces separat, din domeniul public, pentru personalul E-Distributie Banat, echipat cu: - 2 buc. celula de linie LE 24kV, 16kA , 630A, tip DY 803/2 si loc pentru inca o celula - 1 buc. celula de masura UTM, 24kV, 16kA , 630A tip DY 803/4, cu 2 transformatoare de tensiune 20/0,1kV, clasa de precizie 0,5 cf. DMI 031015 RO, matricola 535024 si 2 transformatoare de curent de 400/5A, clasa de precizie 0,2S cf.DMI 031052 RO, matricola 532072 si contor electronic trifazat in montaj indirect, prevazut cu bloc de jonctiune de deconectare de incercare, cf.FT-225 MAT, matricola 627408. Contorul se va amplasa prin grija si cheltuiala E-Distributie Banat intr-o cutie de masura, amenajata intr-o nisa in peretele anvelopei, cu posibilitatea vizualizarii atat de catre ENEL cat si de catre beneficiar. Se vor monta 3 buc. rezistente anticondens si 3 buc. termohigrostat pentru celulele MT. Delimitarea dintre instalaţiile distribuitorului şi cele ale utilizatorului este la papucii cablului intern 20kV plecare din compartimentul de racordare (celula masura), spre dispozitivul general amplasat in compartiment utilizator. Lucrari finanţate de beneficiar, realizate prin grija lui, ce devin proprietatea acestuia, conform Ordin nr.59/2013: - Cladirea PTAnv compartimentata in care se va monta, intr-un compartiment, instalatia de racordare si de masurare, si in al doilea compartiment instalatia utilizatorului. Compartimentul utilizator va fi echipat cu: - circuit LES 20kV cat mai scurta posibil (L=20 m), cu cablu de cupru de sectiune minima 95 mmp, intre celula de masura din compartimentul de racordare si instalatiile de 20kV aflate în gestiunea consumatorului. - 1 buc. celula sosire echipata cu un separator tripolar si un intrerupator automat fix (sau numai un intrerupator automat debrosabil). Intrerupatorul va fi obligatoriu prevazut cu sistem de protecţie generala maximala de curent si impotriva defectelor de punere la pamant, cu reglajul corelat cu celelalte protecţii din instalaţiile SC E-Distributie Banat SA. - celula de plecarea cablu catre postul de transformare al beneficiarului. Postul de transformare al utilizatorului se recomanda a avea o putere instalata de 2000 KVA. Se va realiza o instalatie de iluminat si priza bipolara cu intrerupator 16A-230V cu siguranta fuzibila in compartimentul de racordare, alimentate de la reteaua JT a utilizatorului, printr-un cablu LES 0,4 kV racordat din postul beneficiarului.Se va realiza o priza de impamantare cu Rp&lt;4ohmi pentru PTAnv nou proiectat. Traseele retelelor electrice si amplasamentul PTAnv se vor stabili in cadrul proiectului tehnic de catre proiectantul de specialitate, conform avizelor obtinute si de comun acord cu beneficiarul lucrarii, astfel incat sa permita accesul pentru mentenanta si inlocuirea instalatiilor electrice defecte in timp util.Proiectul tehnic se va aviza in Comisia Tehnica de Avizare a E- Distributie Banat SA. Solicitantul va depunedosar definitiv pentru instalatia electrica de utilizare in aval de punctul de delimitare. Dosarul definitiv va fi elaborat de catre un electrician autorizat ANRE, prin grija si cheltuiala consumatorului.</t>
  </si>
  <si>
    <t xml:space="preserve">	
16721293</t>
  </si>
  <si>
    <t>GLOBAL ULTRA PROPERTIES SRL</t>
  </si>
  <si>
    <t>CENTRU MEDICAL DE EXCELENTA IN ONCOLOGIE</t>
  </si>
  <si>
    <t>16258969</t>
  </si>
  <si>
    <t>VULCAN RESIDENTIAL PARK SRL</t>
  </si>
  <si>
    <t>Ansamblu rezidential Vulcan</t>
  </si>
  <si>
    <t>10417349</t>
  </si>
  <si>
    <t>DVD RESIDENTIAL IMOBILIARE SRL</t>
  </si>
  <si>
    <t>8 blocuri</t>
  </si>
  <si>
    <t>01616213</t>
  </si>
  <si>
    <t>PRIMA VISTA RESIDENTIAL SRL</t>
  </si>
  <si>
    <t>blocuri-1,2,3,4,5,6,7,8,G1,G2,G3,G4,G5,G7</t>
  </si>
  <si>
    <t>04624379</t>
  </si>
  <si>
    <t>SC BRIKSTON CONSTRUCTION SOLUTIONS SA</t>
  </si>
  <si>
    <t>FABRICA CARAMIZI + CENTRALA FOTOVOLTAICA 2580KW</t>
  </si>
  <si>
    <t>IS</t>
  </si>
  <si>
    <t>IASI SUD</t>
  </si>
  <si>
    <t>racord MT LES</t>
  </si>
  <si>
    <t>MCAV 20K IN LEA MT</t>
  </si>
  <si>
    <t>TRANSGAT-SORT SRL</t>
  </si>
  <si>
    <t>BUDILA</t>
  </si>
  <si>
    <t>derivatia 20 kV PTA 128 si PT 136 Budila din LEA 20 kV PCT 134 Budila din Statia 110/20 kV Sacele, stalpul nr. 24 nou proiectat., PTA 128 20/0,4 KV BUDILA,</t>
  </si>
  <si>
    <t>CEROX FOTOVOLTAIC SRL</t>
  </si>
  <si>
    <t>UCEA DE SUS</t>
  </si>
  <si>
    <t>barele 20 kV (prelungite) aferente Celula 20 kV (nou montata) – in pozitia libera (Q16K) din Statia 110 / 20 kV Ucea</t>
  </si>
  <si>
    <t>GAZ TECH SYSTEMS SRL</t>
  </si>
  <si>
    <t>BRATEIU</t>
  </si>
  <si>
    <t>LEA 20 kV Dumbraveni – Aurel Vlaicu</t>
  </si>
  <si>
    <t>REGENERIS ENVERD S.R.L.</t>
  </si>
  <si>
    <t>la nivelul barelor de 20 kV (sistem bare B2) din Statia 110/20 kV Copsa Mica, STATIA COPSA MICA 110/20 kV</t>
  </si>
  <si>
    <t>SC RETRASIB SA</t>
  </si>
  <si>
    <t>PTZ 226 20/0,4 KV SIBIU, 20/0.4 kV</t>
  </si>
  <si>
    <t>LES 20 KV CE SIBIU</t>
  </si>
  <si>
    <t>TS4190</t>
  </si>
  <si>
    <t>GREENLIGHT ENERGY SRL</t>
  </si>
  <si>
    <t xml:space="preserve">LEA 20 KV LAZURI </t>
  </si>
  <si>
    <t>Statia 110/20 kV Targovist</t>
  </si>
  <si>
    <t>VALEA CAMPULUI GREEN ENERGY SRL</t>
  </si>
  <si>
    <t>STRAOANE</t>
  </si>
  <si>
    <t>LEA 20 KV TIFESTI</t>
  </si>
  <si>
    <t>COM FORTIS BALAST SRL</t>
  </si>
  <si>
    <t>TARGSORU VECHI</t>
  </si>
  <si>
    <t>Prahova</t>
  </si>
  <si>
    <t>LEA 110 KV Brazi VEST – Ploiesti Crâng</t>
  </si>
  <si>
    <t>Statia 400/220/110 kV Brazi VEST</t>
  </si>
  <si>
    <t>PVSR BUCHAREST II SRL</t>
  </si>
  <si>
    <t>IANCA</t>
  </si>
  <si>
    <t>Statia  IANCA 110/20 KV</t>
  </si>
  <si>
    <t>MIAD SRL</t>
  </si>
  <si>
    <t>ST. PISC 110/20/6 KV</t>
  </si>
  <si>
    <t>În spațiul disponibil aferent camerei 20 kV din Stația 110 / 20 kV Pisc, se va monta o celulă nouă 20 kV, în secția B, poziția 16K, de aceleași tipo-dimensiuni cu cele existente, echipată cu: -Separator de sarcină 24kV cu CLP; -Întrerupător automat debroșabil 24kV – 630A, echipat cu terminal numeric de protecție, având funcțiile: -Transformatoare de curent homopolar; -Transformatoare de măsură curent și protecție 300/5/5/5A, cls. 0.2s; -Transformatoare de măsură de tensiune (20/√3)/(0.1/√3)/(0.1/√3)/(0.1/√3) kV cls. 0.2; -Contor electronic trifazat bidirecțional cls. 0.2s</t>
  </si>
  <si>
    <t>PLOIESTI</t>
  </si>
  <si>
    <t>LES 20 kV Enachita Vacarescu din Statia 110/20/6 KV Ploiesti NORD</t>
  </si>
  <si>
    <t>CTPARK IOTA S.R.L.</t>
  </si>
  <si>
    <t>ORADEA</t>
  </si>
  <si>
    <t>la bara 20 kV din PC TERMINAL CARGO 20 kV, LES 20 KV AEROPORT-PC OGORULUI</t>
  </si>
  <si>
    <t>COMPANIA DE APA SOMES SA</t>
  </si>
  <si>
    <t>la LES 20kV intre PTAB Caramidaria-2 si PCAB CREIC alimentata din distribuitorul LES 20 kV Real 1 din Statia 110/10 kV Nord si * la LES 20kV intre Statia Nord si PA Real alimentata din distribuitorul LES 20 kV Real 2 din Statia 110/10 kV Nord., LES 20 KV NORD - REAL 1</t>
  </si>
  <si>
    <t>SC CTPARK GAMMA SRL</t>
  </si>
  <si>
    <t>Cladire BUCH 10+CEF</t>
  </si>
  <si>
    <t>DRAGOMIRESTI 110/20 KV</t>
  </si>
  <si>
    <t>Modificare loc de consum existent CTPARK GAMMA S.R.L., CER nr. RO001E142168771/1 din 20/01/2020 in loc de consum si producere nou situat in localitatea Dragomiresti-Vale, tarla T76, parcela P33-34, CF 55590, judetul Ilfov. Date generale consum conform CER nr. RO001E142168771/1 din 20/01/2020: Putere instalata consumator: 5500 kW Puterea absorbita la nivel de loc de consum: 4000kW/ 4444,44kVA. ,,Lucrarile pe tarif de racordare în PC5519 ,, Pentru transmiterea informatiilor aferente CEF catre SCADA EDM, in punctul de conexiune PC5519 se vor monta urmatoarele echipamente: - inlocuire UP existenta cu Unitate de procesare Dispozitiv capabil să telecontroleze 16 aparate de comutare, conform GSTR 006, in locul celei existente pentru 8 aparate. ,,Lucrari ce se realizeaza prin grija beneficiarului: Energia eletrica produsa de centrala fotovoltaica va fi debitata in reteaua de distributie EDM, folosind punctul de conexiune existent, prin care se face alimentarea, respectiv PC5519. Conform datelor primite de la beneficiar centrala fotovoltaica este formata din: • Panouri fotovoltaice cu Pi=410Wp - 3664 buc; • Invertor 110 kW - 13 buc; • Tablou curent alternativ TE1 – CEF – PT1 si TE2 – CEF – PT2, 0,4 kV cu protecţii 2 buc; • Circuite electrice de curent continuu (CC); • Circuite electrice de curent alternativ (CA); • Sisteme de prindere panouri solare . Racordul centralei fotovoltaice se va realiza in tablourile electrice generale existente ale beneficiarului aflate în posturile de transformare PT1 si PT2 . In fiecare tablou TE-CEF este prevazut pe legatura cu tabloul general unde se racordeaza, cu un intreruptor motorizat impreuna cu un releu multifunctional care va realiza comanda (open/close) a motorului intreruptorului. Aceste intrerupatoare vor avea rol de dispozitiv de interfata, DI, si vor fi declansate prin intermediul releului multifunctional, prin urmatoarele protectii: - protectie maxima tensiune,valoare mediata 10 minute*: 1,1*Un/600+3 secunde; - protectie maxima tensiune: 1,15*Un/temporizata; - protectie minima tensiune : 0,85*Un/ temporizata; - protectie maxima frecventa: 52 Hz/ temporizata; - protectie minima frecventa: 47,5 Hz/ temporizata. Valorile de reglaj ale dispozitivelor de interfata vor avea reglajele prevazute in Ord 132/2020. In cazul defectiunilor releului atasat fiecarui dispozitiv de interfata sau in cazul lipsei alimentarii acestuia va fi declansat intrarupatorul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 in vederea montarii unui contor electronic pus la dispozitie de E Distributie Muntenia. Celula DG va fi prevazuta cu releu cu urmatoarele protectii: - maximala de curent rapida/temporizata; - homopolara de curent diretionata/nedirectionata. COMUNICATII In fiecare TE CEF se va monta un analizor de energie clasa A . De la fiecare analizor instalat in TE CEF-uri se va folosi comunicatie RS485 cu protocol MODBUS, pentru a transmite informatii de putere activa/reactiva, catre un PLC instalat intr-un dulap montat in PC5519, compartiment utilizator. De la PLC catre Unitatea Periferica din PC 5519, vom folosi ieșirile analogice 4-20mA ale acestuia. Conversia, însumarea si scalarea semnalelor de putere activa/reactiva, se va face in softul din PLC. In PC 5519 compartiment utilizator se vor monta 3TC 100/5, cls. 0,2s, 30VA si 3TT 20/1,73//0,1/1,73//0,1/3/5A, clasa de exactitate masura 0,2, putere 30VA, clasa de exactitate protective 3P, putere 50VA. Prin intermediul acestor transformatoare de curent si tensiune, montate in PC5519 compartiment utilizator, se va racorda un analizor calitatea energie clasa A, (certificate PSL) pentru monitorizare permanenta calitate energie 20kV, si un traductor de tensiune si frecventa tip MC2UP, pentru transmitere in SCADA EDM informatia de tensiune 20kV. Traductorul tip MCUP va fi prevazut cu iesiri 4-20mA, direct proportionale cu tensiunea, prin intermediul carora se va face transmiterea informatiei de tensiune catre catre UP nou prevazuta. Traductorul si analizorul vor fi montate intr-un dulap nou, montat in PC5519 compartiment utilizator. Pentru preluarea in sistemul SCADA EDM, se vor transmite de la instalatia de producere energie electrica urmatoarele informatii: • Putere active, P; • Putere revtiva, Q, • Tensiune, U, • Frecventa, f, • Pozitie dispozitive de interfata, DI, sub forma de contact liber de potential. Toate aceste informatii vor fi transmise catreSCADA EDM, in unitatea periferica, UP nou prevazuta. Punerea in functiune a noi centrale se va face respectand „PROCEDURĂ din 17 aprilie 2019 de notificare pentru racordare a unităţilor generatoare şi de verificare a conformităţii unităţilor generatoare cu cerinţele tehnice privind racordarea unităţilor generatoare la reţelele electrice de interes public”</t>
  </si>
  <si>
    <t>13153091</t>
  </si>
  <si>
    <t>Imobil locuinte colective</t>
  </si>
  <si>
    <t>15677978</t>
  </si>
  <si>
    <t>08082570</t>
  </si>
  <si>
    <t>Campeador Green Energy S.R.L.</t>
  </si>
  <si>
    <t xml:space="preserve">CEF Lunca Mureșului 1 </t>
  </si>
  <si>
    <t>Alba</t>
  </si>
  <si>
    <t>CEF Lunca Mureșului 2</t>
  </si>
  <si>
    <t>15/19404</t>
  </si>
  <si>
    <t>16/19397</t>
  </si>
  <si>
    <t>Urechesti</t>
  </si>
  <si>
    <t>CEF Rovinari Est</t>
  </si>
  <si>
    <t xml:space="preserve">CEF Roşia Tismana </t>
  </si>
  <si>
    <t xml:space="preserve">CEF Halda Tismana </t>
  </si>
  <si>
    <t>Racordare in Lea 400 kV Urecheşti - CTE Rovinari G3+G4 printr-o staţie de transformare 400/110 kV echipată cu două transformatoare 400 MVA 400/110 kV</t>
  </si>
  <si>
    <t>24/19418</t>
  </si>
  <si>
    <t>25/19424</t>
  </si>
  <si>
    <t>26/19421</t>
  </si>
  <si>
    <t>SC SOHO AUTO SERVICE SRL</t>
  </si>
  <si>
    <t>BT</t>
  </si>
  <si>
    <t>HUDUM</t>
  </si>
  <si>
    <t>SC NEPI BUCHAREST TWO SRL</t>
  </si>
  <si>
    <t>CONTINENTAL AUTOMOTIVE SYSTEMS SRL</t>
  </si>
  <si>
    <t>Barele (MT) ale Statiei 110 / 20 kV Aeroport, in celuele nr. 1 si nr. 21, Sectia de Bare 1A, respectiv Sectia de Bare 1B</t>
  </si>
  <si>
    <t>AURORA MALL BUZAU SRL</t>
  </si>
  <si>
    <t>PC Panoramic Mall</t>
  </si>
  <si>
    <t>PLOIESTI SHOPPING CITY SRL</t>
  </si>
  <si>
    <t>BLEJOI</t>
  </si>
  <si>
    <t>PTAB Shopping City</t>
  </si>
  <si>
    <t>SOC. DE PRODUCERE A EN. EL. IN HIDROCENT</t>
  </si>
  <si>
    <t>CHE Hateg</t>
  </si>
  <si>
    <t>HATEG 110/20KV</t>
  </si>
  <si>
    <t>SUNPRO GREEN ENERGY S.R.L.</t>
  </si>
  <si>
    <t>PARC FOTOVOLTAIC MAURENI</t>
  </si>
  <si>
    <t>SGROM TEN SRL</t>
  </si>
  <si>
    <t>A20 ORTISOARA-ORTISOARA TM</t>
  </si>
  <si>
    <t>SC MM MOSNITA CONCEPT 2022 SRL</t>
  </si>
  <si>
    <t>A20 TOMNATIC-LOVRIN TM</t>
  </si>
  <si>
    <t>APTIV TECHNOLOGY SERVICES&amp;SOLUTIONS SRL</t>
  </si>
  <si>
    <t>Ţinând seama de situaţia energetică existentă precum şi de solicitarea beneficiarului, asigurarea sporului de putere se va realiza prin instalatiile existente respectiv PTZ 10166 Ineu Delphi racordat la statiile 110/20kV Pancota si 110/20kV Sebis prin LEA 20kV Mocrea respectiv LEA 20kV Barsa. Lucrari pe tarif de racordare : -inlocuirea transformatoarelor de curent existente cu transformatoare de curent TC 400/5A , (compatibili cu celula de masura existenta ), clasa de precizie 0,2S</t>
  </si>
  <si>
    <t>ELECTROMAGNETICA SA</t>
  </si>
  <si>
    <t>SEDIU FIRMA</t>
  </si>
  <si>
    <t>10737978</t>
  </si>
  <si>
    <t>S.C. LANTMENNEN UNIBAKE ROMANIA S.A.</t>
  </si>
  <si>
    <t>ALIMENTARE CU ENERGIE ELECTRICA</t>
  </si>
  <si>
    <t>11942918</t>
  </si>
  <si>
    <t>ISOMAT ROMANIA SRL</t>
  </si>
  <si>
    <t>Hala industriala +birouri</t>
  </si>
  <si>
    <t>16824602</t>
  </si>
  <si>
    <t>GEBRUDER WEISS SRL</t>
  </si>
  <si>
    <t>17190732</t>
  </si>
  <si>
    <t>PARC FOTOVOLTAIC 4 MW, EXTRAVILANUL COMUNEI BALTENI, SOLA 15, PARCELA 389, PUNCT BRODOC, NC 76166, LOC. BRODOC, COM. BALTENI, JUD. VASLUI</t>
  </si>
  <si>
    <t>racord LES MT in statia Vaslui</t>
  </si>
  <si>
    <t>Expert Fotovoltaic Energy SRL</t>
  </si>
  <si>
    <t>CEF Vetis 3</t>
  </si>
  <si>
    <t>30/23246</t>
  </si>
  <si>
    <t>220/110/20 kV Vetis</t>
  </si>
  <si>
    <t>SOLAR NEWPARKS TEIUS S.R.L.</t>
  </si>
  <si>
    <t>CEF SOLAR NEWPARKS TEIUS S.R.L.</t>
  </si>
  <si>
    <t>OT</t>
  </si>
  <si>
    <t>CEF OMV PETROM SA</t>
  </si>
  <si>
    <t>la stâlpul nr.191.1 proiectat in ax LEA 20 kV Scornicești – Potcoava;</t>
  </si>
  <si>
    <t>SC ARTEGO SA</t>
  </si>
  <si>
    <t>CEF SC ARTEGO SA</t>
  </si>
  <si>
    <t>LEC 6KV MEA 1, LEC 6KV MEA 2, LEC 6KV BENZI 1, LEC 6KV BENZI 2, LEC 6KV DOZARE 1 si LEC 6KV DOZARE 2 alimentate din Statia SRA 110/6KV CAUCIUC proprietate DEO SA</t>
  </si>
  <si>
    <t>CENTRO TRANS CORPORATION S.R.L</t>
  </si>
  <si>
    <t>CEF CENTRO TRANS CORPORATION S.R.L</t>
  </si>
  <si>
    <t>la stâlpul nr. 116A proiectat in ax LEA 20 kV Segarcea-Horezu Poienari;</t>
  </si>
  <si>
    <t>S.C.OLT PIESS S.R.L.</t>
  </si>
  <si>
    <t>CEF S.C.OLT PIESS S.R.L.</t>
  </si>
  <si>
    <t>la stalpul nr.5 al Racordului 20kV PTCZ Siloz din LEA 20KV Slatina N. - Coteana</t>
  </si>
  <si>
    <t>POWER CLOUDS SRL</t>
  </si>
  <si>
    <t>CEF POWER CLOUDS SRL</t>
  </si>
  <si>
    <t>stalpul nr. 7 tip SC 15014 aferent LEA 20 KV Scornicesti – Avicola Potcoava.</t>
  </si>
  <si>
    <t>3200090448</t>
  </si>
  <si>
    <t>SOLAR RENEWABLE SRL</t>
  </si>
  <si>
    <t>CEF SOLAR RENEWABLE SRL</t>
  </si>
  <si>
    <t>TR</t>
  </si>
  <si>
    <t>celula linie 20kV proiectata langa celula nr. A22 (sectia B) a distribuitorului 20kV din statia Harlesti</t>
  </si>
  <si>
    <t>celula linie 20kV langa celula nr. A01 (sectia A) a distribuitorului 20kV din statia 110/20kV Hârlești</t>
  </si>
  <si>
    <t>celula 20kV nr. A02 rezerva a distribuitorului 20kV din statia 110/20kV Hârlesti</t>
  </si>
  <si>
    <t>stalpul 280 existent in ax LEA 20 kV Slatina Nord-Oporelu</t>
  </si>
  <si>
    <t>SC SOLAR POWER ALPHA SRL</t>
  </si>
  <si>
    <t>CEF SC SOLAR POWER ALPHA SRL</t>
  </si>
  <si>
    <t>AG</t>
  </si>
  <si>
    <t>stalp nr.119 tip SE1 existent in  LEA 20 kV Mioveni-Domnesti</t>
  </si>
  <si>
    <t>GALICNORD SRL</t>
  </si>
  <si>
    <t>CEF GALICNORD SRL</t>
  </si>
  <si>
    <t>la stalpul 86 al LEA 110 kV Almaj - Moflesti</t>
  </si>
  <si>
    <t>GREEN CHOICE ENERGY S. R. L</t>
  </si>
  <si>
    <t>CEF GREEN CHOICE ENERGY S. R. L</t>
  </si>
  <si>
    <t>la stalpul 64 al LEA 110 kV Craiova Est – Bals.</t>
  </si>
  <si>
    <t>SOSTENIA BLUE EARTH S.R.L.</t>
  </si>
  <si>
    <t>CEF SOSTENIA BLUE EARTH S.R.L.</t>
  </si>
  <si>
    <t>in celula MT 20kV nou proiectata pe sectia 2 bare a statiei 110/20kV Topoloveni</t>
  </si>
  <si>
    <t>CONSILIUL LOCAL NOVACI</t>
  </si>
  <si>
    <t>CEF CONSILIUL LOCAL NOVACI</t>
  </si>
  <si>
    <t>in celula de racord MT 20kV proiectata in PTAB 2 Schela Novaci</t>
  </si>
  <si>
    <t>ENERGY PARTNERS ALPHA SOLAR S.R.L</t>
  </si>
  <si>
    <t>CEF ENERGY PARTNERS ALPHA SOLAR S.R.L</t>
  </si>
  <si>
    <t>in T la stilpul nr 4 a LEA 110 kV Dabuleni-Potelu</t>
  </si>
  <si>
    <t>DFG ACTIVE IMOBILIARE SRL</t>
  </si>
  <si>
    <t>CEF DFG ACTIVE IMOBILIARE SRL</t>
  </si>
  <si>
    <t>la stalpul nr. 92, din axul LEA 20kV Traian-Orlesti.</t>
  </si>
  <si>
    <t>CONSILIUL JUDETEAN VALCEA</t>
  </si>
  <si>
    <t>stalpul tip SC 15014 nr.8A, nou introdus in axul Racordului 20kV PTA Negraia 3</t>
  </si>
  <si>
    <t>SC GIREXIM UNIVERSAL SA</t>
  </si>
  <si>
    <t>stalpul nr. 19 tip SC 15014  al Derivatiei 20 KV Depozit Ecologic Albota din Racordul 20 KV PTA Meloplast alimentat din LEA 20 KV Pitesti Sud - Geamana.</t>
  </si>
  <si>
    <t>GABRIS IMPEX SRL</t>
  </si>
  <si>
    <t>Stalpul nr. 38 al LEA 20kV MAGURA-AVICOLA VITANESTI</t>
  </si>
  <si>
    <t>SC HOLCIM ROMANIA SA</t>
  </si>
  <si>
    <t>Statia de racord Adanc(SRA) Holcim</t>
  </si>
  <si>
    <t>Rigla de intrare in Statia de racord Adanc(SRA) Holcim</t>
  </si>
  <si>
    <t>17.11.2022</t>
  </si>
  <si>
    <t>utilizator existent, modificari tehnice in inst. de utilizare.</t>
  </si>
  <si>
    <t>SC EUROTECROM SRL</t>
  </si>
  <si>
    <t>la stalpul nr.13 al LEA 20 kV BARSESTI 2-CARIERA CALCAR cod SAP DS-HV-MP030101</t>
  </si>
  <si>
    <t>in PC 20 kV Gestamp proiectat in ax LEA 20kV Mioveni-Domnesti, racordat din st. nr. 67A, tip SC15015 proiectat</t>
  </si>
  <si>
    <t>R.A.AEROPORTUL INTERNATIONAL CRAIOVA</t>
  </si>
  <si>
    <t>Alim baza: Celula de linie de 20kV (C12) si Alim rez.1 : Celula de linie de 20 kV (C13) din PC 20kV 845 High Tech; Alim rez. 2: stalpul nr.7 al Deriv. 20kV PTCZ 140 Sediu Aeroport.</t>
  </si>
  <si>
    <t>FERMA FRANCESTI SRL</t>
  </si>
  <si>
    <t>Stalpul nr.43 tip SE8 al LEA 20kV Dragasani-Oras.</t>
  </si>
  <si>
    <t>AVICARVIL FOOD &amp; DISTRIBUTION SRL</t>
  </si>
  <si>
    <t>PC7 Babeni alimentat in bucla LES 20kV intre PTCZ Abator Pasari si LEA 20 kV Cazanesti-PAL</t>
  </si>
  <si>
    <t>GRENAD WOOD ART SRL</t>
  </si>
  <si>
    <t>La cutiile terminale ale LES 20KVin celula de racord din PTCZ 2</t>
  </si>
  <si>
    <t>31.10.2022</t>
  </si>
  <si>
    <t>SC UKS STAMPING SRL</t>
  </si>
  <si>
    <t>Stalpul nr. 137A tip SC 15014 proiectat in axul liniei Pitesti Sud-Cateasca</t>
  </si>
  <si>
    <t>TARMAC RO SRL</t>
  </si>
  <si>
    <t>stilpul nr.2 tip SE7 al Racordului 20kV PTA ALDESTI 1</t>
  </si>
  <si>
    <t>ORAS MIOVENI</t>
  </si>
  <si>
    <t>Capetele terminale ale cablurilor plecare spre consumator in celulele de racord din PC 20kV Spital Mioveni</t>
  </si>
  <si>
    <t>U.M. 01714 PITESTI</t>
  </si>
  <si>
    <t>La clemele de racordare ale racordului 20KV existent in axul LEA 20kV Bucla intre LEA 20KV Poiana Lacului-Pitesti Nord si LEA 20kV Pitesti Nord-PA Prundu</t>
  </si>
  <si>
    <t>SC MUSA PITESTI 96 SRL</t>
  </si>
  <si>
    <t>la papucii cablului de plecare LES 20kV, din celula de racord din PC Musa Cateasca existent, spre PTAB Musa 1</t>
  </si>
  <si>
    <t>in celulele de linie nou montata, la capetele terminale ale cablurilor de medie tensiune plecare spre consumator.</t>
  </si>
  <si>
    <t>PK EMERALD SRL</t>
  </si>
  <si>
    <t>La cutiile terminale de interior, tip CTI 20 kV, din celula de linie 20 kV din PC 20 kV PK Emerald proiectat</t>
  </si>
  <si>
    <t>CLUSTER POWER SRL</t>
  </si>
  <si>
    <t>clemele de legare ale Racordului 20 kV CLUSTER POWER la stalpul nr 8 al racordului 20 kV PTA Mlecanesti din LEA 20kV Ghercesti-Mischii Motoci.</t>
  </si>
  <si>
    <t>Clemele de iesire din separatorul 20kV amplasat pe ulitmul stalp nr. 4 tip SC15014</t>
  </si>
  <si>
    <t>ADELA INDCONS SRL</t>
  </si>
  <si>
    <t>Clemele de legatura ale racordului la stalpul nr 72 tip SC15014 al LEA 20kV Gradiste-UHE Ipotesti</t>
  </si>
  <si>
    <t>S7 PITESTI PROPERITY S.R.L</t>
  </si>
  <si>
    <t>La cutiile terminale de interior, tip CTI 20 kV, din celula de linie si masura 20 kV din PC 20kV Property Gavana nou proiectat</t>
  </si>
  <si>
    <t>PLOSE SRL</t>
  </si>
  <si>
    <t>CEF Ileana 2</t>
  </si>
  <si>
    <t xml:space="preserve">	
LEHLIU 110/20 KV</t>
  </si>
  <si>
    <t>Varianta 1 – Racordarea intrare–ieşire în LEA 110kV Tamadau– Lehliu, între stâlpii 36 – 37 1 Lucrari pe tarif de racordare: -,,plantarea în axul liniei a unui stalp special 110kV tip ITNTR 110244 5.3 B.R între stâlpii 36−37 ai LEA 110kV Tamadau–Lehliu echipat cu console pentru simplu circuit si funie OlAl 3x185 mm2; -,,Montare FO tip OPGW 12 fire pe tronsoanele nou formate LEA 110kV statia conexiune 110kV Ileana 2 – Tamadau si statia conexiune 110kV Ileana 2 – Lehliu, pentru asigurarea PDL, cca. 19,2 km (LEA Tamadau –Lehliu are o lungime totala de 19,144 km) -,,realizare statie electrica de conexiune 110 kV denumita Ileana 2, conectata intrare – ieşire in LEA 110kV Tamadau–Lehliu, între stâlpii 36−37 integrata in sistemul de telecontrol existent al Operatorului de Distributie; Statia de conexiune 110kV Ileana 2 intrare-iesire va fi prevăzuta cu: -,,doua celule 110 kV echipate complet, fiecare cu cate un întrerupător cu comanda unitripolara si RAR monofazat, 123 kV; 1600A; 40 kA; separator de linie si separator de bara 123 kV 1600A, 3xTT de tip inductiv, (110/√3)/)0,1/√3)kV/(0,1/√3)kV/(0,1/3) kV; 3x TC 123 kV 400/5/5/5A; -,,sistemul de protecție și automatizare ale celor două celule de linie electrică aeriană se va realiza prin două grupe de protecție – grupa de protecție 1 (GP1) și grupa de protecție 2 (GP2), echipate, conform NTE 011/02/00 si anume: -,,87L – protectie diferentiala de linie; -,,21 – protectie de distanta; -,,50/51 – protectie maximala de curent; -,,50N/51N – protectie maximala de curent homopolar; -,,67N - protectie maximala de curent homopolar directionata; -,,79 – functia de RAR monofazat ; -,,25 – control sincronism; -,,50BF – functia DRRI; -,,bară colectoare 110 kV rigida cu izolatoare suport ; -,,Separator de by-pass, fara clp, tripolar, 110 kV, 1600A, montat intre sosirile din LEA sectionata; -,,celula de 110 kV plecare spre utilizator echipata cu grup de masura, separator de bara cu CLP, set 3xTC300/5/5/5/5A, separator de linie cu 2 CLP, set 3xTT 110/√3//3x(0,1/√3)//0,1 kV, 3 Descărcător tip ZnO, 123 kV pe sosire LEA 110 kV; -,,servicii interne c.c. şi c.a.: serviciile interne de c.c. se vor asigura printr-o statie de energie, iar serviciile de c.a. 0,4 kV se vor asigura din instalatia Utilizatorului prin 2 surse independente; - echipamente telecomunicatii, echipament central de teleconducere a statiei; - instalatie de legare la pământ; - sistem de supraveghere antiefractie; - gard de împrejmuire şi drum de acces, etc. - montare analizor pentru monitorizarea calitatii energiei electrice; Echipamentul va trebui sa asigure in principal cerintele tehnice din specificatiile Enel -,,Transmiterea informatiilor: §,,P,Q, U, f în punctul de racordare/delimitare; §,,semnale de stare: cu/fără răspuns la variaţiile de frecvenţă, reglaj O/U" (comutarea regimului de reglaj putere reactivă/tensiune); §,,comenzi +poziţie întreruptor şi poziţie separatoare. Lucrari in staţia Tamadau: - Montare dulap de protecţie (baza si rezerva care sa aiba şi functia PDL); - Integrare în SCADA existent. Lucrari in staţia Lehliu: - Montare dulap de protecţie (baza si rezerva care sa aiba şi functia PDL); - Integrare în SCADA existent. 2.Lucrari realizate in regim de investitie proprie a utilizatorului: -,,Realizare racord aerian 110 kV (inclusiv FO) intre celula noua 110 kV din statia de conexiune pana in statia de transformare aferenta aferenta utilizatorului in lungime de cca 20m -,,Montare celula trafo 110 kV cu protectii aferente , transformator de putere 40 MVA 110/33 kV, container MT complet echipat,dulapuri protectii,dulapuri SI-cc;ca,baterii; Dulap SCADA, terminal telecomunicatii -,,realizare cai de comunicatie de la instalatiile de monitorizare si instalatiile de reglaj secundar ale noii centrale pana la interfata cu Transelectrica; montare analizor pentru monitorizarea calitatii energiei electrice.</t>
  </si>
  <si>
    <t>23/01/2023</t>
  </si>
  <si>
    <t>ROMCIM S.A.</t>
  </si>
  <si>
    <t xml:space="preserve">	
Fabrica de ciment</t>
  </si>
  <si>
    <t>955225</t>
  </si>
  <si>
    <t>ZACK - COM IMPEX SRL</t>
  </si>
  <si>
    <t>ATELIER TAMPLARIE ALUMINIU SI PVC</t>
  </si>
  <si>
    <t>Basarabi</t>
  </si>
  <si>
    <t>15675061</t>
  </si>
  <si>
    <t>AGENTIA NATIONALA DE IMBUNATATIRI FUNCIARE - TULCEA</t>
  </si>
  <si>
    <t>Statie de pompare SPA CETATE</t>
  </si>
  <si>
    <t>Macin</t>
  </si>
  <si>
    <t xml:space="preserve">	
21/02/2023</t>
  </si>
  <si>
    <t xml:space="preserve">	
3.690</t>
  </si>
  <si>
    <t>Statie de pompare SPA PECENEAGA</t>
  </si>
  <si>
    <t>Traian</t>
  </si>
  <si>
    <t>22/02/2023</t>
  </si>
  <si>
    <t>Statie de pompare</t>
  </si>
  <si>
    <t>UM02016 - REGIMENTUL DE INFANTERIE MARINA</t>
  </si>
  <si>
    <t>Lucrari de interventie la infrastructura din cazarma 2645 Babadag</t>
  </si>
  <si>
    <t>Babadag</t>
  </si>
  <si>
    <t xml:space="preserve">	
17/03/2023</t>
  </si>
  <si>
    <t>ANIF FILIALA TERITORIALA DE IMBUNATATIRI FUNCIARE CONSTANTA</t>
  </si>
  <si>
    <t>STATIE DE POMPARE</t>
  </si>
  <si>
    <t>Siriu</t>
  </si>
  <si>
    <t>19/04/2023</t>
  </si>
  <si>
    <t>SOLARIS PARK EIGHT S.R.L.</t>
  </si>
  <si>
    <t>SOLARIS PARK EIGHT SRL CEF</t>
  </si>
  <si>
    <t>A20 BIRSA-SEBIS AR</t>
  </si>
  <si>
    <t>CONTITECH ROMANIA S.R.L.</t>
  </si>
  <si>
    <t>Otto Rudolf nr. 1</t>
  </si>
  <si>
    <t>In postul de transformare T 41776 se va monta o celula de linie 24kV ,630A,Isc=16KA,cu separator de sarcina in SF6(cf.DY803/416). In postul de transformare T 41790 se vor inlocui celulele existente cu 2 celule de linie 24kV,630A,Isc=16KA,cu separator de sarcina in SF6(cf.DY803/2) si o celula de masura DY 803M/316-1UT ed 02 cu separator si grup de masura format din două transformatoare de tensiune 20/0,1 kV, clasa de precizie 0,5 şi doua transformatoare de curent de 50/5A, clasa de precizie 0,2S si contor electronic trifazat static (afisaj LCD) , In=5/20A , Un=3x100/57V, clasa de precizie 0,5 dotate cu curba de sarcina si interfata de comunicatie RS 232 si modul comunicatie GSM amplasat intr-o cutie de masura; In postul de transformaare T 41776 se vor inlocui reductorii existenti cu doua transformatoare de curent de 400/5A, clasa de precizie 0,2S si contor electronic trifazat static (afisaj LCD) , In=5/20A , Un=3x100/57V, clasa de precizie 0,5 dotate cu curba de sarcina si interfata de comunicatie RS 232 si modul comunicatie GSM . Se va poza un cablu 1x3x185mmp in lungime de 140m din care 2x10m foraj asfalt, 35m zona betonata ,55m zona verde,intre posturile T41776 si T41790. Alimentarea de baza va fi LES 20kV nr 8 din statia 110/20kV Freidorf, iar alimentarea de rezerva va fi LEA nr 4 FZT 20kV din statia 110/20kV Freidorf. Celule se vor echipa termohigrostat si sistem de incalzire vertical. *instalatia de utilizare a abonatului (priza de pamint, cu valoarea rezistentei de dispersie de maxim 4 ohmi, calea de curent dintre locul de delimitare si locul de consum al solicitantului) se recomanda a se realiza cu cablu electric avand sectiunea minima de 16 mmp, pozat inaintea executiei lucrarilor stabilite prin prezentul aviz tehnic de racordare. **Abonatul va depune dosar definitiv pentru instalatia electrica de utilizare in aval de punctul de delimitare.Dosarul definitiv va fi elaborat de catre un electrician autorizat ANRE, prin grija si cheltuiala consumatorului.</t>
  </si>
  <si>
    <t>SC TRADE TRANS COMBI SRL</t>
  </si>
  <si>
    <t>Alimentare cu energie electrica spatii servicii, parcare securizata, anexe acces sens giratoriu</t>
  </si>
  <si>
    <t>CURTICI</t>
  </si>
  <si>
    <t>Din LEA 20kV CURTICI - Sântana tronsonul LES 20kV cuprins intre statia 110/20kV – PT 4735 prin realizarea urmatoarelor lucrari: I. Lucrări finantate pe baza tarifului de racordare plătit de beneficiar la E-Distributie Banat: - Realizare LES 20 kV în lungime de cca.2x30 m, cu cablu de Al 2x(3x185 mmp), conform GSC001 REV05, montat în tub, în vederea racordării la LES 20 kV Sântana – CURTICI între statie si PT 4735; - Echiparea compartimentului de racordare din noul PC 20 kV alimentat din LES 20 kV proiectată, cu: 2 buc. celule de linie de 24kV, 630A, 16 kA(1s), cu separator de sarcină în SF6 si CLP, conform DY803/2-LE ed.3 (trebuie sa permita o dezvoltare ulterioara cu montare echipamente MT); 1 buc. celulă de măsură cu separator de sarcină, conform DY803/4-UTM ed.3, echipată cu două TT 20/0,1 kV, conform DMI031015 RO, cls.0,5 si două TC 50/5A conform DM031052 RO, cls.0,2S; 1 buc. tablou pentru servicii auxiliare conform DY3016 RO ed.2, rezistente în celulele MT si termo-hidrostat în PC, care vor fi alimentate de la reteaua de j.t. a clientului; PC va fi amplasat astfel incat accesul sa fie direct din domeniul public. Compartimentul în care sunt amplasate instalatiile de racordare, este cu exploatare din interior si cu acces direct din exterior. Compartimentul de racordare este dotat cu tablou electric pentru servicii auxiliare conform DY3016 RO ed.2, alimentat de la reteaua de j.t. a clientului. Instalatia de racordare contine echipamentele de manevră si sectionare ale E-Distributie Banat. Compartimentul în care sunt amplasate instalatiile de racordare, trebuie să permită montarea de echipamente, să fie cu exploatare din interior si să fie cu acces direct din exterior. II. Lucrari finantate de catre operatorul de distributie: - Realizarea grupului de măsurare a energiei electrice pe MT, prin montarea unui contor electronic trifazat 2x100V, 5A, cu curbă de sarcină, cu sistem de teletransmisie, în montaj indirect (TT 20/0,1kV conform DMI031015 RO, cls.0.5, TC 50/5A conform DM031052 RO, cls.0,2S si cordon de conectare grup de măsurare conform DMI031011 RO). Contorul va fi astfel amplasat încât să fie posibilă citirea lui din exteriorul PC atât de către client cat si de distribuitor. III. Lucrări finantate de beneficiar, realizate prin grija lui: - Clădirea punctului de conexiune cu două compartimente, unul pentru instalatiile electrice din gestiunea E-Distributie Banat si unul pentru instalatiile electrice ale utilizatorului. Compartimentul de racordare va fi cu exploatare din interior si cu acces direct din exterior, un gabarit care să permită montarea de celule MT si va avea caracteristicile, astfel: a) cabina în anvelopă prefabricată sau în constructie zidită cu caracteristici structurale cel putin echivalente cu cele din prescriptiile E-Distributie DG10061 RO; b) înglobată în constructie (clădire civilă), care trebuie să aibă caracteristicile structurale cel putin echivalente cu cele din prescriptiile E-Distributie DG2092 RO; Asigurarea izolării postului, a măsurilor de PSI, a accesului în instalatii si protectiei fată de eventualele inundatii sau acumulări de gaze, vor fi în responsabilitatea proiectantului, constructorului si proprietarului părtii de constructie a punctului de conexiune. PC va avea acces în compartimentul de racordare direct din exterior. - LES 20kV cat mai scurtă posibil (max. 20m), cu cablu de cupru de sectiune min.95 mmp, între celula de măsură din compartimentul de racordare si celula cu înterupător din compartimentul utilizatorului; - Celulă sosire echipată cu un separator tripolar si a unui întrerupător automat în compartimentul utilizatorului. Întrerupătorul va fi obligatoriu prevăzut cu sistem de protectie generală maximală de curent si împotriva defectelor de punere la pămînt, cu reglajul corelat cu celelalte protectii din instalatiile E-Distributie Banat; - Instalatia iluminat interior, prize si instalatia de legare la pământ a clădirii PC; - Realizarea instalatiei de utilizare. Indicatorii de fiabilitate la nivelul barei de MT din punctul de conexiune sunt: - Număr mediu de defecte eliminate prin reparatii si manevre/an: 2; - Durata medie a unei restabiliri prin reparatii: 18h; - Durata maximă a unei restabiliri prin reparatii: 41h; Traseele retelelor electrice si amplasamentul PC proiectat, se vor stabili în cadrul proiectului tehnic de către proiectantul de specialitate, conform avizelor obtinute si de comun acord cu clientul, astfel încît să permită accesul pentru mentenantă si înlocuirea instalatiilor electrice defecte în timp util. Proiectul tehnic se va aviza în CTE a E-Distributie Banat. Se respectă distantele de sigurantă conform Ordin ANRE 239/19 “Normă tehnică privind delimitarea zonelor de protectie si de sigurantă aferente capacitătilor energetice”.</t>
  </si>
  <si>
    <t>PROSPER GREEN ENERGY SRL</t>
  </si>
  <si>
    <t>A20 PETRACHIOAIA-CACIULATI IF</t>
  </si>
  <si>
    <t>Conform aviz CTE nr. 21/3/20.03.2023, faza studiu de solutie si anume: Lucrari pe tarif de racordare - sectionarea LES(LEA) 20kV Petrachioaia existenta, intre intre T7905 si T7805 (la intersectia DE cu strada Busuiocului) si mansonarea cu LES 20kV nou proiectata cu cablu 2x Al 3x(1x185) mmp, cu izolatie XLPE in lungime de 2x100m pozat in tub de protective pe toata lungimea; - punct de conexiuni 20 kV proiectat in anvelopa de beton, amplasat in apropierea punctului de racord Echiparea compartimentului de racordare al punctului de conexiuni 20 kV ce se va amplasa pe terenul CEF Dascalu cu: ? 2 celula de linie motorizate 24 kV, 630A, 16 kA cu separator de sarcina in SF6 conf. Specificatie Enel ?,, o celula de masura cu separator si grup de masura format din dou? transformatoare de tensiune 20/0,1 kV, clasa de precizie 0,5 ?i dou? transformatoare de curent de 400/5A, clasa de precizie 0,2S si contor electronic trifazat static (afisaj LCD), In=5(6)A , Un=3x100/57V, clasa de precizie 0,2s dotate cu curba de sarcina si interfata decomunicatie RS 232 si modul comunicatie GSM amplasat intr-o cutie de masura; cutia de masura se va amplasa intr-o nisa cu posibilitatea vizualizarii atat de catre E-Distributie cat si de catre beneficiar.Contorul va fi pus la dispozitie de catre operator. ? integrarea in telecontrol a celulelor de linie si masura din PC 20kV proiectat prin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Tensiunea 0,4 kV necesara telecontrolului va fi asigurata din instalatiile beneficiarului.  Lucrari ce se realizeaza prin grija beneficiarului: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m?sur? din compartimentul de racordare ?i celula cu înterup?tor din compartimentul utilizatorului ; - Dispozitivul general -celula sosire cu intrerupator automat si separator in compartimentul utilizatorului (DG) cu urmatoarele protectii: Sistemul de protectie general (SPG) asociat dispozitivului general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 protectie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 întrerup?torul general (DG), spre produc?tor.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instala?ie de legare la pãmânt la PC 20kV proiectat cu R? 1?. p ? LES 20kV intre PC 20kV proiectat si CEF in lungime de 620m ? 2 posturi de 1000kVA; 20 / 0,4kV de transformare din incinta CEF dascalu ? Asigurare accesului la PC 20kV proiectat pentru EDM.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</si>
  <si>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10404195</t>
  </si>
  <si>
    <t>REMAT BUCURESTI SUD SRL</t>
  </si>
  <si>
    <t>IMOBIL+CENTRALA FOTOVOLTAICA 2,4MW SI IMPREJMUIRE</t>
  </si>
  <si>
    <t>S20 PECO 1-JILAVA IF</t>
  </si>
  <si>
    <t>Conform aviz CTE nr. 25/1/27.03.2023, faza studiu de solutie si anume:
A fost luata in considerare realizarea unei singure solutii de racordare astfel : modificarea locului de consum existent in loc de consum si producere nou prin instalatia de racordare noua avand in vedere ca delimitarae de gestiune nu coincide cu masura.Astfel instalatia de racordare noua consta din: - punct de conexiune proiectat , amplasat la limita de proprietate ,cu access din domeniul public , inseriat intrare iesire in LEA(LES) 20kV PECO 2 din st.110/20kV kV Jilava.
a) Lucrarile pe tarif de racordare
- mansonare LES 20kV existenta sosire dinspre PCZ 2602 cu LES 20kV proiectata, pozata catre PC 20kV proiectat
- pozare LES 20kV intre PC 20kV proiectat si stalpul de derivatie catre SEP 2638 (PCZ 20414)
- PC 20 kV proiectat in anvelopa de beton amplasat la limita de proprietate echipat cu:
• 2 celule de linie motorizate 24 kV, 630A, 16 kA cu separator de sarcina in SF6 conf. DY803/416-LE
• o celula de masura conf. DY 803M/316-1UT cu separator si grup de masura format din două transformatoare de tensiune 20/0,1 kV, clasa de precizie 0,5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celulelor de linie si masura din PC 20kV proiectat prin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Achizitia si montarea contorului de revin in sarcina Operatorului de Distributie. Tensiunea 0,4 kV necesara telecontrolului va fi asigurata din instalatiile beneficiarului.
b) Lucrari ce se realizeaza prin grija beneficiarului: -demontarea racordurilor catre PCZ 20414 si a stalpilor cu separator gestiune utilizator si anume : SEP 2635 si SEP 2638 - Anvelopa de beton compusa din doua incaperi cu acces separat fiecare, o incapere fiind pentru montarea echipamentelor 20 kV EDM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Compartimentul d eutilizare va fi echipat cu: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maximala de curent cel putin pe doua faze, cu trei trepte. Prima treapta se foloseste impotriva suprasarcinii, a doua pentru a permite o functionare temporizata si a treia pentru a permite o interventie rapida. - protectie homopolară directionala cu doua trepte ( o treata pentru punerile la pamant simple, si a doua treapta pentru duble puneri la pamant ) - doua celule linie 24kV plecare spre PCZ 20414 - preluare cabluri 20kV existente gestiune utilizator pe celulele de linie proiectate - serviciile interne in compartimentul de racordare se vor asigura din transformatorul monofazat de 4 kVA montat în compartimentul utilizatorului, după întrerupătorul general (DG), spre producător. -montare analizor pentru monitorizarea calitatii energieielectrice; In compartimentul utilizator, se vor instala traductoarele de putere activa P,Q montate astfel incat sa insumeze energie produsa de CEF REMAT. Semnalele de iesire ale traductoarelor, impreuna cu cel de pozitie al dispozitivului general DG/DI, vor fi disponibile intr-un sir de cleme. De la sirul de cleme pana la UP 2020 LITE amplasat in compartimentul EDM, semnalele vor fi transmise printr-un cablu special ecranat, care va face parte impreuna cu cu traductoarele, din instalatia de utilizare. Pentru racordarea centralei CEF Remat 2.4 MW se propune un racord in celula 6 kV Utilizator.Astfel se va prevedea un dispozitiv, denumit Dispozitiv de Interfaţă (DI) pe partea de 6kV in scopul de a garanta separarea instalaţiei de producere de reţeaua de distribuţie în caz de întrerupere de la reţea. 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mediata la 10 minute. Beneficiarul este responsabil pentru limitarea defectului in cazul unei avarii pe bara de 6 kV, utilizand mijloacele de protectie automatizate pentru reducerea impactului asupra barei de 20 kV. Protectiile Celulelor vor fi conform Ord.132 / 2020 si se vor conforma cerintelor Operatorului de Retea. Instalatia fotovoltaica se va conecta la doua transformatoare 6/0 ,4kV-1000kVA;1600kVA dedicate , conform schemei monofilare a instalatiei de utilizare prezentate.</t>
  </si>
  <si>
    <t>10098974</t>
  </si>
  <si>
    <t>ALTEX ROMANIA SRL</t>
  </si>
  <si>
    <t>Depozit+CEF</t>
  </si>
  <si>
    <t>S20 POLLO-DRAGOMIRESTI IF</t>
  </si>
  <si>
    <t>Conform  CTE nr. 17/1/07.03.2023, faza studiu de solutie, si anume:
 modificarea locului de consum existent in loc de consum si producere nou prin instalatia de racordare existenta conform ATR nr. 03803184/16.04.2019 si anume : punctul de conexiune existent nr.5611* , prin care se face alimentarea, racordat intrare – iesire L20kV Polo din st.Dragomiresti, in sistem intrare-iesire intre PC5263 si PT5551*.
Lucrarile pe tarif de racordare în PT 5611* ,, Pentru transmiterea informatiilor aferente CEF catre SCADA EDM, in postul de transformare PT 5611* se vor monta urmatoarele echipamente:
- inlocuire UP existent cu unitate periferica capabila să telecontroleze 16 aparate de comutare, conform GSTR 006;
- inlocuirea TC 50/5A cu doua transformatoare de curent 400/5A cl 0,2s, conform specificatiei tehnice DM 031052 RO, montate in celula de masura existenta.
Lucrari ce se realizeaza prin grija beneficiarului:  Energia eletrica produsa de centrala fotovoltaica va fi debitata in reteaua de distributie EDM, folosind punctul de conexiune existent, prin care se face alimentarea, respectiv PT 5611*.
Conform datelor primite de la beneficiar centrala fotovoltaica este formata din: •panouri Hanwha Q CELLS GmbH -5976 buc panouri fotovoltaice cu Pi=405Wp ; 1848 buc panouri fotovoltaice cu Pi=375Wp montate in combinatie cu invertoare SUGROW cu putere nominală invertor 110kW-22 buc si 10 buc invertoare cu Pi=60kW
• Tablou curent alternativ TE1 – CEF – TGD1 trafo 1x800kVA, TE2 – CEF – TGD2 trafo 1x1600kVA, TE3 – CEF – TGD3 trafo 1x1600kVA, 0,4 kV cu protecţii 3 buc;
• Circuite electrice de curent continuu (CC);
• Circuite electrice de curent alternativ (CA);
• Sisteme de prindere panouri solare .
Racordul centralei fotovoltaice se va realiza in tablou electric general existent aferent trafo 800kVA, si in tablouri electricegenerale proiectate, aferente trafo noi 1x1600kVA, ale beneficiarului. Noile tablouri generale si noile transformatoare vor fi montate în postul de transformare 5611* compartiment utilizare. In fiecare tablou TE-CEF este prevazut pe legatura cu tabloul general unde se racordeaza, cu un intreruptor motorizat impreuna cu un releu multifunctional care va realiza comanda (open/close) a motorului intreruptorului. Aceste intrerupatoare vor avea rol de dispozitiv de interfata, DI, si vor fi declansate prin intermediul releului multifunctional,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Valorile de reglaj ale dispozitivelor de interfata vor avea reglajele prevazute in Ord 132/2020 In cazul defectiunilor releului atasat fiecarui dispozitiv de interfata sau in cazul lipsei alimentarii acestuia va fi declansat intrerupatorul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 in vederea montarii unui contor electronic pus la dispozitie de E Distributie Muntenia. COMUNICATII In fiecare TE CEF se va monta un analizor de energie clasa A . De la fiecare analizor instalat in TE CEF-uri se va folosi comunicatie RS485 cu protocol MODBUS, pentru a transmite informatii de putere activa/reactiva, catre un PLC instalat intr-un dulap montat in PT1. De la PLC catre Unitatea Periferica existenta in PT 5611*, vom folosi ieșirile analogice 4-20mA ale acestuia. Conversia, însumarea si scalarea semnalelor de putere activa/reactiva, se va face in softul din PLC. In PT5611*, compartiment utilizator pe celula DG se vor monta 3TC 100/5, cls. 0,2s, 20VA, iar pe sectia de bara aferente 3TT 20/1,73//0,1/1,73//0 ,1/3/5A, clasa de exactitate masura 0,2, putere 20VA, clasa de exactitate protectie 3P, putere 20VA. Prin intermediul acestor transformatoare de curent si tensiune, nou montate, se va racorda un analizor calitatea energie clasa A, (certificate PSL) pentru monitorizare permanenta calitate energie 20kV, si un traductor de tensiune si frecventa tip MC2UP, pentru transmitere in SCADA EDM informatia de tensiune 20kV. Traductorul tip MCUP va fi prevazut cu iesiri 4-20mA, direct proportionale cu tensiunea, prin intermediul caruia se va face transmiterea informatiei de tensiune catre catre UP existenta. Traductorul si analizorul vor fi montate intr-un dulap nou, montat in PT5611*, compartiment utilizator. Pentru preluarea in sistemul SCADA EDM, se vor transmite de la instalatia de producere energie electrica urmatoarele informatii: •,,• Putere active, P; •,,• Putere revtiva, Q, •,,• Tensiune, U, •,,• Frecventa, f, •,,• Pozitie dispozitive de interfata, DI, sub forma de contact liber de potential. Toate aceste informatii vor fi transmise catre SCADA EDM, in unitatea periferica, UP nou prevazuta. Punerea in functiune a noi centrale se va face respectand „PROCEDURĂ din 17 aprilie 2019 de notificare pentru racordare a unităţilor generatoare şi de verificare a conformităţii unităţilor generatoare cu cerinţele tehnice privind racordarea unităţilor generatoare la reţelele electrice de interes public”. Echipare post detransformare PT5611* - compartiment utilizator In vederea preluarii energiei produse de instalatia fotovoltaica compartimentul utilizatorului se va echipa cu: - 1 celula DG, existenta, ce se va echipa cu 3TC 100/5, cls. 0,2s, 20VA, toroidali; - 1 celula protectie trafo cu sigurante fuzibile – celula proiectata aferenta 800kVA existent, - 2 celule de protectie trafo cu intrerupator – celule proiectate aferente trafo noi 1600kVA; - 1 celula masura echipata cu 3TT 20/1,73//0,1/1,73//0,1/3/5A, clasa de exactitate masura 0,2, putere 20VA, clasa de exactitate protectie 3P, putere 20VA; - 2 transformatoare de putere 1600kVA, 20/0,4kV.</t>
  </si>
  <si>
    <t>12982167</t>
  </si>
  <si>
    <t>CROSS CITY RETAIL SRL</t>
  </si>
  <si>
    <t>IMOBIL HOTEL+SPATII COMERCIALE</t>
  </si>
  <si>
    <t>17269966</t>
  </si>
  <si>
    <t>DIRECTIA GENERALA DE PROTECTIE INTERNA</t>
  </si>
  <si>
    <t>17204552</t>
  </si>
  <si>
    <t>THERME NORD BUCURESTI S.R.L.</t>
  </si>
  <si>
    <t>CENTRU AGREMENT</t>
  </si>
  <si>
    <t>10.02.2017</t>
  </si>
  <si>
    <t>25.01.2018</t>
  </si>
  <si>
    <t>BIP FRONT 87 SRL</t>
  </si>
  <si>
    <t>SPATIU DE DEPOZITARE SI BIROURI</t>
  </si>
  <si>
    <t>159586686</t>
  </si>
  <si>
    <t>13.09.2016</t>
  </si>
  <si>
    <t>UNIVERSITATEA DE ARHITECTURA SI URBANISM " ION MINCU "</t>
  </si>
  <si>
    <t>UNIVERSITATEA DE ARHITECTURA ION MINCU</t>
  </si>
  <si>
    <t>585752</t>
  </si>
  <si>
    <t>28.10.2014</t>
  </si>
  <si>
    <t>10.11.2015</t>
  </si>
  <si>
    <t>Inst Nat de Cercet-Dezv in Informatica -  ICI BUCURESTI</t>
  </si>
  <si>
    <t>CENTRU DE DATE - CORP B</t>
  </si>
  <si>
    <t>110236101</t>
  </si>
  <si>
    <t>15.05.2014</t>
  </si>
  <si>
    <t>13.02.2015</t>
  </si>
  <si>
    <t>CONLUX DEVELOPMENT SRL</t>
  </si>
  <si>
    <t>HOTEL</t>
  </si>
  <si>
    <t>149150767</t>
  </si>
  <si>
    <t>01.03.2016</t>
  </si>
  <si>
    <t>07.03.2016</t>
  </si>
  <si>
    <t>CEF ROMSTAL VITAN</t>
  </si>
  <si>
    <t>S10 T3826-PA2770 CEL 19 BUC</t>
  </si>
  <si>
    <t>Racordarea unui spor de putere pe consum si pe evacuare pentru locul de consum si de producere ce apartine SC ROMSTAL IMEX SRL situat in BUCURESTI, SECTOR 4, str.SOS. VITAN BARZESTI, nr. 11A, nr. Cadastral 209703,209714.  .Solutia de racordare conform aviz CTE 25/2/27.03.2023- Varianta 1:cablu distribuitor 10kV T 3826 din PA 2770 A. Lucrari pe tarif de racordare - demontare echipamente si grupul de masura existent din PTAB 3826 gestiune E-DM -racordare PC 20kV proiectat cu functionare la 10kV prin mansonarea cablurilor existente de 10kV cu cabluri noi 20kV tipul ARE4H5(AR)E 3x(1x185)AL mmp in lungime de 2x15m in zona adiacenta PT 3826 - PC 20 kV proiectat in anvelopa de beton echipat cu: ? 2 celule de linie motorizate 24 kV, 630A, 16 kA cu separator de sarcina in SF6 conf. DY803/416-LE cu functionare la 10kV ? o celula de masura conf. DY 803M/316-1UT cu separator si grup de masura format din dou? transformatoare de tensiune 10/0,1 kV, clasa de precizie 0,5 ?i dou?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celulelor de linie si masura din PC 20kV proiectat(cu functionare la 10kV) prin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Achizitia si montarea contorului de revin in sarcina Operatorului de Distributie. Tensiunea 0,4 kV necesara telecontrolului va fi asigurata din instalatiile beneficiarului. B. LUCR?RI FINAN?ATE DE BENEFICIAR, realizate prin grija lui, ce devin proprietatea acestuia - Anvelopa de beton compusa din doua incaperi cu acces separat fiecare, o incapere fiind pentru montarea echipamentelor 20(10) kV EDM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m?sur? din compartimentul de racordare ?i celula cu înterup?tor din compartimentul utilizatorului ; - Dispozitivul general -celula sosire cu intrerupator automat si separator in compartimentul utilizatorului (DG) cu urmatoarele protectii: Sistemul de protectie general (SPG) asociat dispozitivului general cuprinde: -protec?ie maximal? de curent cel pu?in pe doua faze, cu trei trepte. Prima treapta se folose?te împotriva suprasarcinii, a doua pentru a permite o functionare temporizata ?i a treia pentru a permite o interven?ie rapid?; -protec?ie homopolar? direc?ional? cu dou? trepte (o treapta pentru punerile la pamant simple, ?i a doua treapta pentru duble puneri la pamant) Pentru racordarea locului de consum si de producere in plus fata de DG (dispozitiv general) se va prevedea un dispozitiv, denumit Dispozitiv de Interfa?? (DI) in scopul de a garanta separarea instala?iei de producere de re?eaua de distribu?ie în caz de întrerupere de la re?ea. 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mediata la 10 minute. - serviciile interne in compartimentul de racordare se vor asigura din transformatorul monofazat de 4 kVA montat în compartimentul utilizatorului, dup? întrerup?torul general (DG), spre produc?tor. -montare analizor pentru monitorizarea calitatii energiei electrice In compartimentul utilizator, se vor instala traductoarele de putere activa P,Q montate in compartimentul utilizator. Acestea se vor racorda in circuitele de masura ale transformatoarelor de curent si de tensiune. Semnalele de iesire ale traductoarelor, impreuna cu cel de pozitie al dispozitivului general DG/DI,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LES 20kV intre PC 20kV proiectat si posturile de transformare utilizator - Posturi trafo si tablouri jt aferente locului de consum si de producere 2x1000kVA 20(10)/0,4kV - Asigurare accesului la PC 20kV proiectat pentru EDM. Instalatia fotovoltaica se va conecta la un transformator 20(10)/0 ,4kV-1000kVA dedicat , conform schemei monofilare a instalatiei de utilizare prezentate. Suplimentar se va monta un dulap sigilabil echipat complet cu grup de masura semidirecta (TC, cleme si conectica) dimensionat pentru puterea debitata de CEF in vederea montarii unui contor electronic (pentru contorizarea energiei produse) pus la dispozitie de E-Distributie Muntenia.Pentru varianta propusa, instalatiile de utilizare vor fi prevazute cu instalatii de protectii adecvate cu o temporizare de maxim 150 ms, care sa nu permita functionarea producatorului conectat la reteaua de distributie, in regim insularizat. Anvelopa de beton va fi dimensionata in conformitate cu dezvoltarile ulterioare ale locului de consum si producere respectiv tinand cont de intentia utilizatorului de a separa in mai multe locuri de consum si producere.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</si>
  <si>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12056404</t>
  </si>
  <si>
    <t>ECOSYSTIMA CONSTRUCT S.R.L.</t>
  </si>
  <si>
    <t>IFA MAGURELE</t>
  </si>
  <si>
    <t>EAGLE DEVELOPMENT ESTATE S.R.L.</t>
  </si>
  <si>
    <t>FUNDENI</t>
  </si>
  <si>
    <t>ANTO SOLAR ENERGY SRL</t>
  </si>
  <si>
    <t>LEA 20 kV TILEAGD-CHE CRISURI</t>
  </si>
  <si>
    <t>ARELI REAL ESTATE S.R.L.</t>
  </si>
  <si>
    <t>celula 20 kV "Ferma de Porci" din Statia 220/110/20 kV Vetis</t>
  </si>
  <si>
    <t>UM 01969 CAMPIA TURZII</t>
  </si>
  <si>
    <t>LUNA</t>
  </si>
  <si>
    <t>Statia 220/110/20 kV Campia Turzii</t>
  </si>
  <si>
    <t>PGS SOFA &amp; CO SRL</t>
  </si>
  <si>
    <t>BIHARIA</t>
  </si>
  <si>
    <t>LEA 20 KV BIHARIA_x0002_MARGHITA</t>
  </si>
  <si>
    <t>TN8888</t>
  </si>
  <si>
    <t>REMATINVEST SRL</t>
  </si>
  <si>
    <t>Statia 400/110/10 kV Cluj EST apartinand Transelectrica SA, distribuitor LES 10 kV Petrolifer, LES 10 kV intre PTM Baza 2 Electromontaj si PTZ Santier Drumuri si Poduri, LES 10 KV EST - PETROLIFER, - kV, - kVA</t>
  </si>
  <si>
    <t>ORGANIZARE DE SANTIER PARTIAL DEFINITIVA</t>
  </si>
  <si>
    <t>MUNICIPIUL ORADEA</t>
  </si>
  <si>
    <t>statia 110/20 kV CET2 la nivelul barei nr.2 - 20 kV; Alimentarea nr.2 : Din statia 110/20 kV Nufarul la nivelul barelor 1 si 2 - 20 kV., LES 20 KV CET II-STATIA NUFARUL</t>
  </si>
  <si>
    <t>INSTANT ENERGY SRL</t>
  </si>
  <si>
    <t>LIESTI</t>
  </si>
  <si>
    <t>ST. LIESTI 110/20 kV</t>
  </si>
  <si>
    <t>CLEAN TAG SRL</t>
  </si>
  <si>
    <t>INSURATEI</t>
  </si>
  <si>
    <t>ST. INSURATEI 110/20 kV</t>
  </si>
  <si>
    <t>SYNERGY SOLAR INDEPENDENTA S.R.L.</t>
  </si>
  <si>
    <t>INDEPENDENTA</t>
  </si>
  <si>
    <t>LEA 20 KV SCHELA PORCINE</t>
  </si>
  <si>
    <t>SOTANGA</t>
  </si>
  <si>
    <t>RADIOKART ENERGY SRL</t>
  </si>
  <si>
    <t>TITU</t>
  </si>
  <si>
    <t>ST. TITU 110/20 kV</t>
  </si>
  <si>
    <t>MHC WATER POWER S.A.</t>
  </si>
  <si>
    <t>DOICESTI</t>
  </si>
  <si>
    <t>LEA 20 KV DOICESTI</t>
  </si>
  <si>
    <t>ALPISMART SRL</t>
  </si>
  <si>
    <t>SURDILA - GAISEANCA</t>
  </si>
  <si>
    <t>ST. FAUREI 110/20 kV</t>
  </si>
  <si>
    <t>Galati</t>
  </si>
  <si>
    <t>OMV PETROM S.A.</t>
  </si>
  <si>
    <t xml:space="preserve"> LEA 20 kV SRPA 02, ShIp nr. 185</t>
  </si>
  <si>
    <t>MN5444</t>
  </si>
  <si>
    <t>SOLAR ENERGY DEVELOPMENT S.R.L</t>
  </si>
  <si>
    <t>SAHATENI</t>
  </si>
  <si>
    <t>TRACE GROUP HOLD AD SOFIA</t>
  </si>
  <si>
    <t>ULMENI</t>
  </si>
  <si>
    <t>LEA 20 kV Derivatie la PTA 0029 Clondiru, din LEA 20 kV Istrita, alimentata din statia de transformare 110/20 kV Sahateni</t>
  </si>
  <si>
    <t>MN5583</t>
  </si>
  <si>
    <t>BAT ROMANIA INVESTMENT SRL</t>
  </si>
  <si>
    <t>Statiei 110/20/6 kV PLOIESTI NORD</t>
  </si>
  <si>
    <t>AGT SOLAR ENERGY SRL</t>
  </si>
  <si>
    <t>BLAJ</t>
  </si>
  <si>
    <t>LEA 20 kV Blaj 1</t>
  </si>
  <si>
    <t>EVORA CENTER SRL</t>
  </si>
  <si>
    <t>REGHIN</t>
  </si>
  <si>
    <t>LES 20 kV Distribuitorul PA 8 din Statia 110/20 kV Republic</t>
  </si>
  <si>
    <t>GLOBAL GREEN PHOTOVOLTAIC SRL</t>
  </si>
  <si>
    <t>MICA</t>
  </si>
  <si>
    <t>distribuitorul LEA 20 kV Târnăveni – Fântânele, din Stația 110 / 20 kV Târnăveni, stâlpul nr. 148 proiectat</t>
  </si>
  <si>
    <t>LEA 20 kV Reghin - Gornești</t>
  </si>
  <si>
    <t>EVORA  CENTER SRL</t>
  </si>
  <si>
    <t>CIPAU</t>
  </si>
  <si>
    <t>Linia 20 kV Baby Beef din Stația 110 / 20 kV Târnăveni</t>
  </si>
  <si>
    <t>Linia 20 kV Cipău din Stația 110 / 20 kV Târnăveni</t>
  </si>
  <si>
    <t>JAEGGI INDUSTRIES SRL</t>
  </si>
  <si>
    <t>PT 72 T – alimentat din PA10</t>
  </si>
  <si>
    <t>SC SIRIUS IMMOB2 SRL</t>
  </si>
  <si>
    <t>IACOBENI</t>
  </si>
  <si>
    <t>LES 20 kV Movile, LEA 20 kV AGNITA-CINCU</t>
  </si>
  <si>
    <t>SUN COVASNA SRL</t>
  </si>
  <si>
    <t>ZABALA</t>
  </si>
  <si>
    <t>COVASNA</t>
  </si>
  <si>
    <t>intrare – iesire pe LEA 110 kV Targu Secuiesc - Covasna</t>
  </si>
  <si>
    <t>BEST BLUEBERRIES SRL</t>
  </si>
  <si>
    <t>MANDRA</t>
  </si>
  <si>
    <t>Bara colectoare 110 kV a Stației de transformare 110/20/6 kV Făgăra</t>
  </si>
  <si>
    <t>Modernizarea TRAFO 2, 110/20 kV, 25 MVA din statia 110/20 kV Falticeni, judetul Suceava prin inlocuirea trecerilor izolante de 110 kV - lucrare din incidente</t>
  </si>
  <si>
    <t>Statia Conexiuni , jud. Suceava</t>
  </si>
  <si>
    <t>Statia Radauti , jud. Suceava</t>
  </si>
  <si>
    <t>Statia Dolhasca , jud. Suceava</t>
  </si>
  <si>
    <t>Statia Falticeni , jud. Suceava</t>
  </si>
  <si>
    <t>Statia Barnar , jud. Suceava</t>
  </si>
  <si>
    <t>Statia Rosiesti , jud. Vaslui</t>
  </si>
  <si>
    <t>Statia Crang , jud. Vaslui</t>
  </si>
  <si>
    <t>Statia Tibanesti , jud. Vaslui</t>
  </si>
  <si>
    <t>Statia Rediu , jud. Vaslui</t>
  </si>
  <si>
    <t>LEA 110 kV Moinesti - Asau</t>
  </si>
  <si>
    <t>Inlocuire stalpi LEA 110 kV Moinesti - Asau, stalpii 43,44,45,46,47, jud. Bacau</t>
  </si>
  <si>
    <t>Statia Milcov , jud. Bacau</t>
  </si>
  <si>
    <t>Inlocuire TT si TC la celula 110 kV Trafo  din statia Milcov , jud. Bacau</t>
  </si>
  <si>
    <t>Statia Gheraiesti , jud. Bacau</t>
  </si>
  <si>
    <t>Inlocuire TT si TC la celula LEA 110 kV Partizanu 1 din statia Gheraiesti , jud. Bacau</t>
  </si>
  <si>
    <t>Inlocuire TT si TC la celula LEA 110 kV Partizanu 2 din statia Gheraiesti , jud. Bacau</t>
  </si>
  <si>
    <t>Inlocuire TT si TC la celula 110 kV Cupla Tv din statia Gheraiesti , jud. Bacau</t>
  </si>
  <si>
    <t>Inlocuire TT si TC la celula LEA 110 kV Lilieci din statia Gheraiesti , jud. Bacau</t>
  </si>
  <si>
    <t>Inlocuire TT si TC la celula LEA 110 kV Bacovia din statia Gheraiesti , jud. Bacau</t>
  </si>
  <si>
    <t>Inlocuire TT si TC la celula LEA 110 kV Bacau Sud din statia Gheraiesti , jud. Bacau</t>
  </si>
  <si>
    <t>Inlocuire TT si TC la celula LEA 110 kV Racova din statia Gheraiesti , jud. Bacau</t>
  </si>
  <si>
    <t>Inlocuire TT si TC la celula LEA 110 kV Girleni din statia Gheraiesti , jud. Bacau</t>
  </si>
  <si>
    <t>Inlocuire TT si TC la celula LEA 110 kV Margineni 1 din statia Gheraiesti , jud. Bacau</t>
  </si>
  <si>
    <t>Inlocuire TT si TC la celula LEA 110 kV Margineni 2 din statia Gheraiesti , jud. Bacau</t>
  </si>
  <si>
    <t>Inlocuire TT si TC la celula 110 kV Trafo 1 din statia Gheraiesti , jud. Bacau</t>
  </si>
  <si>
    <t>Inlocuire TT si TC la celula 110 kV Trafo 2 din statia Gheraiesti , jud. Bacau</t>
  </si>
  <si>
    <t>Statia Targu Ocna , jud. Bacau</t>
  </si>
  <si>
    <t>Inlocuire TT si TC la celula 110 kV Trafo 1 din statia Targu Ocna , jud. Bacau</t>
  </si>
  <si>
    <t>Inlocuire TT si TC la celula 110 kV Trafo 2 din statia Targu Ocna , jud. Bacau</t>
  </si>
  <si>
    <t>Statia Tarita, jud. Bacau</t>
  </si>
  <si>
    <t>Inlocuire TT si TC la celula LEA 110 kV Moinesti-Racova din statia Tarita</t>
  </si>
  <si>
    <t>Inlocuire TT si TC la celula LEA 110 kV Moinesti-Girleni din statia Tarita</t>
  </si>
  <si>
    <t>Statia Darmanesti, jud. Bacau</t>
  </si>
  <si>
    <t>Inlocuire TC la celula  110 kV  Trafo 2 din statia Darmanesti</t>
  </si>
  <si>
    <t>Inlocuire TT si TC la celula LEA 110 kV  Tg.Ocna din statia Darmanesti</t>
  </si>
  <si>
    <t>Inlocuire TC la celula  110 kV  Trafo 1 din statia Darmanesti</t>
  </si>
  <si>
    <t>Inlocuire TT si TC la celula LEA 110 kV  Comanesti din statia Darmanesti</t>
  </si>
  <si>
    <t>Statia Galata , jud. Iasi</t>
  </si>
  <si>
    <t>Statia Tatarasi , jud. Iasi</t>
  </si>
  <si>
    <t>Inlocuire TT si TC la celula LEA 110 kV IASI SUD  din statia Tatarasi , jud. Iasi</t>
  </si>
  <si>
    <t>Inlocuire TT si TC la celula LEA 110 kV BULARGA din statia Tatarasi , jud. Iasi</t>
  </si>
  <si>
    <t>Inlocuire TT si TC la celula 110 kV Trafo 1 - 16 MVA din statia Tatarasi , jud. Iasi</t>
  </si>
  <si>
    <t>Inlocuire TT si TC la celula 110 kV Trafo 2 - 16 MVA din statia Tatarasi , jud. Iasi</t>
  </si>
  <si>
    <t>Inlocuire TT si TC la celula 110 kV CTv din statia Bularga , jud. Iasi</t>
  </si>
  <si>
    <t>Inlocuire TT si TC la celula 110 kV TRAFO 1 din statia Bularga , jud. Iasi</t>
  </si>
  <si>
    <t>Inlocuire TT si TC la celula LEA 110 kV cel 110 kV TATARASI din statia Bularga , jud. Iasi</t>
  </si>
  <si>
    <t>Inlocuire TT si TC la celula LEA 110 kV cel 110 Kv IASI SUD 1 din statia Bularga , jud. Iasi</t>
  </si>
  <si>
    <t>Inlocuire TT si TC la celula LEA 110 kV cel 110 Kv ROMCARBON 1 din statia Bularga , jud. Iasi</t>
  </si>
  <si>
    <t>Inlocuire TT si TC la celula LEA 110 kV cel 110 Kv CET 2 din statia Bularga , jud. Iasi</t>
  </si>
  <si>
    <t xml:space="preserve">LEA 110KV STEJARU TIMISESTI </t>
  </si>
  <si>
    <t>Inlocuire din incidente conductor  LEA 110KV STEJARU TIMISESTI in deschiderile 182-185 (CMD)</t>
  </si>
  <si>
    <t>Statia Roznov , jud. Neamt</t>
  </si>
  <si>
    <t xml:space="preserve">LEA 110 kV Barnar - Poiana Teiului </t>
  </si>
  <si>
    <t>Modernizare LEA 110 kV Barnar - Poiana Teiului in portiunea 179-182, Jud Suceava urmare a incidentului aparut in conditii meteo deosebite prin inlocuirea conductoarelor active</t>
  </si>
  <si>
    <t>Iunie 2023</t>
  </si>
  <si>
    <t>Mai 2023</t>
  </si>
  <si>
    <t xml:space="preserve">	
GREENFORD SOLAR SRL</t>
  </si>
  <si>
    <t>CEF Magureni</t>
  </si>
  <si>
    <t>este stabilit Ia nivelul de tensiune 20kV, la stâlpul nr. 4 al LEA 20kV Săruleşti, derivaţia PTA 1721 Măgureni, alimentata din staţia110/20 kV Tămădău</t>
  </si>
  <si>
    <t>A20 SARULESTI-TAMADAU CL</t>
  </si>
  <si>
    <t>Varianta 1 - Racordare în derivaţie în LEA 20 kV Săruleşti − derivaţia PTA1721 Măgureni, alimentată din staţia 110/20 kV Tămădău, la stâlpul nr. 4 I.,,Lucrari pe tarif de racordare : -,,Realizare racord 20kV între punctul de racordare (LEA 20 kV Săruleşti – derivaţia PTA 1721 Măgureni stâlpul 4) şi punctul de conexiune, pe o distanţă de max. 25 m: -,,Inlocuire stâlp 4 existent cu stâlp terminal / de intindere nou proiectat nr. 159 bis in deschiderea stâlpilor 159-160 din LEA 20 kV Săruleşti, tip 12/G/31,echipat cu consola de întindere MT coronament DS3060, lanţuri duble de întindere cu izolatoare compozite LDI, set descărcătoare cu ZnO 20 kV, set capete terminale 20 kV de exterior performante, set capete terminale 20 kV de exterior performante. La baza stâlpilor se va amenaja câte o priza artificiala de legare la pământ cu Rp&lt;(&gt;&lt;&lt;)&gt;4Ω; -,,Montare LES 20 kV cu cablu tip XLPE 3x(1x185mm2) pe o distanţă de aproximativ 25m între celula de linie LE din PC şi LEA 20 kV Săruleşti, derivaţia PTA 1721 la stâlpul 4 nou proiectat, pozat în tub de protecţie; -,,Echipare punct de conexiune operator de reţea (PC – OD) la limita de proprietate, pe terenul CEF, cu acces liber din domeniul public, dimensionat pentru exploatare din interior; PC se va pozitiona pe un amplasament pus la dispozitie de utilizator; (constructia PC este in sarcina utilizatorului si va rămâne in proprietatea acestuia); PC − OD va conţine: -,,1 celulă de linie (1LE) sosire în LES din LEA Săruleşti 20 kV derivaţia PTA 1721 stâlp nr. 4, conform specificaţiei ENEL DY 803/2 – RO – LE – 24 kV – 400A – 16 kA; -,,1 celulă de măsură (1UT) pentru CEF Măgureni, cu plecare în cablu, conform specificaţiei ENEL DY 803/4– RO – UT – 24 kV – 400A – 16 kA, echipată cu 2 transformatoare de curent 50/5A, cls.0,2 şi 2 transformatoare de tensiune 20/0,1kV cls. 0,2; -,,Echipamente pentru integrarea în sistemul de telecontrol E−Distribuţie Dobrogea SA a celulelor de linie: montarea de RGDAT−2buc ,UP2020LITE−1buc, baterii acumulatori−2buc, TSA−1 buc, router Rugged pentru comunicatii 4G−CISCO IR1101, Swich-uri Rugged CISCOIE−4 000−8S4G−E, dulap pentru echipamente de telecomunicatii FT−045_TLC-M –TIPB si accesoriile de conectica; -,,Montare grup de măsurare de decontare în firida securizata, cu contor cu telecitire bidirecţional, clasa 0,2 S (contorul va fi pus la dispozitie de OD); In cazul indisponibilitatii LEA 20kV Sarulesti, puterea poate fi evacuata de CEF Magureni pe linia de bucla LEA 20kV Valea Argovei din statia Mostistea. II.,,Lucrari ce se realizeaza prin grija beneficiarului : -,,Anvelopa de beton compusa din doua incaperi cu acces separat fiecare, o incapere fiind pentru montarea echipamentelor 20 kV EDD (compartiment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loc pentru montare ulterioara a unei celule de MT; -,,LES 20 kV de Cu 95 mmp, L≤ 20m între celula de măsură din compartimentul de racordare şi celula cu întrerupător din compartimentul utilizatorului. Compartimentul de utilizare va fi echipat cu : -,,Dispozitiv general - celulă DG cu izolaţie în aer, 24 kV – 630A – 16 kA, echipată cu separator şi întreruptor, transformatoare de măsurare de curent 3x300/5A cl. min 0,5; 10 Ipn, transformator de curent homopolar tip toroidal 100/1A montat pe cablurile MT. Întreruptorul este prevăzut cu protecţie digitală şi modul de comunicaţie integrabil în sistemul de telecontrol E-Distributie Dobrogea.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maximală de curent homopolar cu două trepte (unul pentru defecte monofazate şi altul pentru defecte dublu monofazate); -,,Dispozitiv de interfata - celula de abonat sosire CEF, functie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Sistemul de protectie SPI asociat DI contine relee de frecvenţă, de tensiune şi eventual de tensiune homopolară.Sistemul de protectie de interfata (SPI) asociat dispozitivului de interfata cuprinde: -,,functie protectie de tensiune minima /maxima in 2 trepte; -,,functie protectie de frecventa minima /maxima in 2 trepte; -,,functie de protectie de maxima de tensiune mediata la 10 minute. -,,serviciile interne in compartimentul de racordare se vor asigura din transformatorul monofazat de 4 kVA 20/0,23 kV, uscat, usc = 4%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dininstalatia de utilizare. Lungimea cablului nu trebuie sa depaseasca 20m.</t>
  </si>
  <si>
    <t>CHE Orlea</t>
  </si>
  <si>
    <t>CHE Totesti 2</t>
  </si>
  <si>
    <t>CHE Paclisa</t>
  </si>
  <si>
    <t>CHE Totesti 1</t>
  </si>
  <si>
    <t>GIULIA SOLAR PARC S.R.L.</t>
  </si>
  <si>
    <t>A20 ZEICANI-HATEG DV</t>
  </si>
  <si>
    <t>SOF GREEN ENERGY 05 S.R.L.</t>
  </si>
  <si>
    <t>CEF Sof Green Energy</t>
  </si>
  <si>
    <t>CFR SOFRONEA 110KV</t>
  </si>
  <si>
    <t>ECORAI ENERGY S.R.L.</t>
  </si>
  <si>
    <t>CENTRALĂ ELECTRICĂ FOTOVOLTAICĂ ECORAI ENERGY</t>
  </si>
  <si>
    <t>A20 IAZ-ORASTIE DV</t>
  </si>
  <si>
    <t>ROMBIZ IMPEX SRL</t>
  </si>
  <si>
    <t>hala parter,partial P1</t>
  </si>
  <si>
    <t>17260364</t>
  </si>
  <si>
    <t>IMPACT DEVELOPER &amp; CONTRACTOR</t>
  </si>
  <si>
    <t>ansamblu imobile Bl. 06X1, 09L si 10M</t>
  </si>
  <si>
    <t>14052826</t>
  </si>
  <si>
    <t>SYA ONE RESIDENCE SRL</t>
  </si>
  <si>
    <t>17082875</t>
  </si>
  <si>
    <t>UNITATEA MILITARA 02145 CONSTANTA</t>
  </si>
  <si>
    <t>BAZIN DE INOT SI CAZARMA 2798 CONSTANTA</t>
  </si>
  <si>
    <t>10287449</t>
  </si>
  <si>
    <t>BISSI SOLAR MURANI SRL</t>
  </si>
  <si>
    <t>Construire parc fotovoltaic, imprejmuire, bransament electric si scoatere teren din circuitul agricol</t>
  </si>
  <si>
    <t>A20 MASLOC-ORTISOARA TM</t>
  </si>
  <si>
    <t>SC ELIAS CAPITAL SRL</t>
  </si>
  <si>
    <t>Construire Parc Fotovoltaic,imprejmuire si racordare la S.E.N.</t>
  </si>
  <si>
    <t>BUZIAS 110/20 KV</t>
  </si>
  <si>
    <t>A20 FABRICA LAPTE-CHISINEU CRIS AR</t>
  </si>
  <si>
    <t xml:space="preserve">	
12198455</t>
  </si>
  <si>
    <t>A20 STOENESTI-ARCUDA GR</t>
  </si>
  <si>
    <t>COLONIA CLUJ NAPOCA ENERGIE SRL</t>
  </si>
  <si>
    <t>PA CTZ</t>
  </si>
  <si>
    <t>LUC-SAL ENERGY SRL</t>
  </si>
  <si>
    <t>LES20 KV salonca tinca</t>
  </si>
  <si>
    <t>UNIVERSAL ALLOY CORPORATION EUROPE SRL</t>
  </si>
  <si>
    <t>PA15 TAUTII MAGHERAUS</t>
  </si>
  <si>
    <t>NEW TREND ENERGY S.R.L</t>
  </si>
  <si>
    <t>LEA 110 KV VETIS-CAREI.</t>
  </si>
  <si>
    <t>ST 110/20 CET II ORADEA</t>
  </si>
  <si>
    <t>ROMBAT SA</t>
  </si>
  <si>
    <t>Alimentarea nr. 1 si 2: Barele 1 si 2 de 20 kV din statia 110/20 kV Viisoara; Alimentarea nr. 3 : Barele 2 si 3 de 20 kV din statia 110/20 kV Bistrita., LES 20 KV BISTRITA - ACUMULATORUL,</t>
  </si>
  <si>
    <t>CENTRAL INVESTMENT PLAZA SRL</t>
  </si>
  <si>
    <t>Bara de 20 kV din Statia 110/20 kV Aghires</t>
  </si>
  <si>
    <t>GRUNMAN ENERGY S.R.L.</t>
  </si>
  <si>
    <t>statia 110/20/6 kV Mihai Viteazu</t>
  </si>
  <si>
    <t>MELICON POWER SRL</t>
  </si>
  <si>
    <t>LEA 20 KV SOMCUTA-FERSIG</t>
  </si>
  <si>
    <t>SOCIETATEA DE ADMINISTRARE A PARTICIPATTLOR IN ENERGIE S.A</t>
  </si>
  <si>
    <t>AEROPORTUL SATU MARE RA</t>
  </si>
  <si>
    <t>Alimentare nr. 1 : din Statia 220/110/10 kV Vetis; Alimentare nr. 2 : din LEA 20 kV Carpati - Stana ( stalpul nr. 29 al LEA 20 kV Vetis-Aeroport );, LEA 20 KV VETIS AEROPORT-SM</t>
  </si>
  <si>
    <t>CONTEMPORAN ARHITECTONIC DESIGN SRL</t>
  </si>
  <si>
    <t>SUPLAC</t>
  </si>
  <si>
    <t>LEA 20 kV Fantanele-Tarnaveni, din Statia 110/20 kV Fantanele</t>
  </si>
  <si>
    <t>Realizare circuit radial LEA 20 kV, racordat la derivația 20 kV Laslau - Viisoara, distribuitorul LEA 20 kV Fantanele - Tarnaveni, din Stația 110/20 kV Fantanele, prin cablu torsadat 20 kV, montat pe stâlpi de beton centrifugați. Racordul se realizeaza prin intercalarea unui stâlp special nr. 63A proiectat, echipat cu consolă de susținere, respectiv consolă de derivație (derivație pentru LEA 20 kV proiectată), între stâlpii nr. 63 și nr. 64 existenti ai derivației 20 kV Laslau - Viisoara, distribuitorul LEA 20 kV Fantanele - Tarnaveni, din Stația 110/20 kV Fantanele</t>
  </si>
  <si>
    <t>04.07.2022</t>
  </si>
  <si>
    <t>TS7150</t>
  </si>
  <si>
    <t>SOLMER ENERGY SRL</t>
  </si>
  <si>
    <t>celula de rezerva Y4T aferenta barei "B" 20 kV din Statia 110/20/6 kV Fagaras</t>
  </si>
  <si>
    <t>NEXT ENERGY POWER SYSTEMS SRL</t>
  </si>
  <si>
    <t>BOD</t>
  </si>
  <si>
    <t xml:space="preserve"> axul LEA 20 kV Nivea, LEA 20 kV ST BOD - NIVEA</t>
  </si>
  <si>
    <t>ADIMAG COM IMPEX SRL</t>
  </si>
  <si>
    <t>SANCRAIU DE MURES</t>
  </si>
  <si>
    <t>Linia 20 kV Sondă (Sâncrai) din Stația 110/20 kV Baraj</t>
  </si>
  <si>
    <t>RPOWER ACTIVITIES S.R.L</t>
  </si>
  <si>
    <t>JIBERT</t>
  </si>
  <si>
    <t>LEA 20 kV Statia 110/20 kV Hoghiz – IF Homorod derivatia Jibert</t>
  </si>
  <si>
    <t>RUPEA SOLAR SRL</t>
  </si>
  <si>
    <t>RUPEA</t>
  </si>
  <si>
    <t>LEA 110 kV Fantanele – Hoghiz</t>
  </si>
  <si>
    <t>SC FISER SOLAR SRL</t>
  </si>
  <si>
    <t>LEA 110 kV Mureni – Hoghiz</t>
  </si>
  <si>
    <t>SC ROMAQUA GROUP SA</t>
  </si>
  <si>
    <t>PC 20KV ROMAQUA</t>
  </si>
  <si>
    <t>MALNAS</t>
  </si>
  <si>
    <t>LEA 20 kV CARIERA, ALIMENTAT DIN STATIA 110/20 kV MALNAS</t>
  </si>
  <si>
    <t>MINISTERUL APARARII NATIONALE PRIN UNITATEA MILITARA 02460 SIBIU - SPITALUL MILITAR DE URGENTA</t>
  </si>
  <si>
    <t>Stația 110 / 20 kV Dumbrava prin PA4 (în schemă normală de funcționare) ; - Stația 110 / 20 kV Aeroport prin PT 52 - direcția PT 48 (în schemă de funcționare la N-1 elemente) ;</t>
  </si>
  <si>
    <t>IRIS SERVICE CIUC SA</t>
  </si>
  <si>
    <t>LES 20 kV Uzina de Apa</t>
  </si>
  <si>
    <t>SC SIX WINGS SRL</t>
  </si>
  <si>
    <t>PECHEA</t>
  </si>
  <si>
    <t>Statia 110/20 kV Pechea, sectia "B"</t>
  </si>
  <si>
    <t>Inlocuire trafo 110/20 kV 16 MVA cu un transformator similar cu o putere nominal de 25 MVA, inclusiv toate circuitele primare si secundare, aferente noului trafo 25 MVA</t>
  </si>
  <si>
    <t>ESK INVEST CONSULTING S.R.L.</t>
  </si>
  <si>
    <t>ODOBESTI</t>
  </si>
  <si>
    <t>Bara B 20 kV a statiei 110/20 kV Focsani Nord</t>
  </si>
  <si>
    <t>ALPISTATION S.R.L.</t>
  </si>
  <si>
    <t>SILISTEA</t>
  </si>
  <si>
    <t>LEA 20 KV Pompe Petroiu</t>
  </si>
  <si>
    <t>MENALON IMOB S.R.L.</t>
  </si>
  <si>
    <t>DUMBRAVENI</t>
  </si>
  <si>
    <t>LEA 20 kV Dumitreşti</t>
  </si>
  <si>
    <t>G2K INVESTMENT SERVICES S.R.L.</t>
  </si>
  <si>
    <t>LEA 20 kV Dumitreşt</t>
  </si>
  <si>
    <t>AUKERA ROMANIA SRL</t>
  </si>
  <si>
    <t>ROMANU</t>
  </si>
  <si>
    <t>ST ROMANU 110/20 KV</t>
  </si>
  <si>
    <t>FAUREI</t>
  </si>
  <si>
    <t>ST FAUREI 110/20KV</t>
  </si>
  <si>
    <t>GP &amp; PARTNERS SRL</t>
  </si>
  <si>
    <t>TARTASESTI</t>
  </si>
  <si>
    <t>LEA 20KV ZAHAR 2</t>
  </si>
  <si>
    <t>ST 110/20 KV VEGA</t>
  </si>
  <si>
    <t>CARPATHIA EVERGREEN ENERGY SRL</t>
  </si>
  <si>
    <t>CREVEDIA</t>
  </si>
  <si>
    <t xml:space="preserve"> LEA 20 KV DC COMPRESOARE AVICOLA ST BUFTEA</t>
  </si>
  <si>
    <t>MASPEX ROMANIA SRL</t>
  </si>
  <si>
    <t>VALENII DE MUNTE</t>
  </si>
  <si>
    <t>PC 8007 TYMBARK</t>
  </si>
  <si>
    <t>MN6681</t>
  </si>
  <si>
    <t>UNIREA</t>
  </si>
  <si>
    <t>Statia 110/20 kV Gropeni, LEA 20 kV Valea Canepii</t>
  </si>
  <si>
    <t>MN6680</t>
  </si>
  <si>
    <t>VRANCART S.A.</t>
  </si>
  <si>
    <t>ADJUD</t>
  </si>
  <si>
    <t>Vrancea</t>
  </si>
  <si>
    <t>celulele 110kV CCH1 si CCH2 din statia de transformare 110/20 kV Adjud, ST. ADJUD 110/20 KV</t>
  </si>
  <si>
    <t>BOLDESTI-SCAENI</t>
  </si>
  <si>
    <t>FOUAI CAMPIA COVURLUI</t>
  </si>
  <si>
    <t>stalp 109 LEA 20 KV, ST. Pechea 110/20 kV</t>
  </si>
  <si>
    <t>IMPRESA PIZZAROTTI&amp;C SPA ITALIA SUCURSALA CLUJ</t>
  </si>
  <si>
    <t>RAFOV</t>
  </si>
  <si>
    <t>LEA 20 kV Tomsani - derivatie  SD3A</t>
  </si>
  <si>
    <t>Organizare de santier</t>
  </si>
  <si>
    <t>MN7172</t>
  </si>
  <si>
    <t>MUNICIPIUL BRAILA</t>
  </si>
  <si>
    <t>LES 20 KV ARMONIA</t>
  </si>
  <si>
    <t>CHIMTITAN SRL</t>
  </si>
  <si>
    <t>Parc Fotovoltaic 5 MW</t>
  </si>
  <si>
    <t>se va stabili la nivelul de tensiune de 20 kV în LEA Tămădău, derivatie PTA 1749.</t>
  </si>
  <si>
    <t xml:space="preserve">	
A20 TAMADAU-FUNDULEA CL</t>
  </si>
  <si>
    <t>Realizare trecere din LEA in LES pe linia 20 kV Tamadau pentru eliberare amplasament:
-Montare 2 stalpi noi proiectaţi de tip unificati 12G fiecare echipaţi cu: separator tripolar manual de exerior montat în poziţie verticală cu CLP, consolă metalică, descărcătoare cu ZnO, priză de pământ cu rezistenta de dispersie maxim 4 Ω. ·
Punct de conexiune 20 kV ce se va amplasa in apropierea punctului de racordare si va fi cu acces pentru E-Distributie Dobrogea SA din exterior, din domeniul public echipat cu:
-2 buc. celulă modulară de linie (fără mentenanţă) extensibile, cu echipament de comutaţie în SF6, echipate cu separator de sarcină şi CLP, motorizate;
-1 buc. celulă de măsura cu separator de sarcină, cu două transformatoare de tensiune 20/0,1 kV clasa de precizie 0,2 şi doua transformatoare de curent de 400/5 A, clasa de precizie 0,2s, integrata in sistemul de telecontrol E-Distributie;
-montare in compartimentul ENEL instalatie telecontrol, aferenta celulei de linie si celulei de utilizator care va cuprinde: unitate periferica UP 2020 lite, panou de servicii auxiliare, modem transmitere date, antena, RGDAT la fiecare celula, echipamente SCADA şi comunicaţii;
-spatiu liber pentru montarea ulterioara unei celule linie;
-montare grup de masurare de decontare in compartimentul de racordare, in celula de masura prevazut cu un contor dublu sens. Contorul pentru decontare, va fi racordat prin cabluri speciale la transformatoare de masura din celula de utilizator. Achizitia si montarea grupului de masurare (transformatoarele de curent si de tensiune, cabluri de legatura si contorul de decontare) vor fi in sarcina OD.
Lucrari care se vor realiza prin grija utilizatorului:
-cladirea punctului de conexiune cu doua compartimente, unul pentru instalatiile electrice din gestiunea E-Distribuţie Dobrogea si unul pentru instalatiile electrice ale utilizatorului. Gabaritul compartimentului de racordare va permite montarea a încă unei celule de linie şi va fi cu acţionare din interior şi cu acces direct din exterior;
-LES 20 kV de Cu, secţ. 95 mmp, L≤ 20 m, între celula de măsură din compartimentul de racordare şi celula de sosire din compartimentul utilizatorului; -,,celula sosire cu întrerupător general automat si separator în compartimentul utilizatorului cu următoarele protecţii:
-protecţie generală maximală de curent în trei trepte (la scurtcircuit si suprasarcina);
-protectie homopolară de curent în două trepte, contra punerilor la pământ monofazate, respectiv bifazate;
-dispozitivul de interfaţă în compartimentul utilizatorului, cu următoarele protecţii:
-functie protectie de tensiune minima /maxima in 2 trepte;
-functie protectie de frecventa minima /maxima in 2 trepte;
-functie de protectie de maxima de tensiune mediata la 10 minute.
-instalaţia de iluminat, prize şi instalaţia de legare la pământ a clădirii punctului de conexiune;
-serviciile interne in compartimentul de racordare se vor asigura din transformatorul monofazat de 4 kVA montat în compartimentul utilizatorului, după întrerupătorul general (DG), spre producător.
-realizare drum de acces la punctul de conexiune;
-montare analizor pentru monitorizarea calitatii energiei electrice;
-sistem pentru culegere informaţii şi transmitere a mărimilor P, Q, U, f şi poziţie întrerupător la dispecerul E-Distributie Dobrogea;
-In compartimentul utilizator, se vor instala traductoarele de putere activa P, putere reactiva Q, frecventa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ENEL, semnalele vor fi transmise printr-un cablu special ecranat, care va face parte impreuna cu traductoarele, din instalatia de utilizare. Lungimea cablului nu trebuie sa depaseasca 20m. Realizarea lucrarilor pentru instalatiile din aval de punctul de delimitare este in responsabilitatea utilizatorului si se efectueaza pe cheltuiala acestuia.</t>
  </si>
  <si>
    <t>12821786</t>
  </si>
  <si>
    <t>10264364</t>
  </si>
  <si>
    <t>MM MOSNITA CONCEPT SRL</t>
  </si>
  <si>
    <t>CENTRU COMERCIAL</t>
  </si>
  <si>
    <t>... I.,,Consta într-un PTanvelopa 20kV pus la dispozitie de catre beneficiar, cu masura MT racordat la LES A20 NR.9 Urseni-Fratelina T12274 – T22290, cu realizarea urmatoarelor lucrari: -In T12274 se va dezlega LES20 kv sosire din T22290 si se va racorda la celula de linie sosirea in noul post proiectat. -Din postul nou proiectat se va poza un cablu in celula de linie sosire din T12274, astfel postul nou proiectat va fi inseriat intre T12274 si T22290 II.,, -Se va poza (in domeniul public) un cablu de medie tensiune tripolar cu elice vizibila pentru montare subterana, izolat in polietilena reticulara de grosime redusa, Al 3x1x185 mmp, cu ecran in tub de aluminiu sub invelis de PVC sau PE (cf. DC 4385 RO), in lungime de 2x80m (din care 2x3m rezerva la manson,2x10m in postul de transformare,30m subtraversare prin foraj asfalt ,6m alee beton, restul in zona verde) pana la postul de transformare 20kV proiectat. -Cablul se va poza in sapatura deschisa la o adincime de 0.8-1 m, protejat in tub de polietilena reticulara, acoperit cu un strat de nisip de 20 cm masurat de la partea superioara a tubului, semnalizat cu benzi avertizoare cf. DS4235RO si DS4247RO. -Echipare compartiment racordare pus la dispozitie de beneficiar: -,,2 buc. celule modulare de linie de 24kV, 630A, 16 kA(1s), cu separator de sarcină în SF6 şi CLP, conform DY803/416-LE ed.3 PT, telecontrolate, trebuie sa permita o dezvoltare ulterioara cu inca o celula de linie; -,,1 buc. celulă de măsură cu separator de sarcină, conform DY803M/316-UTM ed.2, cu două TT 20/0,1 kV, conform DMI031015 RO, clasa de precizie 0,5 şi 2 buc. TC de 50/5A, conform DM031052 RO, clasa de precizie 0,5 Realizarea grupului de măsurare a energiei electrice pe MT, prin montarea unui contor electronic trifazat 2x100V, 5A, clasa de precizie 0.5S, cu curbă de sarcină, cu interfaţă serială RS232, cu sistem de teletransmisie, în montaj indirect (TT 20/0,1kV conform DMI031015 RO, clasa precizie 0,5, TC 50/5A conform DM031052 RO, clasa precizie 0,5S şi cordon de conectare grup de măsurare conform DMI031011 RO). Contorul va fi astfel amplasat încât să fie posibilă citirea lui din exteriorul punctului de conexiune atât de către consumator cât şi de distribuitor -,,rezistente in celulele MT – 3buc. si termohigrostat in PT – 3buc.; -,,PT va fi amplasat astfel incat accesul in PT sa fie direct din domeniul public; III.,,Lucrări finanţate de beneficiar, realizate prin grija lui, ce devin proprietatea acestuia, conform Ordin nr. 59/2013: 1).,,LES 20 kV cît mai scurtă posibil (l≤20m), cu cablu de cupru de secţiune minimă 95 mmp, între celula de măsură din compartimentul de racordare şi celula cu înterupător din compartimentul utilizatorului 2).,,Celulă sosire cu un separator tripolar şi a unui întrerupător automat fix (sau numai un întrerupător automat debroşabil) în compartimentul utilizatorului. Întrerupătorul va fi obligatoriuprevăzut cu sistem de protecţie generală maximală de curent şi împotriva defectelor de punere la pămînt, cu reglajul corelat cu celelalte protecţii din instalaţiile SC E-Distribuţie Banat SA- Zona MT/jt Timisoara 3).,,Instalaţia de iluminat interior, prize şi instalaţia de legare la pământ a clădirii punctului de conexiune Măsurarea energiei electrice se va face la MT, cu contor electronic trifazat 2x100V, 5A, clasa de precizie 0.5S, cu curbă de sarcină, cu interfaţă serială RS232, cu sistem de teletransmisie, în montaj indirect (TT 20/0,1kV conform DMI031015 RO, clasa precizie 0,5, TC 50/5A conform DM031052 RO, clasa precizie 0.5S, cordon de conectare grup de măsurare conform DMI031011 RO). 4) 1 buc trafo 20/0,4 kV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Comisia Tehnică de Avizare a E- Distribuţie Banat SA – Zona Reţea MT/jt Timisoara.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</si>
  <si>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 xml:space="preserve">	
17479710</t>
  </si>
  <si>
    <t>SC Foamotive Srl</t>
  </si>
  <si>
    <t>... Consta în inlocuirea in celula de masura MT, in PTanvelopa 20kV pus la dispozitie de catre beneficiar, cu masura MT racordat la LES 20KV NR 6 IMOBILIARE FRATELIA INTRE T12570 SI T22333, a reductorilor TC existenti, cu reductori TC 400/5A conform DM031052 RO, clasa de precizie 0,5 – 2 buc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</si>
  <si>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Alimentare cu energie electrica imobile locuinte colective - Corp A si Corp B</t>
  </si>
  <si>
    <t>14614489</t>
  </si>
  <si>
    <t>CHRONOS ENERGY SOLUTIONS SRL</t>
  </si>
  <si>
    <t>S20 CALIPSO-AFUMATI IF</t>
  </si>
  <si>
    <t>Conform solutiei de racordare stabilita prin avizul CTE nr.21/1/20.03.2023-Varianta 1 ? racordare intrare-iesire, in linia LES 20 kV Calipso, din statia 110/20kV Afumati Lucrari pe tarif de racordare - sectionarea LES 20kV Calipso existenta, in zona PTZ 7657 si mansonarea cu LES 20kV nou proiectata cu cablu 2x Al 3x(1x185) mmp, cu izolatie XLPE in lungime de 2x10m pozat in tub de protectie pe toata lungimea - punct de conexiuni 20 kV proiectat in anvelopa de beton, amplasat in apropierea punctului de racord Echiparea compartimentului de racordare al punctului de conexiuni 20 kV ce se va amplasa in apropierea LES 20 kV Calipso (in extravilanul satului Petrachioaia in proximitatea drumului Public, in proximitatea PTZ 7657) ce se va echipa cu : ?,,? 2 celula de linie motorizate 24 kV, 630A, 16 kA cu separator de sarcina in SF6 conf. Specificatie Enel ?,,? o celula de masura cu separator si grup de masura format din dou? transformatoare de tensiune 20/0,1 kV, clasa de precizie 0,5 ?i dou?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beneficiar.Contorul va fi pus la dispozitie de catre operator. ?,,? integrarea in telecontrol a celulelor de linie si masura din PC 20kV proiectat prin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Tensiunea 0,4 kV necesara telecontrolului va fi asigurata din instalatiile beneficiarului. Lucrari ce se realizeaza prin grija beneficiarului: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m?sur? din compartimentul de racordare ?i celula cu înterup?tor din compartimentul utilizatorului ; - Dispozitivul general -celula sosire cu intrerupator automat si separator in compartimentul utilizatorului (DG) cu urmatoarele protectii: Sistemul de protectie general (SPG) asociat dispozitivului general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 protectie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 întrerup?torul general (DG), spre produc?tor.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EDM, semnalele vor fi transmise printr-un cablu special ecranat, care va face parte impreuna cu traductoarele, din instalatia de utilizare. Lungimea cablului nu trebuie sa depaseasca 20m. ? instala?ie de legare la pãmânt la PC 20kV proiectat cu R? 1?.p ? LES 20kV intre PC 20kV proiectat si CEF in lungime de 5,6km pentru solutia 1 respectiv 14,5km solutie 2 ? posturi de transformare echipate cu transformatoare de putere avand puterea unitara sub 2000kVA; ? Asigurare accesului la PC 20kV proiectat pentru EDM.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t>
  </si>
  <si>
    <t>10811249</t>
  </si>
  <si>
    <t>ROSIESTI</t>
  </si>
  <si>
    <t>SC ROSAVIS PROD SRL</t>
  </si>
  <si>
    <t>PARC FOTOVOLTAIC ROSIESTI 1,125 MW, NC 73382, LOC. ROSIESTI, COM. ROSIESTI, JUD. VASLUI/</t>
  </si>
  <si>
    <t>racord LES MT in statia Rosiesti</t>
  </si>
  <si>
    <t>SC GRUNMAN ENERGY SRL</t>
  </si>
  <si>
    <t>CEF 1,8MW DEPOZIT LOGISTIC LETEA</t>
  </si>
  <si>
    <t>LETEA</t>
  </si>
  <si>
    <t>MCAV 20K in LES MT</t>
  </si>
  <si>
    <t>SC AVO ENERG SRL</t>
  </si>
  <si>
    <t>CENTRALA ELECTRICA FOTOVOLTAICA, NC 58004, LOC. DUMBRAVA ROSIE, COM. DUMBRAVA ROSIE, JUD. NEAMT</t>
  </si>
  <si>
    <t>ROZNOV</t>
  </si>
  <si>
    <t>racord LES MT in statia Roznov</t>
  </si>
  <si>
    <t>1005236032</t>
  </si>
  <si>
    <t xml:space="preserve">	
TRITON APASERV SRL</t>
  </si>
  <si>
    <t>Centrala Fotovoltaica Oltenita 3</t>
  </si>
  <si>
    <t xml:space="preserve">	16.54455</t>
  </si>
  <si>
    <t xml:space="preserve">	
OLTENITA NORD 110/20 KV</t>
  </si>
  <si>
    <t>Varianta 1: racord aerian 110 kV „intrare – ieșire” în LEA 110kV Oltenița Nord – Mostiștea
Lucrari pe tarif de racordare:
• Sectionarea LEA 110kV Oltenița Nord – Mostiștea prin înlocuirea stâlpului existent nr. 140 cu un stâlp special în axul liniei, la aprox. 2,85km de stația Oltenița Nord și un stâlp terminal d.c. nou în fața noii stații de conexiuni 110kV. De la acest stâlp se va cobori prin intermediul unor rigle la o stația de conexiune 110kV nou construită;
•  Stație de conexiune 110kV, echipată cu bară 110kV secționată prin celulă de cuplă cu întrerupător, 2 celule de linie pentru racordul în linia 110kV existentă și o celulă 110kV măsură spre CEF.
 Statia de conexiune 110kV intrare-iesire va fi prevăzuta cu:
• doua celule 110 kV echipate complet, fiecare cu cate un întrerupător cu comanda unitripolara si RAR monofazat;
• bară colectoare 110 kV simplă rigidă sectionata;
• separator de by-pass 123 kV; 1600A, montat intre sosirile din cei 2 stalpi 110 kV;
• celula de 110 kV plecare spre utilizator echipata cu separator 110 kV si grup de masura (contorul se va pune la dispozitie de OD);
• protectii adecvate liniilor in celulele de linie plecare spre statiile adiacente, inclusiv protectii diferentiale;
• servicii interne c.c. şi c.a.: serviciile interne de c.c. se vor asigura printr-o statie de energie, iar serviciile de c.a. 0,4 kV se vor asigura din instalatia Utilizatorului prin 2 surse independente; • echipamente telecomunicatii, echipament central de teleconducere a statiei;
• instalatie de legare la pămant;
• sistem de supraveghere antiefractie;
• gard de împrejmuire şi drum de acces, etc.
• montare analizor pentru monitorizarea calitatii energiei electrice;Echipamentul va trebui sa asigure in principal cerintele tehnice din specificatiile Enel.
• Asigurarea comunicațiilor și integrarea la dispecerul E-Distributie Dobrogea SA a parcului prin instalare OPGW pe linia 110kV existentă până în stația Oltenița Nord. Comunicațiile cu sistemul E-Distribuție se va realiza prin transmiterea datelor prin GSM (bază) și prin OPGW-ul nou instalat până in stația Oltenița Nord (rezervă).
• Realizare protecție diferențială pe linia scurtă nou creată 110kV Oltenița Nord – Stația de conexiune 110kV (aprox. 2,85km) - în stația Oltenița Nord se va instala un dulap nou aferent protecției diferențiale de linie în sala compresoarelor, care va fi amenajă corespunzător.
Lucrari prin grija utilizatorului:
• statie de transformare 110/MT aferenta CEF Oltenita 3, inclusiv celula 110 kV cu intreruptor (dispozitivul general, dispozitivul de interfata cu protectiile aferente);
• realizare cale de comunicatie de la instalatiile de monitorizare si instalatiile de reglaj secundar ale noii centrale pana la interfata cu Transelectrica;
• montare analizor pentru monitorizarea calitatii energiei electrice.</t>
  </si>
  <si>
    <t xml:space="preserve">	
23/06/2023</t>
  </si>
  <si>
    <t xml:space="preserve">	
14.700000</t>
  </si>
  <si>
    <t>CTPARK PSI SRL</t>
  </si>
  <si>
    <t>CTPark PSI TIM 5</t>
  </si>
  <si>
    <t>COVACI</t>
  </si>
  <si>
    <t>Conform lucrarii elaborata de ELMAROM GRUP S.R.L. si avizata de E-Distributie Banat SA cu documentul Aviz CTE nr. Aviz CTE nr. 23/01/14.03.2023, respectiv adresa nr. 11468086 /12.04.2023 prin care utilizatorul opteaza pentru varianta 1 din stiudiul de solutie 40/2023 Lucrari pe tarif de racordare Montare puncte de conexiune medie tensiune (PC) Alimentarea cu energie electrica a cladirilor se va realiza prin intermediul unui punct de conexiune, prefabricat, in anvelopa de beton. Punctul de conexiune se va executa conform prevederilor Politicilor E.D.B. nr. 398 si nr. 86 (Reguli tehnice de racordare utilizatori). Punctul de conexiune, prefabricat in anvelopa de beton, amplasat pe proprietatea beneficiarului, intr-un spatiu special amenajat, cu acces direct din exterior, va avea fiecare trei compartimente distincte: ➢ Compartiment de racordare in care se vor amplasa celulele de medie tensiune si in care va avea acces numai personalul E-Distributie Banat SA; ➢ Compartiment/nisa pentru masura energiei electrice consumate la care va avea acces atat personalul E- Distributie Banat SA cat si cel al beneficiarului; ➢ Compartimentul utilizatorului in care se vor amplasa celulele de medie ale acestuia: celula cu Dispozitiv General (DG). Amplasarea punctului de conexiune se va face cu respectarea zonelor de protectie si de siguranta conform Ordinului ANRE nr. 239/2020, completat si modificat conform Ordinului ANRE nr. 225/2020 . Punct de conexiune PC Echiparea compartimentului de racordare Compartimentul de racordare va fi echipat cu un grup de celule de MT cu izolatia in aer si stingerea arcului electric in SF6, : ✓ Sectia de bare 1: - o celula de linie "LE", racord direct statie; - o celula de linie "LE" cupla cu sectia 2; - o celula de masurare a energiei electrice "UTM", echipata cu doua transformatoare de masurare curent TC cu raport 400/5 A, conform specificatiei tehnice DM 031052 RO si doua transformatoare de masurare tensiune cu raportul de 20/0,1 kV, conform specificatiei tehnice DMI 031015 RO; ✓ Sectia de bare 2: - o celula de linie "LE" tip DY, racord direct statie; - o celula de linie "ICS" tip DY, cupla cu sectia 1; - o celula de masurare a energiei electrice "UTM" tip, echipata cu doua transformatoare de masurare curent TC cu raport 400/5 A/A, conform specificatiei tehnice DM 031052 RO si doua transformatoare de masurare tensiune cu raportul de 20/0,1 kV, conform specificatiei tehnice DMI 031015 RO. Celulele vor fi prevazute cu rezistente anticondens. In spatiul punctului de conexiune va fi prevazut spatiu de rezerva pentru a asigura posibilitatea extinderii in viitor a barei de medie tensiune. Pentru integrarea punctului de conexiune in sistemul de telecontrol E.D.M, este necesara montarea: RG-DAT, UP-unitate periferica telecontrol , acumulatori, baterii, tablou j.t. pentru alimentarea serviciilor auxiliare. Echipamentele aferente sistemului de telecontrol se vor monta in rack. Alimentarea tabloului de servicii auxiliare va fi asigurata din instalatia de joasa tensiune a utilizatorului. Compartimentul E.D.B. este amplasat in asa fel incat distanta dintre celula de masurare si celula de dispozitiv general (DG) sa nu depaseasca 20 m. Compartimentul de racordare apartinand E.D.B., trebuie sa fie dotat prin grija utilizatorului cu usi si inchizatori conform specificatiilor E.D.B. Orificiile de aerisire trebuie sa comunice doar cu spatii deschise. Pentru introducerea in telecontrol prin intermediul fibrei optice nou proiectate a punctului de conexiune nou, fata de echipamentele necesare telecontrolului se vor monta si urmatoarele echipamente: Nota: - amplasamentul PC-ului este ales astfel incat sa asigure posibilitatea transportului, manipularii, repararii, supravegherii, revizuirii fara pericol a echipamentului electric; - beneficiarul va asigura accesul neconditionat al personalului autorizat pentru interventii la PC-uri si la cablurile electrice. In punctul de conexiune se va realiza o instalatie interioara de legare la pamant. Aceasta se va conecta la o priza de legare la pamant exterioara a carei rezistenta de dispersie trebuie sa fie sub 1ohm, cuprinsa in lucrarile in afara tarifului de racordare, pe investitia directa a benefiarului, care va raspunde de repararea, intretinerea si verificarea ei pe toata durata existentei. Racord medie tensiune punct conexiune Racordarea punctului de conexiune PC la reteaua de medie tensiune se va realiza prin racord direct din doua celule noi montate, o celula 20kV pe bara rosie si o celula 20kV pe bara verde, in statia 20kV Covaci Traseul cablurilor va fi pe domeniul public si proprietatea beneficiarului, si va avea o lungime de cca 11800m. Aportul capacitiv al noilor cabluri este de 70,8A Se va utiliza cablu 20kV, 3x1x185mmp Al, conform specificatiei tehnice DC 4385/2 (matricola 332284), montat in tuburi de protectie pliabile cu Ø 160mm (DS 4247/6 - matricola 295515), pe pat de nisip, la adancimea de 0,9 m. In acelasi profil cu LES 20kV se va poza si un tub D=90mm, pentru pozare fibra optica Cablurile vor fi pozate conform “Ghid pentru proiectarea şi construcţia liniilor în cablu subteran MT si JT ” elaborat de ENEL. Tuburile de protectie vor fi acoperite de un strat de 28 cm de nisip, peste care se va aseza folia avertizoare Se vor folosi mansoane de legatura mixte DJ 4387 RO, iar in celulele de linie capete terminale DJ 4456RO. Pentru lucrarile prevazute se va obtine autorizatie de construire Coexistenta retelelor subterane Coexistenta retelelor electrice subterane cu alte retele subterane se va face conform NTE 007/08/00 – Normativ pentru proiectarea şi executarea reţelelor de cabluri electrice, aprobat prin Ordinul nr. 38 din 20. 03. 2008 al preşedintelui ANRE. Distantele fata de instalatiile edilitare in conformitate cu NTE 007/08/00 sunt: ,,a) In plan orizontal: ,,▪ 0,5 m fata de apa si canal; ,,▪ 1,5 m fata de termoficare; ,,▪ 1,0 m fata de fluide combustibile; ,,▪ 1,0 m fata de gaze penbtru cablurile montate in tuburi 1,5 – 3 m in functie de presiunea gazului; ,,b) In plan vertical: ,,0,5 m fata de toate instalatiile.  "Lucrari in statia Covaci" ,,Punctul de conexiune PC, se va racorda direct din statia de transformare Covaci, prin intermediul a doua celule de linie noi montate in statia 20kV Covaci, bara rosie si bara verde, prin extinderea celor doua sectii de bare . ,,Extindere bara rosie" Pentru realizare extindere bara rosie, se vor monta in statia de 20kV Covaci, langa celula existenta nr. 21, o celula de linie prevazuta cu 3TC 300/5A pentru masura balanta. ,,Extindere bara verde ,, Pentru realizare extindere bara rosie, se vor monta in statia de 20kV Covaci, langa celula existenta nr. 22, o celula de linie prevazuta cu 3TC 300/5A pentru masura balanta Celulele noi se vor integra in sistemul existent de circuite secundare, servicii auxiliare, care permitepreluarea noilor celule. Pentru integrarea noilor celule in telecontrol este necesar,la fiecare celula circuit de f.o. intre releu si dulapul de telecomunicatii. Noile contoare, necesare pentru realizarea masurii de balanta de pe celulele de linie, vor fi montate intr-un dulap DQ1996RO existent, pentru masura de balanta Cablurile pentru circuitele de masura pentru curentii din secundarele de masura TC, tensiunile fiind existente in dulap, vor avea sectiunea 4x4+s Pentru traseul LES 20kV se va obtine Autorizatie de Construire. Lucrari in afara tarifului de racordare ce se vor realiza prin grija utilizatorului a)Amenajare punct de conexiune In proprietatea beneficiarului se vor amenaja un punct de conexiune medie tensiune, prefabricat in anvelopa de beton, cu exploatare din interior. Se vor respecta prevederile specificatiei tehnice ENEL DG 2092 RO, precum si “Ghidul pentru instalarea posturilor de transformare unificate si pentru proiectarea posturilor de transformare neunificate”. Punctul de conexiune va avea trei compartimente: ➢ in care se vor monta echipamentele EDB ce vor intra in patrimoniu acestuia si care sunt prevazute in prezenta documentatie; ➢ Abonat, apartinand utilizatorului UTM ➢ Compartiment pentru masura energiei electrice consumate la care va avea acces atat personalul E.D.B. cat si cel al beneficiarului; La punctul de conexiune se va executa o priza de pamant exterioara la care se va lega instalatia interioara de legare la pamant cu papuci si buloane amplasate in pozitii care sa fie usor de identificat .La realizarea ei se va folosi platbanda de OL-Zn 40*4mm si electrozi verticali din teava de Ol zincat de 2,5 toli , de 2,5m lungime. Legatura intre platbanda si electrozi se va realiza prin sudura. Valoarea rezistentei de dispersie a instalatiei de legare la pamant nu trebuie sa depaseasca 1 ohm. Fiecare punct de conexiune se va echipa cu: b)Echiparea compartimentului utilizatorului La echiparea compartimentelor utilizatorului, se vor avea in vedere prevederile Politicilor E.D.B. nr. 398 si nr. 86 elaborate de E-Distributie Banat. Toate echipamentele sunt dimensionate corespunzator cu caracteristicile retelei din punctul de racordare (tensiune, frecventa, curent nominal). Tinand seama de acestea in compartimentele abonatului se vor monta:  •Celula de dispozitiv general (DG) echipata cu separator de bare, intrerupator si CLP, transformatoare de curent TC 300/5A, tor homopolar TCH de 100/1A, sistem de protectie generala (PG), bobina de declansare – 2buc; • Celula masura tensiune echipata cu 3TT 20/1,73//0,1/1,73//0,1/3/5A, clasa de exactitate masura 0,5, clasa de exactitate protectie 3P si 3TC300/5, cls. 0,5, 10VA - 2 buc.; • Cablu de legatura intre celula de masura din compartimentul E-D.M. si celula de dispozitiv general – 2 buc; • Celule de racord post trafo – 4 buc.;  • Tablou servicii interne – 2 buc. La beneficiar se vor amenaja posturi trafo dimensionate corespunzator puterii solicitate. Din tabloul de joasa tensiune se va alimenta tabloul servicii auxiliare DY 3016 din compartimentul E-D.M. folosind cablu CYY-F 5x6 mmp. Sistemul de protectie asociat dispozitivului general (SPG) este format din : - transformatoarele de curent (TC), transformator homopolar (TCH); - transformatoare de tensiune (TT); - releu de protectie generala (PG); - circuite de declansare a intrerupatorului . Sistemul de protectie trebuie sa asigure urmatoarele protectii : ✓ Protectie maximala de curent cu trei trepte de timp la scutrcircuit si suprasarcina; ✓ Protectie maximala de curent homopolar directionata/nedirectionata, in doua trepte, contra punerilor la pamant monofazate, respectiv bifazate. Valorile de reglaj ale Protectiei Generale (PG) vor fi setate de abonat in baza valorilor de reglaj transmise de E.D.B. Avand in vedere prevederile din Ordinul ANRE nr. 59/2013 “Regulamentul privind racordarea consumatorilor la retelele de interes public“, lucrarile vor fi executate de firme atestate de catre ANRE care au implementat un sistem de management al calitatii aliniat la standardele SR EN ISO 9001/2008.</t>
  </si>
  <si>
    <t>MALEX THOR SRL</t>
  </si>
  <si>
    <t>BENZINARIE,MOTEL,RESTAURANT, PARCARE,MINI-MARKET,SERVICE CAMIOANE</t>
  </si>
  <si>
    <t>ORTISOARA</t>
  </si>
  <si>
    <t>Solutie propusa racord nou: I. Consta într-un PTanvelopa 20kV pus la dispozitie de catre beneficiar, cu masura MT racordat la LES 20KV DIN LEA MASLOC-ORTISOARA INTRE T2374 SI T22254, cu realizarea urmatoarelor lucrari: -Se intercepteaza LES 20KV DIN LEA MASLOC-ORTISOARA INTRE T2374 SI T22254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2x20m (din care 3m rezerva la manson, 10m in postul de transformare, restul in zona verde) pana la postul de transformare 20kV proiectat. -Cablul se va poza in sapatura deschisa la o adincime de 0.8-1 m, protejat in tub de polietilena reticulara, acoperit cu un strat de nisip de 20 cm masurat de la partea superioara a tubului, semnalizat cu benzi avertizoare cf. DS4235RO si DS4247RO. -Echipare compartiment racordare pus la dispozitie de beneficiar: - 2 buc. celule modulare de linie de 24kV, 630A, 16 kA(1s), cu separator de sarcină în SF6 şi CLP, conform DY803/416-LE ed.3 PT, telecontrolate, trebuie sa permita o dezvoltare ulterioara cu inca o celula de linie; - 1 buc. celulă de măsură cu separator de sarcină, conform DY803M/316-UTM ed.2, cu două TT 20/0,1 kV, conform DMI031015 RO, clasa de precizie 0,5 şi 2 buc. TC de 50/5A, conform DM031052 RO, clasa de precizie 0,5. Realizarea grupului de măsurare a energiei electrice pe MT, prin montarea unui contor electronic trifazat 2x100V, 5A, clasa de precizie 0.5S, cu curbă de sarcină, cu interfaţă serială RS232, cu sistem de teletransmisie, în montaj indirect (TT 20/0,1kV conform DMI031015 RO, clasa precizie 0,5, TC 50/5A conform DM031052 RO, clasa precizie 0,5S şi cordon de conectare grup de măsurare conform DMI031011 RO). Contorul va fi astfel amplasat încât să fie posibilă citirea lui din exteriorul punctului de conexiune atât de către consumator cât şi de distribuitor - rezistente in celulele MT – 3buc. si termohigrostat in PT – 3buc.; - PT va fi amplasat astfel incat accesul in PT sa fie direct din domeniul public; II. Lucrări finanţate de beneficiar, realizate prin grija lui, ce devin proprietatea acestuia, conform Ordin nr. 59/2013: 1). LES 20 kV cît mai scurtă posibil (l≤20m), cu cablu de cupru de secţiune minimă 95 mmp, între celula de măsură din compartimentul de racordare şi celula cu înterupător din compartimentul utilizatorului 2). Celulă sosire cu un separator tripolar şi a unui întrerupător automat fix (sau numai un întrerupător automat debroşabil) în compartimentul utilizatorului. Întrerupătorul va fi obligatoriu prevăzut cu sistem de protecţie generală maximală de curent şi împotriva defectelor de punere la pămînt, cu reglajul corelat cu celelalte protecţii din instalaţiile SC E-Distribuţie Banat SA-Zona MT/jt Timisoara 3). Instalaţia de iluminat interior, prize şi instalaţia de legare la pământ a clădirii punctului de conexiune Măsurarea energiei electrice se va face la MT, cu contor electronic trifazat 2x100V, 5A, clasa de precizie 0.5S, cu curbă de sarcină, cu interfaţă serială RS232, cu sistem de teletransmisie, în montaj indirect (TT 20/0,1kV conform DMI031015 RO, clasa precizie 0,5, TC 50/5A conform DM031052 RO, clasa precizie 0.5S, cordon de conectare grup de măsurare conform DMI031011 RO). 4) 1 buc trafo 20/0,4 kV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Comisia Tehnică de Avizare a E- Distribuţie Banat SA – Zona Reţea MT/jt Timisoara .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</si>
  <si>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AFI TECH PARK SRL</t>
  </si>
  <si>
    <t>Spor putere corp B</t>
  </si>
  <si>
    <t>17617641</t>
  </si>
  <si>
    <t>TOP &amp; CONSTRUCT DEZVOLTARE SRL</t>
  </si>
  <si>
    <t>Locuinte Colective</t>
  </si>
  <si>
    <t>SC COLINA SOLAR SRL</t>
  </si>
  <si>
    <t>PARC FOTOVOLTAIC "COLINA SOLAR" 1,875MW, NC 35774, 35775, 35776, LOC. VERESTI, JUD. SUCEAVA</t>
  </si>
  <si>
    <t>VERESTI</t>
  </si>
  <si>
    <t>SC ROMPAK SRL</t>
  </si>
  <si>
    <t>spor putere de la 2935 kW la 5900 kW</t>
  </si>
  <si>
    <t>SC ADF PRDO SRL</t>
  </si>
  <si>
    <t>MUNICIPIUL HUSI</t>
  </si>
  <si>
    <t>110/20kV Husi</t>
  </si>
  <si>
    <t>SC INTERTRANSCOM IMPEX SRL</t>
  </si>
  <si>
    <t>110/20kV Buhusi</t>
  </si>
  <si>
    <t>Lucrare finalizata</t>
  </si>
  <si>
    <t>DISCOVERY SOLAR SRL</t>
  </si>
  <si>
    <t>SUSENI</t>
  </si>
  <si>
    <t>LEA 20 kV Reghin – Uila</t>
  </si>
  <si>
    <t xml:space="preserve"> LES 20 kV Conexiunea 20 kV Satia 110/20 kV Cristian</t>
  </si>
  <si>
    <t>INFINITY RENEWABLES 1 SRL</t>
  </si>
  <si>
    <t>GURA RAULUI</t>
  </si>
  <si>
    <t>bara de 20 kV din Stația 110/20 kV Orlat</t>
  </si>
  <si>
    <t>- Statia 110/20 kV Stupini, Bara – C 110 kV, celula LES 110 kV KRONOSPAN ; Alimentarea de Rezerva : - Statia 110/20 kV Stupini, Bara - B 20 kV, celula LES 20 kV (J04) KRONOSPAN (cu limitare de putere aprobata la : Pabs. = 9 MW / Pdeb. = 0 MW )</t>
  </si>
  <si>
    <t>ATEL</t>
  </si>
  <si>
    <t>LEA 20 kV Darlos derivatia PT1 Hodos,</t>
  </si>
  <si>
    <t>SC DRAGOSEL LASLEA SRL</t>
  </si>
  <si>
    <t>LASLEA</t>
  </si>
  <si>
    <t>LEA 20 kV Dumbraveni - Sighisoara,</t>
  </si>
  <si>
    <t>TERRA ENERGY SYSTEM SRL</t>
  </si>
  <si>
    <t>BAND</t>
  </si>
  <si>
    <t>LEA 110 kV UNGHENI-RACIU.</t>
  </si>
  <si>
    <t>MC TRANS SRL</t>
  </si>
  <si>
    <t>UNGHENI</t>
  </si>
  <si>
    <t>Distribuitorul 20 kV Sanpaul - Aeroport</t>
  </si>
  <si>
    <t>AEROPORTUL INTERNATIONAL SIBIU R.A.</t>
  </si>
  <si>
    <t>PT 2 Turnisor, prin LES 20 kV - din Statia 110 / 20 kV - Aeroport (conexiunea 20 kV)</t>
  </si>
  <si>
    <t>SOCOROM CONSTRUCT SRL</t>
  </si>
  <si>
    <t>PCT 53.37.07 Socorom</t>
  </si>
  <si>
    <t>DIMINUARE DE PUTERE</t>
  </si>
  <si>
    <t>LEA 20 KV BOLDESTI</t>
  </si>
  <si>
    <t>SMTL SOLAR IANCA S.R.L.</t>
  </si>
  <si>
    <t>STATIA IANCA 110/20 KV</t>
  </si>
  <si>
    <t>B &amp; B AGRO HOLDING SRL</t>
  </si>
  <si>
    <t>IVESTI</t>
  </si>
  <si>
    <t>LEA 20KV LIESTI PA2</t>
  </si>
  <si>
    <t>NIMET SRL</t>
  </si>
  <si>
    <t>TARGOVISTE</t>
  </si>
  <si>
    <t xml:space="preserve"> celulele 20 kV NIMET 2 (4K) si respectiv NIMET 1 (6K) existente in statia de transformare 110/20/6 kV ROMLUX, ST. ROMLUX 110/20/6 KV, ST. ROMLUX 110/20/6 KV</t>
  </si>
  <si>
    <t>BRAILA WINDS SRL</t>
  </si>
  <si>
    <t>GEMENELE</t>
  </si>
  <si>
    <t xml:space="preserve"> ST. CEE GEMENELE 110/20 KV</t>
  </si>
  <si>
    <t>MODIFICARI TEHNICE IN INSTALATIA DE UTILIZARE FARA DEPASIREA PUTERII APROBATE</t>
  </si>
  <si>
    <t>SC FERARU FIF SRL</t>
  </si>
  <si>
    <t>TECUCI</t>
  </si>
  <si>
    <t>LEA 20 KV TECUCI PETROL</t>
  </si>
  <si>
    <t>SC EXPO PROFESSIONALS SRL</t>
  </si>
  <si>
    <t>BUTIMANU</t>
  </si>
  <si>
    <t>Bara 20 kV din statia de transformare 110/20 kV Butimanu, ST. BUTIMANU 110/20/6 KV</t>
  </si>
  <si>
    <t>BERI REAL ESTATE SRL</t>
  </si>
  <si>
    <t>COCORASTII COLT</t>
  </si>
  <si>
    <t>LEA 20 KV MANESTI</t>
  </si>
  <si>
    <t>NOVA POWER SOLAR 50 SRL</t>
  </si>
  <si>
    <t>LEA 110 KV TARGOVISTE-DOICESTI 3060</t>
  </si>
  <si>
    <t>ORGANIZARE DE SANTIER</t>
  </si>
  <si>
    <t>MN8849</t>
  </si>
  <si>
    <t>COMPANIA DE UTILITATI PUBLICE S.A.</t>
  </si>
  <si>
    <t>FOCSANI</t>
  </si>
  <si>
    <t>PTZ 2011 EPURARE FOCSANI</t>
  </si>
  <si>
    <t>ORGANIZATIA UTILIZATORILOR DE APA PENTRU IRIGATII APA RECE</t>
  </si>
  <si>
    <t>POTLOGI</t>
  </si>
  <si>
    <t>LEA 20 KV IRIGATII2B</t>
  </si>
  <si>
    <t>LANCETTI TRANSPORT SRL</t>
  </si>
  <si>
    <t>LES 20 KV ORADEA NORD UZINELE 2</t>
  </si>
  <si>
    <t>LIVEZILE SOLAR FARM SRL</t>
  </si>
  <si>
    <t>LEA 110 KV DC UNIREA PRUNDU BARGAULUI</t>
  </si>
  <si>
    <t>ELECTRIC MARK SRL</t>
  </si>
  <si>
    <t>LEA 20 KV MARGHITA SALACEA</t>
  </si>
  <si>
    <t>SC AQUA PRESIDENT SRL</t>
  </si>
  <si>
    <t>PTZ PRESIDENT 2</t>
  </si>
  <si>
    <t>EUROALPIN TRAVEL SRL</t>
  </si>
  <si>
    <t>LEA 20 kV Palota - Tamaseu</t>
  </si>
  <si>
    <t>Inlocuirea unui număr de 11 de stâlpi de susținere tip SE 1, SC 15006 cu stâlpi noi speciali tip SC 15014, echipați cu console CIE 150 și lanțuri de izolatoare de susținere compozit; • La toți stâlpii de susținere, pentru faza din mijloc se va folosi un lanț de izolatoare în V, atât la stâlpii cu izolație simplă, cât și la cei cu izolație dublă; • Inlocuirea unui număr de 13 de stâlpi tip SE 8, SV 15011, fisurati, cu stâlpi noi speciali tip SC 15014, echipati cu consolă CIT 140 și lanțuri duble de întindere de tip compozit; • Inlocuirea unui stâlp tip SV 15012, fisurat, cu un stâlp nou tip SC 15015, echipat cu consolă CIT 140 și lanțuri duble de întindere de tip compozit; • Montarea pe cei 6 stâlpi de întindere existenți tip SC 15014 a consolelor de întindere tip CIT-140 echipate cu lanțuri de întindere de tip compozit: lanțuri duble și lanțuri simple; • Realizarea prizelor de pământ la stâlpii noi și refacerea prizelor de pământ la stâlpii existenți care nu se înlocuiesc; • Inlocuirea conductoarelor existente Ol Al 50/8 mmp din axul LEA 20kV cu conductoare noi Ol Al 120/21 mmp, pe un traseu în lungime de 3 km, de la stația 110/20kV Palota, până la punctul de racordare a CEF 4 MW Sintion, nou proiectat. • Inlocuirea a 2 separatoare de ax tip STE3Pno-24kV/630A, datorita inlocuirii stalpilor pe care sunt montate. • Inlocuirea a 2 separatoare de ax tip STE3Pn-24kV/630A, datorita inlocuirii stalpilor pe care sunt montate.</t>
  </si>
  <si>
    <t>LEA 20 kV Halmasd - Sinteu la axa LEA 20kV Simleu-Nusfalau_x0002_Tusa</t>
  </si>
  <si>
    <t>Alimentarea nr. 1 - din Statia 110/20kV Simleu, distribuitor LEA 20 kV Simleu-Inter 2, stalpul nr. 97; - Alimentarea nr. 2 - din Statia 110/20kV Simleu,</t>
  </si>
  <si>
    <t>TN15069</t>
  </si>
  <si>
    <t>TN15070</t>
  </si>
  <si>
    <t>ALOREF SRL</t>
  </si>
  <si>
    <t>PTAb OS Nokian 1 - loc liber celula MT, PTAB CONEXIUNE UZINA CRISURI</t>
  </si>
  <si>
    <t>Statia 110/20 kV CET II</t>
  </si>
  <si>
    <t>TN14148</t>
  </si>
  <si>
    <t>SC PRO INTELIGENTA SRL</t>
  </si>
  <si>
    <t>CENTRALA FOTOVOLTAICA PRO INTELIGENTA 900KW, CF 51379, LOC. CRISTESTI, COM. CRISTESTI, JUD. BOTOSANI</t>
  </si>
  <si>
    <t>SC DAMIANA SIB SRL</t>
  </si>
  <si>
    <t>CENTRALA FOTOVOLTAICA DAMIANA SIB 900KW, CF 51156, LOC. CRISTESTI, COM. CRISTESTI, JUD. BOTOSANI</t>
  </si>
  <si>
    <t>SC PROPERTY RENT IMOBILIARE SRL</t>
  </si>
  <si>
    <t>PARC FOTOVOLTAIC "STANCA" 1,4MW, EXTRAVILAN, LOC. STEFANESTI, COM. STANCA, JUD. BOTOSANI</t>
  </si>
  <si>
    <t>RIPICENI</t>
  </si>
  <si>
    <t>racord LES MT in PA MOVILA</t>
  </si>
  <si>
    <t>1005244511</t>
  </si>
  <si>
    <t>CEF Șiștarovăț</t>
  </si>
  <si>
    <t>RECONVERT ENERGY INVEST SRL</t>
  </si>
  <si>
    <t>Timiș</t>
  </si>
  <si>
    <t>racordarea CEF Șiștarovăț 200 MW în LEA 400kV Arad - Mintia, zona st. 295-305 la 35km de stația 400/220/110 kV Arad și 103 km de stația 400/220/110 kV Mintia, prin intermediul unei stații de conexiuni intrare-ieșire 400 kV Șiștarovăț în configurație AIS, HIS sau GIS.</t>
  </si>
  <si>
    <t>SC GENESIS BIOTECH SRL</t>
  </si>
  <si>
    <t>GENESIS BIOTECH STATIE BIOGAZ CORDUN, STR. SOSEAUA ROMAN-IASI KM 33, LOC. CORDUN, COM. CORDUN, JUD. NEAMT</t>
  </si>
  <si>
    <t xml:space="preserve">racord in LEA MT </t>
  </si>
  <si>
    <t>conexiunea 20 kV din Statia 110/20 kV Cristian</t>
  </si>
  <si>
    <t>CIS GAZ PROPRIETATI SRL</t>
  </si>
  <si>
    <t>Bara B 1 - 20 kV - Statia 110 / 20 kV Copsa Mica</t>
  </si>
  <si>
    <t>Conexiunea 110 kV din Statia 110/20 kV Sebes (Consumator)</t>
  </si>
  <si>
    <t>UTB PARK SOLAX S.R.L.</t>
  </si>
  <si>
    <t>LEA 20 kV Band din Statia 220/110/20 kV Ungheni - derivatia 20 kV PTA3 Berghia</t>
  </si>
  <si>
    <t>WOLT FOTO VOLTAIC SRL</t>
  </si>
  <si>
    <t>SOLOVASTRU</t>
  </si>
  <si>
    <t>Alimentare 1 (CEF-1) : - stalpul nr. 60A, din LEA 20 kV (REGHIN) - AVICOLA 1, Statia 110 / 20 kV Reghin ; Alimentare 2 (CEF-2) : - stalpul nr. 70A, din LEA 20 kV (REGHIN) - AVICOLA 2, Statia 110 / 20 kV Reghin</t>
  </si>
  <si>
    <t>SC PRODLACTA SA</t>
  </si>
  <si>
    <t>PT 1504 "FPL"</t>
  </si>
  <si>
    <t>7010230736764</t>
  </si>
  <si>
    <t>SC SERVET ENERGY SRL</t>
  </si>
  <si>
    <t>FELDIOARA</t>
  </si>
  <si>
    <t>LEA 20 kV Sanpetru</t>
  </si>
  <si>
    <t>celula 6 kV Z13B din Statia 110/6 kV Astra</t>
  </si>
  <si>
    <t>ONE GRID S.R.L.</t>
  </si>
  <si>
    <t>SCHELA</t>
  </si>
  <si>
    <t>LEA 20 KV SCHELA</t>
  </si>
  <si>
    <t>MN9517</t>
  </si>
  <si>
    <t>MORENI</t>
  </si>
  <si>
    <t>LEA 20 KV OCHIURI</t>
  </si>
  <si>
    <t>GURA SOLAR PLANT SRL</t>
  </si>
  <si>
    <t>GURA OCNITEI</t>
  </si>
  <si>
    <t>LEA 110kV Romlux – Gura Ocnitei</t>
  </si>
  <si>
    <t>Lucrari de intarire in reteaua de distributie – Distributie Energie Electrica Romania -Reconductorare LEA 110 kV Nehoiasu - Patarlagele ‐ 19 km ; -Reconductorare LEA 110 kV Buzau Nord ‐ Vernesti ‐ 12.005 km -Reconductorare LEA 110 kV Patarlagele ‐ Maneciu ‐ 46.462 km -Reconductorare LEA 110 kV Targoviste - Mavrodin ‐ 28.5 km -Reconductorare LEA 110kV Stalpu – Mizil – 28.255km -Reconductorare LEA 110 kV Valea Calugareasca ‐ Urlati ‐ 8.976 km -Reconductorare LEA 110 kV Maneciu - Olteni - Valenii de Munte ‐ 21.166 km -Reconductorare LEA 110 kV Mizil ‐ Urlati ‐ 21.116 km Lucrari de intarire in reteaua de distributie – Transelectrica -Echipare AT3 200MVA 220/110kV in St. Targoviste</t>
  </si>
  <si>
    <t>EOL ENERGY S.R.L.</t>
  </si>
  <si>
    <t>RACARI</t>
  </si>
  <si>
    <t>ST. MAVRODIN 110/20 KV</t>
  </si>
  <si>
    <t>SOLAR GREEN PLANET FOUR SRL</t>
  </si>
  <si>
    <t>ULMI</t>
  </si>
  <si>
    <t>LEA 20 kV Rancaciov alimentata din statia de transformare Targoviste</t>
  </si>
  <si>
    <t>Lucrari de intarire generale statia Targoviste: - Amplificare ambele transformatoare 16 MVA si 25 MVA existente la 31.5 MVA inclusiv elementele de legatura cu bara de 20 kV, transformatoare de curent. - Amplificare grup tratare neutru statia Targoviste ce consta in inlocuirea celor doua bobine existente 100A cu bobine de 200A inclusiv separatoarele de nul ale acestora si transformatoarele de creere nul si servicii interne Lucrari pentru respectare criteriului N-1 elemente RED : LEA 110 kV CET Brazi Columbia 5.2 km LEA110 kV Valea Calugareasca – Ploiesti Nord 20 km LEA 110 kV Teleajen – Columbia 9 km</t>
  </si>
  <si>
    <t>HERMES BUSINESS CENTER S.R.L.</t>
  </si>
  <si>
    <t>LES 20 KV VRANCEI 30400202</t>
  </si>
  <si>
    <t>GEDA COM SRL</t>
  </si>
  <si>
    <t>RAMNICU SARAT</t>
  </si>
  <si>
    <t>ST. COSTIENI 110/20 KV</t>
  </si>
  <si>
    <t>Statia de transformare COSTIENI 110/20 kV,</t>
  </si>
  <si>
    <t>SANSTELLA ENERGY SRL</t>
  </si>
  <si>
    <t>GRADISTEA</t>
  </si>
  <si>
    <t>LEA 20 kV SUTESTI alimentata din Statia 110/20 kV IANCA</t>
  </si>
  <si>
    <t>AVEMUTUAL GREEN ENERGY SRL</t>
  </si>
  <si>
    <t>LEA 20 KV GURA CALITEI</t>
  </si>
  <si>
    <t>MN9519</t>
  </si>
  <si>
    <t>NSK INVESTMENT SRL</t>
  </si>
  <si>
    <t>ST. CEIL 110/20/6 KV</t>
  </si>
  <si>
    <t>CENTRALA TERMOELECTRICA 20,148 MW Focsani</t>
  </si>
  <si>
    <t>SEREDIN AVI S.R.L.</t>
  </si>
  <si>
    <t>PCZ 73 FNC</t>
  </si>
  <si>
    <t xml:space="preserve"> ST. SAHATENI 110/20 KV</t>
  </si>
  <si>
    <t>MN8704</t>
  </si>
  <si>
    <t>CIA ABOLIV SRL</t>
  </si>
  <si>
    <t>MIHAI VITEAZU</t>
  </si>
  <si>
    <t xml:space="preserve"> LEA MT 20 kV - Mihai Viteazu - Baisoara</t>
  </si>
  <si>
    <t>MUNICIPIUL CLUJ-NAPOCA</t>
  </si>
  <si>
    <t>LES 10kV TROLY 2</t>
  </si>
  <si>
    <t>LES 10 KV CAMPULUI - MANASTUR 1</t>
  </si>
  <si>
    <t>PTAb CTP GRIGORESCU</t>
  </si>
  <si>
    <t>Agentia Nationala de Imbunatatiri Funciare</t>
  </si>
  <si>
    <t>SPPA KM 443</t>
  </si>
  <si>
    <t>Oltenita Nord</t>
  </si>
  <si>
    <t>S.C. JD AGRO COCORA S.R.L.</t>
  </si>
  <si>
    <t>COMPLEX AGRICOL</t>
  </si>
  <si>
    <t>Cazanesti</t>
  </si>
  <si>
    <t>PLOTURI DE IRIGATII SPP6-6 SI CA2/OUAI</t>
  </si>
  <si>
    <t xml:space="preserve"> Sacele</t>
  </si>
  <si>
    <t>19/07/2023</t>
  </si>
  <si>
    <t>SRPA 16.45</t>
  </si>
  <si>
    <t xml:space="preserve">	
24/07/2023</t>
  </si>
  <si>
    <t>SOLARIS PARK ONE S.R.L.</t>
  </si>
  <si>
    <t>PARC FOTOVOLTAIC NADLAC I</t>
  </si>
  <si>
    <t>A20 PETROL 2-SEMLAC AR</t>
  </si>
  <si>
    <t>Lucrari de intarire: Lucrari in amonte de punctul de intarire retea determinate de necesitatea asigurarii conditiilor tehnice in vederea evacuarii/consumului puterii aprobate pentru locul de consum si/sau producere) . - Lucrari de intarire generale – inlocuirea grupului de tratare neutru din rezistor de tip DT1110 in Bobina Petersen DT 1096, 30-200A in statia Semlac. (Ti)calcul = Sevac * i5=2,73 * 529.000 lei = 1.444.170,00 lei ; Aceasta a fost calculata in baza Devizului general si are valoarea de: 494.556,97 lei Valoarea Ti = min(1.444.170,00 lei; 494.556,97 lei ) = 494.556,97 lei.</t>
  </si>
  <si>
    <t>PARC FOTOVOLTAIC NADLAC II</t>
  </si>
  <si>
    <t>A20 PETROL 1-SEMLAC AR</t>
  </si>
  <si>
    <t>Lucrari de intarire: Lucrari in amonte de punctul determinate de necesitatea asigurarii conditiilor tehnice in vederea evacuarii/consumului puterii aprobate pentru locul de consum si/sau producere) . - Lucrari de intarire generale – inlocuirea grupului de tratare neutru din rezistor de tip DT1110 in Bobina Petersen DT 1096, 30-200A. (Ti)calcul = Sevac * i5=2,475 * 529.000 lei =  1.309.275,00 lei pentru varianta 1 ; Aceasta a fost calculata in baza Devizului general si are valoarea de: 494.556,97 lei Valoarea Ti = min(1.309.275,00 lei; 494.556,97 lei ) = 494.556,97 lei; - Lucrari de intarire comune – nu este cazul;</t>
  </si>
  <si>
    <t>MAXENEGY FOUR SRL</t>
  </si>
  <si>
    <t>A20 MAURENI BERZOVIA-GATAIA RE</t>
  </si>
  <si>
    <t>FAGET SOLAR FOUR SRL</t>
  </si>
  <si>
    <t>FAGET 110/20 KV</t>
  </si>
  <si>
    <t>Construire parc fotovoltaic si racord la SEN</t>
  </si>
  <si>
    <t>A20 POMPE MURES-SINNICOLAU MARE TM</t>
  </si>
  <si>
    <t xml:space="preserve">	
17174847</t>
  </si>
  <si>
    <t>SC PROD SATIMPEX SRL</t>
  </si>
  <si>
    <t>Construire centrala fotovoltaic si racordarea la retea cu puterea instalata de 37 567,2 kWp, amplasat pe sol</t>
  </si>
  <si>
    <t>LEA 110KV COVACI-ORTISOARA</t>
  </si>
  <si>
    <t xml:space="preserve">Conform lucrarii:L20/2023 rev1 - elaborata de Cons Electrificarea Instal S.R.L. si avizata de E-Distributie Banat SA cu documentul Aviz CTE nr. 26/05/27.03.2023 si la CNTEE Transelectrica SA cu documentul nr. 264/2023, tinand seama de situatia energetica din zona precum si de datele solicitate de utilizator Racordare la SEN se va face prin realizarea unei noi staţii de interconexiune intrare-ieșire (numita Statia 110 kV Cerneteaz) de 110 kV pe terenul pus la dispoziţie de beneficiarul parcului şi racordată la LEA 110kV Covaci-Orțișoara prin montarea unui stâlp de întindere în apropierea stâlpului nr. 59, cu realizarea urmatoarel lucrari:
                   I. Lucrari pe tarif de racordare conform Ordin ANRE nr 59/2013 cu modificarile si completarile ulterioare : 
Realizare racord 110kV dublu circuit (inclusiv fibra optica) pentru incadrarea statiei de conexiune „intrare -ieşire.
Statia de conexiune intrare-iesire va fi prevăzuta cu:
- doua celule 110 kV echipate complet, fiecare cu cate un întrerupător cu comanda unitripolara si RAR monofazat;
- separator 110 kV de by-pass in amonte de celulele de linie sosire din LEA;
- bară colectoare 110 kV simplă sectionata cu doua separatoare;
- celula de 110 kV plecare spre utilizator echipata cu separator 110 kV și grup de măsură; contorul se va achizitiona si monta de catre OD;
- punctul de delimitare a instalatiilor OD de cele ale utilizatorului se va realiza la bornele separatorului de linie din celula de masura de decontare si celula 110 kV a utilizatorului echipata cu intrerupator;
- protecții adecvate liniilor în celulele de linie plecare spre stațiile adiacente
- servicii interne c.c. şi c.a.: serviciile interne de c.c. se vor asigura printr-o stație de energie, iar serviciile de c.a. 0,4 kV se vor asigura din instalațiile Utilizatorului, cu rezervare prin grup electrogen. Asigurarea alimentării cu energie electrică a serviciilor interne de c.a. se va realiza prinntr-un ATR distinct.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 Enel.
Dispozitivul general se montează la o distanta de maxim 50 m fata de separatorul de linie aferent celulei de masura ce asigura delimitarea dintre instalatia de racordare si cea de utilizare. Echiparea statiei de conexiuni va fi urmatoarea:
,,- celula LEA 110kV – 2 celule.
o 3 DRV ZnO 123kV
o 3 x TT 110/3//0,1/3//0,1/3//0,1kV
o 1 separator tripolar linie cu două CLP 123kV, 1600A
o 3 x TC 110kV 2x300/5/5/5A
o 1 întrerupător tripolar 145kV, 2000A
o 1 separator bare tripolar cu un CLP, 123kV, 1600A
- celula by-pass 110kV – 1 celula.
o 1 separator tripolare de linie cu două CLP 123kV, 1600A
- Sectionarea barei de 110 kV
o 2 separatoare tripolare de bare cu două CLP 123kV, 1600A
- celula masura – 1 celula.
o 3 CT 123kV
o 3 x TT 110/3//0,1/3//0,1/3//0,1kV
o 1 separator tripolar linie cu două CLP 123kV, 1600A
o 3 x TC 110kV 2x200/5/5/5A
o 1 separator bare tripolar cu un CLP, 123kV, 1600A
Toate echipamentele de 110kV de circuite primare și secundare vor fi conform Standardelor Globale Enel. Conform NTE 011/12/00 – “Normativ pentru proiectarea sistemelor de circuite secundare ale staţiilor electrice”. – Vol. I, art. 7. Terminologie (L&lt; 20 Km) în cazul liniilor scurte, protecţiile de distanţă ale liniei vor fi completate, cu o protecţie diferenţială de linie.
De asemenea în noua stație 110kV se va monta un ansamblu format din Anvelope de Beton (Container de protecție) pentru echipamentele de protecţii, servicii proprii, telecontrol şi securizare în care se vor monta următoarele echipamente omologate conform standardelor globale:
•- dulap protecţie linie 110kV o LEA Covaci: protecție diferențială longitudinală, prot. distanță; bloc de măsură - în conformitate cu specificațiile unificate E-Distribuție
•o LEA Orțișoara: protecție diferențială longitudinală, prot. distanță; bloc de măsură - în conformitate cu specificațiile unificate E-Distribuție  •- Se va monta cate un dulap de protectie linie 110 kV, DQ 7010, complet echipat. Protecția fiecărei linii se va realiza cu câte două relee multifuncționale de protecție și o protecție de distanță, conform specificațiilor unificate ENEL, DV7036 de tip A3. Protecția de distanță DV7036A3 omologată ENEL în conformitate cu specificațiile unificatete ENEL va avea următoarele funcții de protecție:
- protecție de distanță
- protecție maximală de curent;
- protecție maximală de curent homopolar direcționată;
- declanșare la refuz răspuns întreruptor;
- reanclanșare automată rapidă (M+T);
Lungimea liniilor noi rezultate LEA 110kV Covaci – Cerneteaz (l=4 km); LEA 110kV Cerneteaz – Orțișoara l=19,28 km) fiind sub 20km este necesar montarea de protecții diferențiale longitudinale.
În vederea asigurării căii de comunicație pentru protecția diferențială pe LEA 110kV Covaci – Cerneteaz ; LEA 110kV Cerneteaz – Orțișoara se va monta un cablu de tip ADSS.
Protecțiile diferențiale se vor monta în dulapurile de protecții existente din stația 110kV Covaci și Orțișoara.
Stația va dispune de un sistem SCADA nou, si se va integra in sistemul de SCADA si telecontrol existent al EDB.
            II. Lucrari ce se realizeaza prin grija si pe cheltuiala utilizatorului :
Racord LES 110kV presupune realizarea unui racord LES 110 kV simplu circuit, în lungime de cca 2,8 km, cu cablu - XLPE - 3x630mmp Al si ADSS in vederea asigurarii conditiilor de functionare al protectiei diferentiale al LES 110 kV CEF.
Lungimea liniei LES 110kV CEFProd Satimpex – Cerneteaz fiind sub 20km este necesar montarea în capetele opuse a unor protecții diferențiale longitudinale.
Protecțiile diferențiale se vor monta în dulapurile de protecții (proiectate) din stația 110/20 kV – 40 MVA CEF Prod Satimpex si statia 110 kV Cerneteaz instalatia de utilizare (dispozitivul general).
La o distanta mai mica de 50 m de St. 110kV Cernateaz se va monta:
- Celula DG CEF 110kV – 1 celula.
o  3 x TT 110/3//0,1/3//0,1/3//0,1kV
o  1 separator tripolar linie cu două CLP 123kV, 1600A
o  1 întrerupător 145k, 2000A
o  3 x TC 110kV 2x150/5/5/5A
o  1 separator bare tripolar cu un CLP, 123kV, 1600A
o  Protectia diferentiala aferenta LES 110 kV CEF
 De asemenea în stația 110kV se va monta un ansamblu format din Anvelope de Beton (Container de protecție) pentru echipamentele de protecţii, servicii proprii, telecontrol şi securizare în care se vor monta următoarele echipamente omologate conform standardelor globale:
- dulap protecţie linie 110kV o LES CEF Satimpex: protecție diferențială longitudinală, prot. distanță; bloc de măsură
- dulap BA 220Vcc
- dulap redresoare
- dulap servicii proprii SP c.a.
- dulap servicii proprii SP c.c.
- dulap teletransmisii – TC
Stația 110/20kV - 40 MVA
În vederea posibilitătii evacuării noii puteri instalate în centrala CEF este necesar realizarea unei stații de transformare de 110/20kV în imediata apropiere a centralei.
- realizare căi de comunicație de la instalațiile de monitorizare și instalațiile de reglaj secundar ale noii centrale până la interfața cu Transelectrica;
- integrarea dispozitivului general in sistemul de telecontrol al OD pentru transmitere pozitie intrerupator
- montare analizor pentru monitorizarea calității energiei electrice Staţia 110/20 kV - 40 MVA va fi echipată cu o celulă de trafo cu intreruptor, trafo de 110/20 kV- 40 MVA şi conexiunea de 20 kV care va avea o cameră cu dulapurile de protecţii comandă si măsură aferente celulei de 110 kV, servicii proprii, baterii de acumulatoare si dulap pentru telecontrol si transmisii date, iar pe 20 kV cu celula trafo, măsură, servicii proprii şi linii.
De asemenea s-au prevăzut grupuri electrogene suplimentare în vederea alimentării serviciilor interne ca sursă de rezervă, atat la Statia 110/20 kV – 40 MVA CEF Prod Satimpex cat si la Statia 110 kV Cerneteaz. 
</t>
  </si>
  <si>
    <t>11150801</t>
  </si>
  <si>
    <t>SGROM SEVENTEEN SRL</t>
  </si>
  <si>
    <t>este stabilit Ia nivelul de tensiune 20 kV, în LEA 20kV Masloc intre stalpii 87 si 88 alimentata din sta?ia 110/20 kV Ortisoara.</t>
  </si>
  <si>
    <t>Conform lucrarii: EEI-SS-849/2023 - elaborata de ELECTROECHIPAMENT INDUSTRIAL SRL si avizata de E-Distributie Banat SA cu documentul Aviz CTE nr. 47/01/08.06.2023, tinand seama de situatia energetica din zona precum si de datele solicitate de utilizator Racordare la SEN se va face prin Racordare intrare – iesire in LEA 20kV Masloc din statia 110/20 kV Ortisoara, cu realizarea urmatoarelor lucrari :
I. Lucrari pe tarif de racordare conform Ordin ANRE nr. 59/2013 cu modificarile si completarile ulterioare :
Pentru racordarea CEF Seceani 1,9 MW se va realiza un racord intrare-iesire in LEA 20 kV Masloc, prin plantarea 2 stalp special si montarea unui PC nou proiectat ce va fi amplasat in proximitatea liniei 20kV, pe un teren pus la dispozitie de catre Beneficiar.
-plantare 2 stalpi speciali unificati 12G31 (notati cu st.1A si st.1B) intre stalpii 87 si 88 existenti in LEA 20kV Masloc
-echiparea stalpilor proiectati cu coronament semiorizontal de intindere, lanturi duble terminale compozit, descarcatoare cu oxid de zinc 24kV si priza de Pamant cu Rp&lt;4ohmi -demontare conductor intre stalpii 1 si 2 proiectati. - realizare racord 20kV intrare – ieşire LES 20kV între stalpii proiectati şi punctul de conexiune, prin intermediul LES 20kV cu cablu tip XLPE 3x(1x185mm2) in lungime totala de 80m (inclusiv pe stalpi).
- echipare punct de conexiune compartiment OD cu:
*- 2 celule de linie (1LE) LE 24 kV ,400A , 16 Ka;
*- 1 celulă de măsură (1UT) pentru CEF, cu plecare în cablu, UT, 24 kV, 400A , 16 kA, echipată cu 2 transformatoare de curent 400/5A, cls.0,2S şi 2 transformatoare de tensiune 20/0.1kV cls. 0,2;
* - echipamente pentru integrarea în sistemul de telecontrol E−Distribuţie Banat SA a celulelor de linie si masura:
- montarea de RGDAT − 2 buc,
- UP 2020 LITE − 1 buc,
- baterii acumulatori − 2 buc,
- TSA − 1 buc,
- router Rugged pentru comunicatii 4G − CISCO IR1101,
- Swich−uri rugged CISCO IE−4000−-8S4G−E,
- dulap pentru echipamente de telecomunicatii FT−045_TLC-M − TIP B si accesoriile de conectica: Patch−cord ftp cat. 6e (lungime 1 m); Patch−cord ftp cat. 6e (lungime 10 m).
- Montare grup de măsurare de decontare in firidă securizată, cu contor cu telecitire bidirecţional, clasa 0,2 S (pus la dispoziţie de OD);
- Amplasare punct de conexiune -compartiment operator de reţea, cu acces liber din domeniul public, dimensionat pentru exploatare din interior; PC se va pozitiona pe un amplasament pus la dispoziţie de utilizator; (constructia PC este in sarcina utilizatorului si va ramane in proprietatea acestuia) in proximitatea LEA 20kV Avicola Berzovia
Se precizeaza ca celulele vor fi unificate, cu posibilitate de telecontrol si monitorizare.
Se va prevedea o nişa de mãsurã in care se va monta un contor electronic de energie activă şi reactivă cu dublu sens, prevăzut cu curbă de sarcină, cu interfaţă serială RS 232, cu telecitire, clasa de precizie 0.2s.
II. Lucrari ce se realizeaza prin grija si pe cheltuiala utilizatorului reprezentand instalatie de utilizare:
Achizitionare si echipare punct de conexiune compartiment Utilizator, conform PD_IO 1815-EDB -PL86 “Criterii tehnice de racordare a clienților la rețelele de ÎT, MT, JT” si anume:
- 1 celulă DG cu izolaţie în aer, 24 kV – 630A – 16 kA, echipată cu separator şi întreruptor, transformatoare de măsurare de curent 300/5A cl. min 0,5; 10Ipn, transformator de curent homopolar tip toroidal 100/1A montat pe cablurile MT.
Întrerupatorul este prevăzut cu protecţie digitală şi modul de comunicaţie integrabil în sistemul de telecontrol E Distributie Banat.
- 1 celula de utilizator – sosire CEF, cu funcţie DI, gabarit normal cu izolaţie în aer, de 24 kV – 630 A – 16 kA cu intreruptor şi separator de sarcină având mediul de stingere a arcului electric în SF6, cu cuţite de legare la pământ, prevăzute cu lămpi de semnalizare prezenţă tensiune în celulă, cu rezistenţa de încălzire 50 W – 220 V.c.a, cu releu de semnalizarea scurtcircuitelor mono şi polifazate ; TC toroidal 100/1A montat pe cablul de sosire CEF, protectii antiinsularizare;
- 1 celulă trafo servicii interne, 24 kV – 400 A – 16 kA, gabarit normal cu izolaţie aer, echipată cu separator de sarcină şi siguranţe fuzibile 6,3 A, pentru transformator de putere trifazat de 4 kVA, 20/0,4 kV. - 1 transformator de putere trifazat, de 4 kVA, 20/0,23 kV, usc = 4%;
- 1 tablou general servicii interne abonat. - Montarea traductorilor P, Q, U;
- Instalaţia de iluminat, prize si instalaţia de legare la pământ a clădirii punctului de conexiune;
- Montare analizor pentru monitorizarea calităţii energiei electrice; echipamentul va trebui sa asigure, în principal, cerintele tehnice din FT 111_MAT "ANALIZOR STATIONAR DE CALITATE A ENERGIEI ELECTRICE". - sistem pentru culegere informaţii şi transmitere a mărimilor P, Q, U şi poziţie întreruptor DG la DET prin dispecerul E−Distribuţie.
In compartimentul utilizator, se vor instala traductoarele de putere active P, putere reactiva Q şi tensiune U.
Acestea se vor racorda in circuitele de masura ale transfomatoarelor de curent si de tensiune. Semnalele de ieşire ale traductoarelor, împreuna cu cel de poziţie a dispozitivului general DG, vor fi disponibile într-un şir cleme. De la şirul de cleme până la UP2020 amplasat în compartimentul OD, semnalele vor fi transmise printr-un cablu special ecranat, care va face parte împreună cu traductoarele din instalaţia de utilizare.
Lungimea cablului nu va depăşi 20 m.
Punctul de Conexiuni va fi prevăzut cu priză de legare la pământ combinată interior-exterior, a cărei rezistenţă de dispersie să fie R &lt; 4 Ω. Sistemul de protecţie general (SPG) asociat DG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Sistemul de protecţie SPI asociat DI contine relee de frecvenţă, de tensiune şi eventual de tensiune homopolară si cuprinde:
- funcţie protecţie de tensiune minima /maxima in 2 trepte;
- funcţie protecţie de frecventa minima /maxima in 2 trepte;
- funcţie de protecţie de maxima de tensiune mediata la 10 minute.
- protecţie homopolară de tensiune temporizată;
-protecţie împotriva reconectărilor automate la reţea
- Racord LES 20 kV între PC utilizator şi PC OD Din celula DG va pleca un cablu de 20 kV Cu secţiune 3x(1x95 mm²) Cu L=20m şi se va conecta in punctul de conexiuni 20 kV ce aparţine E-Distributie Banat, celula de masura.
- Realizare LES 20 kV cu cablu 20kV Al 3x185mmp cu lungimea de 0,96km între punctul de conexiune PC 20kV ce se va amplasa lângă punctul de racordare şi PT -CEF;</t>
  </si>
  <si>
    <t>13075624</t>
  </si>
  <si>
    <t>FAGET SOLAR FIVE SRL</t>
  </si>
  <si>
    <t>17259940</t>
  </si>
  <si>
    <t>SGROM TWELVE SRL</t>
  </si>
  <si>
    <t>A20 AVICOLA BERZOVIA-BOCSA RE</t>
  </si>
  <si>
    <t>15449220</t>
  </si>
  <si>
    <t>GREEN GRID ONE SRL</t>
  </si>
  <si>
    <t>Centrala electrica Fotovoltaica Sebis</t>
  </si>
  <si>
    <t>SEBIS 110/20KV</t>
  </si>
  <si>
    <t>17879999</t>
  </si>
  <si>
    <t>Determinate de necesitatea asigurarii conditiilor tehnice in vederea evacuarii puterii aprobate inclusiv pentru CEF Sebis
Calculul de regimuri permanente s-a realizat pornind de la schema normala de functionare a SEN,
5.1 Realizarea lucrărilor de întărire generale pentru respectarea criteriului cu N elemente in functiune in RED 110 kV din zona EDB: - nu e cazul
5.2 Realizarea lucrărilor de întărire pentru respectarea criteriului cu N elemente in functiune in RED 110 kV din gestiunea DEER: -
In statia 110/20 kV Varfuri apartinand Distributie Energie Electrica Romania se vor inlocui transformatoarele de curent existente in celula LEA 110 kV Sebis cu 3 buc. transformatoare de curent monopolare: 2x300/5/5/5/5 A, clasa de precizie 0,2s – 3 buc. In conformitate cu avizul CTES 235/2023 al 
CNTEE Transelectrica SA.
5.3 Realizarea lucrărilor de întărire pentru respectarea criteriului cu N-1 elemente in functiune in RED 110 kV din zona EDB:- nu ecazul</t>
  </si>
  <si>
    <t>SGROM FOUR SRL</t>
  </si>
  <si>
    <t>Parc fotovoltaic Beregsau Mare</t>
  </si>
  <si>
    <t>A20 BEREGSAU 2-CARPINIS TM</t>
  </si>
  <si>
    <t>10842252</t>
  </si>
  <si>
    <t>LUXUS ENERGY S.R.L.</t>
  </si>
  <si>
    <t>Centrala Electrica Fotovoltaica Luxus Energy</t>
  </si>
  <si>
    <t>A20 CAPTARE 2-T 52063 TM</t>
  </si>
  <si>
    <t>10528131</t>
  </si>
  <si>
    <t xml:space="preserve">RO005E541692424 / 1 </t>
  </si>
  <si>
    <t>RO005E514007629/1</t>
  </si>
  <si>
    <t>- cf L 7324 / 2021 - FS “Racordarea la SEN a obiectivului: Construire hala D in loc. Ghiroda, str. Aviatorilor, nr. 4, CF 410336, jud. Timis” consta din realizarea realizarea unui Punct de Conexiune de 20 kV, cu delimitare si masura la medie tensiune. PC se va inseria in LES 20 kV nr 4 din St. Padurea Verde, in tronsonul cuprins intre P 52003 si P 51986. PC de 20 kV va fi realizat cu 2 compartimente cu acces separat (compartiment de racordare ptr acces personal Enel si compartiment utilizator ptr acces utilizator). Clădirea Punctului de Conexiune va fi pusă la dispoziţie de beneficiar si se va amplasa pe terenul beneficiarului, pe cat posibil la limita de proprietate. Deoarece la N-1 noul consumator va ramane nealimentat, in vederea respectarii standardului de performanta in vigoare sunt necesare lucrari de buclare a LES 20 kV nr 4 cu LEA 20 kV Aeroport, LEA 20 kV devenind astfel a doua cale de alimentare. Pentru realizarea soluţiei de alimentare cu energie electrică prezentate mai sus, este necesară realizarea următoarelor lucrări: 1.Lucrări finanţate pe baza tarifului de racordare plătit de beneficiar la E- Distribuţie BANAT SA: ·,,Montarea unui Punctul de Conexiune pe terenul beneficiarului care se va echipa cu: -2 celule de linie motorizate 24 kV, 630 A, 16 kA cu separator de sarcină în SF6 conf. DY803/416- LE ed. 2 -,,loc ptr 1 celula de line 24 kV -o celula de masura conf. DY803M/316-1UT cu separator si grup de masura format din doua transformatoare de tensiune 20/0,1 kV, clasa de precizie 0,5 conform DMI031015 RO ,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sînt amplasate instalaţiile de racordare, trebuie să fie cu acţionare din interior.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termo higrostat ( FT169 MAT-ED.01) si sistem de incalzire ptr celulele mt ( FT 170 MAT ED.01) ,,,,- echipamente pentru telecontrol : un tablou pentru alimentare servicii auxiliare DY 3016 RO, Unitate periferica DX 1215 RO cu doi acumulatori DY 815 RO, modul GSM DX1226RO si antena DN 760. ,,,,- mansonare LES m.t. existent cu LES mt proiectat in zona din fata PC 51986, - pozare LES m.t. proiectat ( 2 cabluri in profil )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tronson in lungime de cca. 0 ,005 km, intre mansonul m.t si Punctul de Conexiune proiectat prevazut pe terenul beneficiarului. 2.Lucrări finanţate de beneficiar, realizate prin grija lui, ce devin proprietatea acestuia: 1.Anvelopa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2.Realizare LES 20 kV cît mai scurtă posibil (l≤20m), cu cablu de cupru de secţiune minimă 95 mmp, între celula de măsură din compartimentul de racordare de 20 kV şi celula de record cablu a celulei cu intrerupator din compartimentul utilizatorului 3.Celulele de sosire in compartimentul utilizatorului vor fi cu intrerupator general automat debrosabil/ intrerupator automat si separator. Întrerupătorul va fi obligatoriu prevăzut cu sistem de protecţie generală maximală de curent in trei trepte ( la scurtcircuit si la suprasarcina ) si protective homopolara de current in doua trepte, contra punerilor la pamant monofazate respective bifazate, c reglajul corelat cu celelalte protectii din intalatiile E-Distributie Banat SA. 4.Instalatie de iluminat si o priza bipolară cu întrerupător 16A-230V 5.LES 20 kV intre punctul de conexiune si postul/posturile trafo montat la beneficiar 6.trafo 20/0,4 kV 7.Realizarea instalaţiei de legare la pămînt pentru noul PC, Rp, 4 ohmi -echiparea PT 52004 cu 1 celula de linie motorizate 24 kV, 630 A, 16 kA cu separator de sarcină în SF6 conf. DY803/416-LE ed. 2 -demontarea din PT 51791 a celulelor 20 kV (1 CL +1 CT) care suntneunificate -echiparea PT 51791 cu : -2 celule de linie motorizate 24 kV, 630 A, 16 kA cu separator de sarcină în SF6 conf. DY803/416- LE ed. 2 -1 celula trafo cu separator de sarcina in SF6 si sigurante, conform DY 803/216-T. Delimitarea de proiectare, gestiune si masurare între instalaţiile distribuitorului şi cele ale consumatorului este stabilit la nivelul de 20 kV, la capetele terminale de racordare a LES 20 kV plecare din compartimentul de racordare al PC proiectat spre compartimentul utilizatorului.</t>
  </si>
  <si>
    <t>cf L 7203/2021 - SS “Racordarea la RED a obiectivului: sala polivalenta, comert si alimentatie publica, situat in localitatea Ghiroda, str. Sperantei, CF 410486, jud. Timis”-SOLUTIA 1-aleasa de utilizator prin adresa nr.110947/07.04.2021, elaborat de E-Distributie Banat SA si avizat de E-Distributie Banat SA cu avizul CTE nr.112/MT/10 / 11.03.2021, tinand cont de situatia energetica existenta precum si de solicitarea beneficiarului, alimentarea cu energie electrica a obiectivului consta din realizarea unui Punct de Conexiune de 20 kV cu delimitare si masura la medie tensiune, inseriat in LES 20 kV – racord din stalpul 6A/1 al LEA 20 kV Ghiroda alimentata din statia 110/20 kV Padurea Verde, intre stalpul nr 6A/1 si P22304. PC de 20 kV va fi realizat cu 2 compartimente cu acces separat (compartiment de racordare ptr acces personal Enel si compartiment utilizator ptr acces utilizator). Clădirea Punctului de Conexiune va fi pusă la dispoziţie de beneficiar si se va amplasa pe terenul beneficiarului, pe cat posibil la limita de proprietate. Pentru realizarea soluţiei de alimentare cu energie electrică prezentate mai sus,este necesară realizarea următoarelor lucrări: I.Lucrări finanţate pe baza tarifului de racordare cf Ord 17/2021: • realizare racord 20 kV intre punctul de racordare si punctul de conexiune: - sectionare LES m.t. existent pe str. Sperantei in zona SC ORACLE ENGINEERING SRL, conform planului de situatie anexat si mansonare cu LES mt proiectat, - pozare LES m.t. proiectat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tronson in lungime de cca. 0,012 km, intre mansoanele m.t si Punctul de Conexiune proiectat prevazut pe terenul beneficiarului • Montarea unui Punctul de Conexiune pe terenul beneficiarului care se va echipa cu: -2 celule de linie motorizate 24 kV, 630 A, 16 kA cu separator de sarcină în SF6 conf. DY803/416- LE ed. 2 -loc ptr 1 celula de line 24 kV -o celula de masura conf. DY803M/316-1UT cu separator si grup de masura format din doua transformatoare de tensiune 20/0,1 kV, clasa de precizie 0,5 conform DMI031015 RO ,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sînt amplasate instalaţiile de racordare, trebuie să fie cu acţionare din interior.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termo higrostat ( FT169 MAT-ED.01) si sistem de incalzire ptr celulele mt ( FT 170 MAT ED.01) - echipamente pentru telecontrol : un tablou pentru alimentare servicii auxiliare DY 3016 RO, Unitate periferica DX 1215 RO cu doi acumulatori DY 815 RO, modul GSM DX1226RO si antena DN 760. II.Lucrări finanţate de beneficiar, realizate prin grija lui, ce devin proprietatea acestuia: 1.Anvelopa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2.Realizare LES 20 kV cît mai scurtă posibil (l≤20m), cu cablu de cupru de secţiune minimă 95 mmp, între celula de măsură din compartimentul de racordare de 20 kV şi celula de record cablu a celulei cu intrerupator din compartimentul utilizatorului 3.Celulele de sosire in compartimentul utilizatorului vor fi cu intrerupator general automat debrosabil/ intrerupator automat si separator. Întrerupătorul va fi obligatoriu prevăzut cu sistem de protecţie generală maximală de curent in trei trepte ( la scurtcircuit si la suprasarcina ) si protective homopolara de current in doua trepte, contra punerilor la pamant monofazate respective bifazate, c reglajul corelat cu celelalte protectii din intalatiile E-Distributie Banat SA. 4.Instalatie de iluminat si o priza bipolară cu întrerupător 16A-230V 5.LES 20 kV intre punctul de conexiune si postul/posturile trafo montat la beneficiar 6.trafo 20/0,4 kV 7.Realizarea instalaţiei de legare la pămînt pentru noul PC, Rp, 4 ohmi Delimitarea de proiectare, gestiune si masurare între instalaţiile distribuitorului şi cele ale consumatorului este stabilita la nivelul de 20 kV, la capetele terminale de racordare a LES 20 kV plecare din compartimentul de racordare al PC proiectat spre compartimentul utilizatorului.</t>
  </si>
  <si>
    <t>Conform  L 7321/2021-fisa de solutie, elaborata de E-Distributie Banat SA, alimentarea cu energie electrică a obiectivului, constă în realizarea unui punct de conexiune 20 kV cu delimitare si masura la MT cu alimentare din-o singura sursa: Sursa de alimentare : LEA 20kV Centura Rurala alimentata din statia 110/20 kV Mociur. I Lucrari finantate pe baza tarifului de racordare conform Ord. 17/10.03.2021: - Inlocuire stalp SC 15006 nr 176 cu stalp metalic nou proiectat tip 14G24 conf. DS3012RO echipat cu consola semiorizontala intindere; legaturi double de intindere , consola de derivatie si legaturi simple de intindere cu izolatori compozit(DJ 511) - Montare stalp nou proiectat tip 14G24 nr 176/1 la 15m de stalpul nr 176 dupa rigola la marginea drumului de acces spre platou, echipat cu separator IMS motorizat conf. DY 806 RO, set de descarcatori (DY557RO), terminale de exterior (DJ4476RO) si Rp=4 ohmi ; -Realizare racord aerian intre stalpii 176 si 176/1 cu conductor OLAL 120/21 mmp ; - LES 20 kV proiectat avand traseul intre stalpul 176/1 nou proiectat si punctul de conexiune nou proiectat, cu canalizare in lungime de 1150 m cu cablu MT Al 3x1x185 mmp, cu izolatie de polietilena reticulata (XLPE) de grosime redusa (conform DC4385RO ed. 2) montat in tub din polietilena (conf. DS4235RO si DS4247RO); pozat la marginea drumului de acces spre platoul Poiana Golului , sub rigola de pamant de la marginea drumului (500 m) cu o adancime de pozare minima de 1,2m in zona urcarii si in spatiu verde in platou (650m) pozat la o adancime de 0,8m ; Echipare compartimentului de racordare al punctului de conexiune de 20 kV astfel : - 1 buc. celula de linie motorizata 24 kV, 630 A, 16 kA cu separator de sarcina in SF6 conf. DY803/2 ed.3; - o celula de masura cf. DY 803/4-1UT ed. 3, echipata cu separator de sarcina si CLP, 2 buc. transformatoare de tensiune 20/0,1 kV clasa de precizie 0,5 conf. DMI031015RO, 2 buc. transformatoare de curent cu raportul detransformare 50/5 A (cls. 0,5S) conf. DM0311052RO si contor electronic trifazat static(afisaj LCD), In=5(6)A , Un=3x100/57V ,clasa de precizie 0,5 dotate cu curba de sarcina si interfata de comunicare RS 232 si modul comunicatie GSM amplasat intr-o cutie de masura; cutia de masura se va amplasa intr-o nisa cu posibilitatea vizualizarii din exterior ; - termo higrostat (FT169 MAT-ED.01) si sistem de incalzire pt. celulele mt (FT 170 MAT ED.01); Contorul pentru decontare va fi finanțat de către E-Distributie Banat. II Lucrari ce se realizeaza prin grija beneficiarului: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Norma Tehnica ENEL ed. 3; - LES 20 kV cat mai scurt posibil (l≤ 20 m), cu cablu de cupru de sectiune minima 95 mmp, intre celula de masura din compartimentul de racordare si celula de racord cablu a celulei cu intrerupator din compartimentul utilizatorului - celula sosire cu intrerupator general automat debrosabil in compartimentul utilizatorului; intrerupatorul va fi obligatoriu prevazut cu: protectie generala maximala de curent in trei trepte (la scurtcircuit si suprasarcina) protectie homopolara de curent in doua trepte, contra punerilor la pamant monofazate, respectiv bifazate, cu reglajul corelat cu celelalte protectii din instalatiile E- DISTRIBUTIE BANAT SA Aceste celule vor fi amplasate in compartimentul utilizatorului, amplasat in anvelopa de beton, langa compartimentul cu instalatiile Enel. - instalatie de iluminat si o priza 230V in compartimentul de racordare - realizarea unei prize de Pamant cu Rp&lt;4 ohmi la punctul de conexiune. - instatia de utilizare formata din: LES 20 KV si postul trafo montate la beneficiar. Delimitarea de gestiune intre instalatiile E-Distributie Banat SA si consumator este la capetele terminale de racord ale cablului de 20 kV plecare din compartimentul de racordare a punctului de alimentare proiectat.</t>
  </si>
  <si>
    <t>- cf L 7349 / 2021 - FS Tinand cont de situatia energetica existenta precum si de solicitarea beneficiarului, alimentarea cu energie electrica a obiectivului consta din realizarea unui punct de conexiune 20 kV nou proiectat, racordat in sistem intrare-iesire la LES 20 kV Circuit L2 Caprisoara-Vulcan (portiunea dintre st.17 din ax si celula MT din statia Vulcan). Lucrari conform ord.17/2021: 1.Punct de conexiune 20 kV cu doua compartimente, cu acces pentru E-Distributie Banat SA din exterior, din domeniul public, echipat cu: ·,,2 buc. celula de linie motorizata 24 kV, 630 A, 16 kA cu separator de sarcina in SF6 conf. DY803/2 ed.3; ·,,1 celula de masura cf. DY 803/4-UTM ed. 3, echipata cu separator de sarcina si CLP, 2 buc. transformatoare de tensiune 20/0,1 kV clasa de precizie 0,5 conf. DMI031015RO, 2 buc. transformatoare de curent cu raportul de transformare 400/5 A (cls. 0,2S); ·,,realizarea grupului de masurare a energiei electrice pe MT, prin montarea unui contor electronic trifazat static (afisaj LCD), In=5(6)A , Un=3x100/57V, clasa de precizie 0,5 dotate cu curba de sarcina si interfata de comunicatie RS 232 si modul comunicatie GSM amplasat intr-o cutie de masura; cutia de masura se va amplasa intr-o nisa cu posibilitatea vizualizarii din exterior. Contorul pentru decontare va fi finanțat de catre E-Distributie Banat. 2.Identificare si sectionare LES 20 kV dintre st.17 si celula MT din statia Vulcan - Circuit L2 Caprisoara-Vulcan. 3.Pe stalpul nr.17 din axul liniei Circuit L2 Caprisoara-Vulcan se monteaza un separator vertical. 4.Sub separatorul vertical se monteaza un cadru suport pentru descarcatoare cu oxid de zinc, de la care se va face racordarea noului LES 20 kV spre PTAb nou proiectat. 5.Realizare LES MT intrare-iesire in punctul de conexiune nou proiectat, in domeniul public, cu cablu de Al 2x(3x1x185) mmp, cu izolatie de polietilena reticulata (XLPE) de grosime redusa (conform DC4385RO ed. 2) montate in tub din polietilena (conf. DS4235RO si DS4247RO) in canalizatii tip A (2 cabluri in canalizatie), in lungime totala traseu de 250 m; 6.,,Mansonare LES MT proiectat cu LES existent. 7.Realizare priza de legare la pamint, la stilpul nr. 17– valoarea maxima a rezistentei pentru priza de legare la pamint va fi de 4 ohmi. 8.Refacerea mediului afectat de sapaturi si sparturi pentru pozare anvelopa, cabluri, stilpi si prize de legare la pamint. Lucrari finantate de beneficiar, realizate prin grija lui, ce devin proprietatea acestuia: 1.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Norma Tehnica ENEL ed.3; Anvelopa va avea nisa pentru montare cutie de masura. 2. Realizare LES 20 kV cat mai scurt posibil (l≤20m), cu cablu de cupru de secţiune minima 95 mmp, intre celula de masura din compartimentul de racordare de 20 kV şi celula de record cablu a celulei cu intrerupator din compartimentul utilizatorului  3. Celulele de sosire in compartimentul utilizatorului vor fi cu intrerupator general automat debrosabil / intrerupator automat si separator. Intrerupatorul va fi obligatoriu prevazut cu sistem de protectie generala maximala de curent in trei trepte (la scurtcircuit si la suprasarcina) si protectie homopolara de curent in doua trepte, contra punerilor la pamant monofazate respective bifazate, cu reglajul corelat cu celelalte protectii din intalatiile E-Distributie Banat SA.  4. instalatie de iluminat si o priza 230V in compartimentul de racordare; 5. realizarea unei prize de Pamant cu Rp&lt;4 ohmi la punctul de conexiune; 6. LES 20 kV intre punctul de conexiune si postul/posturile trafo montat la beneficiar; 7. Realizarea drum de acces la noul PC.</t>
  </si>
  <si>
    <t>in derivatia LEA 20kV Varias, stalpul 96/66A/7/3</t>
  </si>
  <si>
    <t>Conform FS L. nr.7277/2021 Racordare la SEN a obiectivului depozite, amplasat in loc. Timisoara, str. Polona, nr. 2, CF 406151, judetul Timis, elaborat de E-Distributie Banat SA, alimentarea cu energie electrica aobiectivului consta din realizarea urmatoarelor lucrari: Inseriere in LES 20kV nr.3 Freidorf a unui PC 20 kV proiectat , compartimentat (compartiment de racordare, compartiment utilizator), în clădire pusă la dispoziţie de utilizator pe terenul lui, la limita de proprietate, cu exploatare din interior şi cu acces direct din exterior pentru compartimentul de racordare. Pentru realizarea soluţiei de alimentare cu energie electrică prezentate mai sus, sunt necesare următoarele lucrări: I.,,Lucrări finanţate pe baza tarifului de racordare, conform Ordin nr. 17/2020: - LES 20 kV proiectata cu cablu 2x Al 3x185 mmp ; canalizare in lungime de l=130m , cu izolatie XLPE conform DC 4385 RO pozat in tub din polietilena conf. DS 4235 RO si mansonarea cu cablul 20 kV existent in zona de sectionare LES 20kV nr.3 Freidorf intre T52040 – T52089 conform plan de situatie anexat. -punct de conexiune 20 kV amplasat intr-oanvelopa (incapere) pusa la dispozitie de beneficiar, (amplasata pe terenul beneficiarului )cu compartiment de racordare si de masura cu acces separat pentru E-Distributie Banat SA, echipata cu: ·,,2 buc celule de linie motorizate 24 kV, 400A, 16 kA cu separator de sarcina in SF6 conf. DY803/416-LE ed 03; loc pentru extindere; ·,,celula de masura conf. DY 803M/316-1UT ed 02 cu separator si grup de masura format din două transformatoare de tensiune 20/0,1 kV, clasa de precizie 0,5 şi doua transformatoare de curent de 50/5A, clasa de precizie 0,5S si contor electronic trifazat static (afisaj LCD) , In=5/20A , Un=3x100/57V, clasa de precizie 0,5 dotate cu curba de sarcina si interfata de comunicatie RS 232 si modul comunicatie GSM amplasat intr-o cutie de masura; cutia de masura se va amplasa intr-o nisa cu posibilitatea vizualizarii atat de catre ENEL cat si de catre beneficiar. ·,,montare echipamente anticondens: rezistenta MT -3 buc si termohigrostat -1 buc ·,,montare echipamente pentru telecontrol Legarea la centura interioara de punere la pamant a partilor metalice a utilajelor proiectate, parti care in mod normal nu sunt sub tensiune dar care pot ajunge sub tensiune in mod accidental se va realiza cu banda Ol-Zn 25x4 mmp respectiv cu legaturi elastice de Cu pentru elementele metalice mobile. Priza de Pamant exterioara se va executa prin grija beneficiarului.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,,Cabina in care se va monta instalatia de racordare( compatiment de racordare) si masura energiei electrice consumate este pusa la dispozitie de beneficiar. Materialele si echipamentele care se utilizeaza la realizarea instalatiei trebuie sa fie noi, omologate sau certificate, compatibile cu starea tehnica a instalatiei, sa indeplineasca cerintele specifice de fiabilitate si siguranta. II.,,Lucrări finanţate de beneficiar, realizate prin grija lui, ce devin proprietatea acestuia: -cladirea compartimentata in care se va monta instalatia de racordare si de masurare -realizare LES 20 kV cat mai scurta posibil, cu cablu de Cu de sectiune minima de 95mmp, intre celula de masura din compartimentul de racordare 20 kV si instalatiile 20 kV aflate in gestiunea consumatorului -post de transformare 20/0,4 kV echipat in mod obligatoriu cu celula sosire cu intrerupator automat si separator cu protectie la suprasarcina si scurtcircuit cu reglajul corelat cu celelalte protectii din instalatiile E- Distributie Banat ,,-instalatie de iluminat si o priza 230V in compartimentul de racordare -realizarea unei prize de Pamant cu Rp&lt;4 ohmi la punctul de conexiune. ,, Traseul instalatiilor electrice existente si proiectate sunt redate in planul de situatie nr. 7277/ 2021-01;-02;-04;-03 anexat documentatiei. Delimitarea între instalaţiile distribuitorului şi cele ale consumatorului este la capetele terminale de racordare a LES 20 kV plecare din compartimentul de racordare al noului punct de conexiune. Materialele şi echipamentele utilizate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</si>
  <si>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Conform FS nr. 7312/2021 alimentarea cu energie electrica a obiectivului consta in alimentarea cu energie electrica a obiectivului consta in realizarea unui Punct de Conexiune de 20 kV alimentat din LES 20 kV nr. 10 Bucovina. PC de 20 kV va fi realizat cu 2 compartimente cu acces separat (compartiment de racordare pentru acces personal Enel si compartiment utilizator pentru acces utilizator). Incaperea in care se va realiza punctul de conexiune va fi pusa la dispozitie de beneficiar . Pentru realizarea soluţiei de alimentare cu energie electrică prezentate mai sus, este necesară realizarea următoarelor lucrări: 1.Lucrări finanţate de E- Distribuţie BANAT SA: - Mansonare cablu existent- se va realiza mansonarea cablului existent LES 20 kV Nr. 10 Bucovina cu mansoane drepte unipolare conform DJ 4387 - Pozare LES 20 kV (in domeniul public si la limita de proprietate) doua cabluri de medie tensiune tripolare cu elice vizibila pentru montare subterana, izolat in polietilena reticulara de grosime redusa, Al 3x1x185 mmp, cu ecran in tub de aluminiu sub invelis de PVC sau PE (cf. DC 4385 RO), in lungime de 2*155 m din care 2*18 m se vor poza prin foraj, portiune ce se va proteja in tub PVC de tip rigid cf. DS4235RO, 2*10 m in postul de transformare, 2*5 m rezerva la mansoane si 2*122 m in zona asfaltata pana la punctul de conexiune proiectat. Cablul se va poza in sapatura deschisa la o adincime de 0.8-1 m, protejat in tub de polietilena reticulara cf. DS4235RO si DS4247RO, acoperit cu un strat de nisip de 20 cm masurat de la partea superioara a tubului, semnalizat cu benzi avertizoare. - Punct de Conexiune, trebuie sa permita o dezvoltare ulterioara cu inca o celula de linie, se va echipa cu:            - doua celule de linie motorizate 24 kV, 630 A, 16 kA cu separator de sarcină în SF6 conf. DY803/416 - LE ed.3 PT, telecontrolate            - o celula de masura conf. DY803/316-UT cu separator si grup de masura format din doua transformatoare de tensiune 20/0,1 kV, clasa de precizie 0,5 conform DMI031015 RO,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 Montarea echipamentului pentru realizarea telecontrolului  - Montare termo higrostat si a sistemului de incalzire pentru celulele Compartimentul în care sunt amplasate instalaţiile de racordare, trebuie să fie cu acţionare din interior. Compartimentul de racordare trebuie să fie dotat cu o instalaţie de iluminat corespunzătoare şi cu o priză bipolară cu întrerupător 16A - 230V cu siguranţă fuzibilă, alimentate de la reţeaua de j.t. a clientului. Instalaţia de racordare conţine echipamentele de manevră şi secţionare ale Enel. Punctul de racordare: LES 20 kV 210 Bucovina. Punctul de delimitare: este stabilit la 20 kV, la capetele terminale de racordare ale cablului din celula de masura MT, plecare din compartimentul de racordare spre compartimentul utilizatorului. Punctul de masurare: este stabilit la nivelul de 20 kV, in compartimentul de racordare din noul punctul de conexiune 2. Lucrări finanţate de beneficiar, realizate prin grija lui, ce devin proprietatea acestuia: - PC de 20 kV realizat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 Realizare LES 20 kV cît mai scurtă posibil (l≤20m), cu cablu de cupru de secţiune minimă 95 mmp, între celula de măsură din compartimentul de racordare de 20 kV şi celula de record cablu a celulei cu intrerupator din compartimentul utilizatorului : - Celula de sosire in compartimentul utilizatorului va fi cu intrerupator general automat debrosabil Întrerupătorul va fi obligatoriu prevăzut cu sistem de protecţie generală maximală de curent in trei trepte ( la scurtcircuit si la suprasarcina ) si protective homopolara de current in doua trepte, contra punerilor la pamant monofazate respective bifazate, c reglajul corelat cu celelalte protectii din intalatiile E-Distributie Banat SA.    - Instalatie de iluminat si o priza bipolară cu întrerupător 16A-230V - LES 20 kV intre punctul de conexiune si postul/posturile trafo montat la beneficiar - Trafo 20/0,4 kV - Realizarea instalaţiei de legare la pămant pentru noul PC, Rp, 4 ohmi Delimitarea fiind la medie tensiune, utilizatorul va asigura respectarea prevederilor normativelor PE 101/85 - “ Normativ pentru constructia instalatiilor electrice de conexiuni si transformare cu tensiuni peste 1 kV “ (republicat in 1993) , Ordinul ANRE 239/2019 si P 118/1999 Normativ privind securitatea la incendiu a construcţiilor in ceea ce priveste amplasarea postului de transformare care este in gestiunea sa.</t>
  </si>
  <si>
    <t>Conform SS 13/2021, editia octombrie 2021 Alimentare cu energie electrica Moara Carani, str. Principala, nr.92 , CF 100455, loc.Carani , jud.Timis, elaborat de SC Tripol Electric SRL, avizat cu documentul: Aviz CTE nr. 133/MT/08 / 13.10.2021, varianta I din studiul de solutie pentru care utilizatorul a optat in scris prin adresa 135471/10.12.2021, alimentarea cu energie electrica a obiectivului consta din realizarea unui Punct de Conexiune de 20 kV, cu delimitare si masura la medie tensiune. PC de 20 kV va fi realizat cu 2 compartimente cu acces separat (compartiment de racordare ptr access  personal E-Distributie Banat SA (EDB) si compartiment utilizator ptr acces utilizator). Cladirea Punctului de Conexiune va fi pusa la dispozitie de beneficiar si se va amplasa pe terenul beneficiarului. Solutia 1 - Alimentarea de baza din statia 110/20kV Ortisoara-bara rosie 20kV iar alimentarea de rezerva din statia 110/20kV Satchinez respectiv LEA 20kV Avicola Calacea st.112/1  I. Lucrari pe tarif de racordare conform Ardin ANRE nr. 59/2013 cu modificarile si completarile ulterioare : Pentru racordarea punctului de conexiune proiectat la RED s-au prevazut urmatoarele lucrari: - Montare celula 24 kV pe bara 1 rosie langa celula nr.17 in statia 110/20kV Ortisoara ;  Celula 20kV nou proiectată va fi complet echipată de tip unificat conf. DY 696A pentru simplu sistem de bare 24kV, 12,5kA, 630A echipat cu întrerupător tripolar debroşabil 630A cu vid, 2 x TC 300/5A pentru măsura de protecție , 1 Trafo toroidal şi terminal numeric de protecţie conf. DV 901.  Racordarea celulei la barele existente se va realiza cu bare de Al 100x10mmp.  Traseul buclelor de alimentare c.c., c.a., semnalizare şi cablurile pentru telecontrol vor fi prin canal de cabluri existent a staţiei de conexiuni.Celula 20kV nou proiectată se va racorda la dulapurile existente de DQ 2043 (DAS, Oscilo) şi DQ 2163 (DAN+MCI).  Pentru introducerea în sistemul de teleconducere trebuie ca toate funcţiile de comandă-control, protecţie, semnalizare şi măsură să fie prezente la nivelul de şir de cleme din compartimentul de protecţii al celulei de 24kV.  De asemenea la celula nou proiectată din staţie se vor monta 2 TC pe fazele R şi T de tip toroidal pentru realizarea măsurii de bilanț conf. FT-081_MAT pentru legarea la noul contor.  - Canalizare subterană de 20 kV cu cablu Al 3x185 mmp (conform DC 4385) în lugime de 12,5 km cu traseul de la celula proiectata în staţia 110/20 kV Ortisoara până la punctul de conexiune de 20 kV proiectat incinta Moara  -plantarestalp special 12G24 in axul LEA 20kV Avicola Calacea langa stalpul 112 echipat cu separator vertical conf DY595, descarcatori cu ZnO conf DY 557, coronament semiorizontal de intindere, lanturi duble de intindere, capete terminale de exterior si Rp≤4 ohmi.  - Canalizare subterană de 20 kV cu cablu Al 3x185 mmp (conform DC 4385) în lugime de 7,5 km cu traseul de la stalpul proiectat până la punctul de conexiune de 20 kV proiectat  - PC 20 kV proiectat in anvelopa de beton amplasata conform plan de situatie anexat echipata cu:  ·,,2 celule de linie motorizate 24 kV, 400A, 16 kA cu separator de sarcina in SF6 conf. DY803/416-LE ed. 2 ·,,o celula de masura conf. DY 803M/316-1UT cu separator si grup de masura format din două transformatoare de tensiune 20/0,1 kV, clasa de precizie 0,5 conform DMI031015 RO şi două transformatoare de curent de 400/5A, conform DM031052 RO,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EDB cat si de catre beneficiar.  Contorul si montarea lui precum si realizare telecontrolului in punctul de conexiune 20 kV prin montarea de RGDAT, UP, modem, TSA si antena se va suporta si executa de catre Operatorul de Distributie. Tensiunea 0,4 kV necesara telecontrolului va fi asigurata din instalatiile beneficiarului.  Punctul de conexiune 20 kV va fi in anvelopa de beton amplasat la limita proprietatii, conform planului de situatie anexat, cu acces din domeniu public si va fi alcatuit din doua incaperi cu acces separat fiecare: una cu acces numai pentru personalul EDB (compartiment de racordare) iar cealalta cu acces pentru utilizator (compartiment utilizator).  Incaperea in care se vor monta echipamentele EDB va fi pusa la dispozitie de catre beneficiar.   Aport curentului capacitiv pe barele MT: • LES 20kV cu cablu Al- 3x185mm2 in lungime de 12,5km:12,5km*3,048A/km=38,1A rezulta un curent capacitiv total pe stati Ortisoara de 100,1A • LES 20kV cu cablu Al- 3x185mm2 in lungime de 7,5km:7,5km*3,048A/km=22,86A rezulta un curent capacitiv total pe bara 1A statia Satchinez de 38,86A II.Lucrari ce se realizeaza prin grija beneficiarului: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prescriptiile NTE Enel si un gabarit care sa permita montarea echipamentelor instalatiei de racordare si a inca unei celule de MT; - LES 20 kV cat mai scurta posibil (l≤ 20 m), cu cablu de cupru de sectiune minima 95 mmp, intre celula de masura din compartimentul de racordare si celula de racord cablu a celulei cu intrerupator din compartimentul utilizatorului - celula sosire cu intrerupator general automat si separator(intrerupator debrosabil) in compartimentul utilizatorului; intrerupatorul va fi obligatoriu prevazut cu: -protectie generala maximala de curent in trei trepte (la scurtcircuit si suprasarcina) -protectie homopolara de curent in doua trepte, contra punerilor la pamant monofazate, respectiv bifazate, cu reglajul corelat cu celelalte protectii din instalatiile E- DISTRIBUTIE BANAT SA Aceste celule vor fi amplasate in compartimentul utilizatorului langa compartimentul cu instalatiile EDB. - instalatie de iluminat si o priza 230V in compartimentul de racordare - realizarea unei prize de Pamant cu Rp&lt;4 ohmi la punctul de conexiune. - post de transformare Realizarea lucrarilor pentru instalatiile din aval de punctul de delimitare este in responsabilitatea utilizatorului si se efectueaza pe cheltuiala acestuia.</t>
  </si>
  <si>
    <t>Soluţia proiectată Inseriere in LES 20kV nr.2 Victoria Alimentarea cu energie electrică a obiectivului se va realiza prin intermediul PC 20 kV proiectat , compartimentat (compartiment de racordare, compartiment utilizator), în clădire pusă la dispoziţie de utilizator pe terenul lui, la limita de proprietate, cu exploatare din interior şi cu acces direct din exterior pentru compartimentul de racordare, inseriat in LES 20kV nr.2 Victoria. Pentru realizarea soluţiei de alimentare cu energie electrică prezentate mai sus, sunt necesare următoarele lucrări: I.Lucrări finanţate pe baza tarifului de racordare, conform Ordin nr. 17/2020: - LES 20 kV proiectata cu cablu 2x Al 3x185 mmp in lungime de l=280m , cu izolatie XLPE conform DC 4385 RO pozat in tub din polietilena conf. DS 4235 RO si mansonarea cu cablul 20 kV existent in zona de sectionare LES 20kV nr.2 Victoria intre T52092 – T52049 conform plan de situatie anexat. -Punct de conexiune 20 kV amplasat intr-o anvelopa (incapere) pusa la dispozitie de beneficiar, (amplasata pe terenul beneficiarului )cu compartiment de racordare si de masura cu acces separat pentru E-Distributie Banat SA, echipata cu: 2 buc celule de linie motorizate 24 kV, 400A, 16 kA cu separator de sarcina in SF6 conf. DY803/416-LE ed 03; loc pentru extindere;  celula de masura conf. DY 803M/316-1UT ed 02 cu separator si grup de masura format din două transformatoare de tensiune 20/0,1 kV, clasa de precizie 0,5 şi doua transformatoare de curent de 50/5A, clasa de precizie 0,5S si contor electronic trifazat static (afisaj LCD) , In=5/20A , Un=3x100/57V, clasa de precizie 0,5 dotate cu curba de sarcina si interfata de comunicatie RS 232 si modul comunicatie GSM amplasat intr-o cutie de masura; cutia de masura se va amplasa intr-o nisa cu posibilitatea vizualizarii atat de catre ENEL cat si de catre beneficiar.  montare echipamente anticondens:  - rezistenta MT -3 buc si termohigrostat -1 buc  montare echipamente pentru telecontrol:                    - unitate periferica (conform DX1215RO);                    - modul GSM (conform DX1226RO);                    - acumulatoarele de 2x12V (conform DY815RO);                    - tablou de servicii auxiliare (conform DY 3016 RO-ed2);                    - antena GSM (DN 7602RO). Legarea la centura interioara de punere la pamant a partilor metalice a utilajelor proiectate, parti care in mod normal nu sunt sub tensiune dar care pot ajunge sub tensiune in mod accidental se va realiza cu banda Ol-Zn 25x4 mmp respectiv cu legaturi elastice de Cu pentru elementele metalice mobile. Priza de Pamant exterioara se va executa prin grija beneficiarului.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Cabina in care se va monta instalatia de racordare( compatiment de racordare) si masura energiei electrice consumate este pusa la dispozitie de beneficiar. Materialele si echipamentele care se utilizeaza la realizarea instalatiei trebuie sa fie noi, omologate sau certificate, compatibile cu starea tehnica a instalatiei, sa indeplineasca cerintele specifice de fiabilitate si siguranta. II.Lucrări finanţate de beneficiar, realizate prin grija lui, ce devin proprietatea acestuia: -cladirea compartimentata in care se va monta instalatia de racordare si de masurare; -realizare LES 20 kV cat mai scurta posibil, cu cablu de Cu de sectiune minima de 95mmp, intre celula de masura din compartimentul de racordare 20 kV si instalatiile 20 kV aflate in gestiunea consumatorului; -post de transformare 20/0,4 kV echipat in mod obligatoriu cu celula sosire cu intrerupator automat si separator cu protectie la suprasarcina si scurtcircuit cu reglajul corelat cu celelalte protectii din instalatiile E- Distributie Banat; -instalatie de iluminat si o priza 230V in compartimentul de racordare; -realizarea unei prize de Pamant cu Rp&lt;4 ohmi la punctul de conexiune. Traseul instalatiilor electrice existente si proiectate sunt redate in planul de situatie nr. 7413/ 2021-01;-02;-04;-06 anexat documentatiei. Delimitarea între instalaţiile distribuitorului şi cele ale consumatorului este la capetele terminale de racordare a LES 20 kV plecare din compartimentul de racordare al noului punct de conexiune. Delimitarea de gestiune între instalaţiile distribuitorului şi cele ale consumatorului este stabilit la 20 kV, la capetele terminale de racordare ale cablului din celula de masura MT, plecare din compartimentul de racordare spre compartimentul utilizatorului. Punctul de racordare: LES 20kV nr.2 Freidorf intre T52092 – T52049 . Punctul de masurare: este stabilit la nivelul de 20 kV, in compartimentul de racordare din noul punct de conexiune.</t>
  </si>
  <si>
    <t>Conform Fisa de Solutie L.7241/2021, elaborata de SMCL MT/JT, sporul de putere cerut pe instalatia existenta se poate acorda, luand in considerare cererea consumatorului pentru o alimentare de rezerva, se stabileste o a doua alimentare direct din statia 110/20 KV IM Orastie, printr-o linie MT noua racordata la celula nr. 26 montata pe bara 1B din statia de conexiuni 20 kV. Aceasta noua linie MT va fi realizata in LES 20 kV pana la punctul de conexiune PTAb 2232 Amer. Lucrări finantate pe baza tarifului de racordare, conform Ordin 17/2021: a) montare 1 buc. intrerupator nou 24kV, 630A, in vid, debrosabil, montare 3xTC 2x200A, montare separator CLP, montare terminal numeric de protectie neunificat in celula nr.26 de pe bara 1B in statia 110/20 KV IM Orastie. Executare lucrari de recablare circuite secundare si realizare telecontrol. b) realizare LES MT intre celula proiectata la punctul (a) si compartimentul Enel din punctul de conexiune PTAb 2232 Amer, cu cablu de Al 3x1x185 mmp, cu izolatie de polietilena reticulata (XLPE) de grosime redusa (conform DC4385RO ed. 2) montat in tub din polietilena (conf. DS4235RO si DS4247RO) in canalizatii tip A si B (1 cablu in canalizatie), in lungime totala de 320 m; c) montare 1 buc. celula de linie motorizata 24 kV, 630 A, 16 kA cu separator de sarcina in SF6 conf. DY803/2 ed.3 in compartimentul Enel al punctului de conexiune PTAb 2232 Amer. La aceasta celula se va racorda LES MT proiectat, sosire din statia 110/20 KV IM Orastie. Lucrari finantate de beneficiar, realizate prin grija lui, ce devin proprietatea acestuia: In celula de sosire din compartimentul utilizatorului, intrerupatorul va fi obligatoriu prevazut cu sistem de protectie generala maximala de curent in trei trepte (la scurtcircuit si la suprasarcina) si protectie homopolara de curent in doua trepte, contra punerilor la pamant monofazate respective bifazate, cu realizarea corelarii reglajului protectiile din intalatiile EDistributie Banat SA.  </t>
  </si>
  <si>
    <t>Conform SS - 7228/2021 -Studiu de solutie- “Racordarea la SEN a obiectivului: parc industrial, situat in loc. Timisoara, intravilan, CF 451930, 451931, jud. Timis” SOLUTIA 1 Tinand cont de situatia energetica existenta precum si de solicitarea beneficiarului, alimentarea cu energie electrica a obiectivului consta din realizarea unui Punct de Conexiune de 20 kV cu delimitare si masura la medie tensiune, racordat radial pe stalpul tip 18G proiectat pe terenul beneficiarului, in deschiderea dintre stalpii 23 si 24 din LEA 20 kV Ghilad alimentata din statia 110/20 kV Fratelia. PC de 20 kV va fi realizat cu 2 compartimente cu acces separat (compartiment de racordare ptr acces personal Enel si compartiment utilizator ptr acces utilizator). Clădirea Punctului de Conexiune va fi pusă la dispoziţie de beneficiar si se va amplasa pe terenul beneficiarului, pe cat posibil la limita de proprietate. Pentru realizarea soluţiei de alimentare cu energie electrică prezentate mai sus, este necesară realizarea următoarelor lucrări: 1.    Lucrări finanţate pe baza tarifului de racordare  •    Montarea unui Punct de Conexiune  pe terenul beneficiarului care se va echipa cu: -    1  celula de linie motorizata 24 kV,  630 A, 16 kA cu separator de sarcină în SF6 conf.  DY803/416- LE ed. 2  -    loc ptr 2 celule de line 24 kV  -    o celula de masura conf. DY803M/316-1UT cu separator si grup de masura format din doua  transformatoare de tensiune 20/0,1 kV, clasa de precizie 0,5 conform DMI031015 RO ,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sînt amplasate instalaţiile de racordare, trebuie să fie cu acţionare din interior.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termo higrostat ( FT169 MAT-ED.01) si sistem de incalzire ptr celulele  mt ( FT 170 MAT ED.01) •    plantare la limita de proprietate a unui stalp 20 kV de tip 18 G in axul LEA 20 kV Ghilad si  echiparea acestuia cu coronament orizontal, CRF, legaturi duble de intindere cu izolatori compozit, STEPnV, set cutii terminale si descarcatori, priza de pamant de potential maxim 4 ohmi •    pozare LES m.t. proiectat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tronson in lungime de cca. 0,050 km, intre stalpul 18 G proiectat si Punctul de Conexiune proiectat prevazut pe terenul beneficiarului.   2.    Lucrări finanţate de beneficiar, realizate prin grija lui, ce devin proprietatea acestuia: - 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 Realizare LES 20 kV cît mai scurtă posibil (l≤20m), cu cablu de cupru de secţiune minimă 95 mmp, între celula de măsură din compartimentul de racordare de 20 kV şi celula de record cablu a celulei cu intrerupator din compartimentul utilizatorului  - Celulele de sosire in compartimentul utilizatorului vor fi cu intrerupator general automat debrosabil/ intrerupator automat si separator. Întrerupătorul va fi obligatoriu prevăzut cu sistem de protecţie generală maximală de curent in trei trepte ( la scurtcircuit si la suprasarcina ) si protectie homopolara de current in doua trepte, contra punerilor la pamant monofazate respective bifazate, c reglajul corelat cu celelalte protectii din intalatiile E-Distributie Banat SA.  - Instalatie de iluminat si o priza bipolară cu întrerupător 16A-230V   - LES 20 kV intre punctul de conexiune si postul/posturile trafo montat la beneficiar - trafo 20/0,4 kV - Realizarea instalaţiei de legare la pămînt pentru noul PC, Rp, 4 ohmi</t>
  </si>
  <si>
    <t>Conform FS nr.7222/2021 alimentarea cu energie electrică a obiectivului “substatiei de redresare nr. 3 “ (alimentarea de baza) la nivel de 20kV constă în racordarea LES nr.39 existent la bara de 20kV a statiei 110/20 kV Cetate. Precizam ca alimentarea de rezerva va fi din statia 110/20 kV Dumbravita si este tratata in proiectul de alimentare a substatiei de redresare nr. 4, si consta din: racordarea cablului LES nr. 39 Dumbravita existent pe bara de 20kV a statiei 110/20kV Dumbravita( proiect nr. 7223/2021). Pentru realizarea solutiei propuse sunt necesare urmatoarele lucrari : Alimentarea de baza – Statia de transformare 110/20 kV Cetate Lucrari finantate conform Ord. 17/2021: -mutarea cablului LES 33 din celula 28 in celula 24 pe bara de 10kV -demontarea celulei de statie nr.28 existenta pe bara de 10kV -montare celula noua 24kV de statie compatibila cu cele existente ,amplasata langa celula 30 pe bara de 20kV a statiei preazuta cu grup de masura de decontare TC2x200/5/5A clasa de precizie 0,2S pentru secundarul de masura -mutarea cablului LES nr.39 RATT din celula 24 in celula noua proiectata care se va alipi barei de 20kV langa celula 30 (bara de 20kV) -prelungire cablu 20kV existent cu cablu nou Al 3x185 mmp (conform DC 4385) in lungime de 15m pozat in canal. Delimitarea de gestiune intre instalatiile SC E-Distributie Banat SA si consumator este la capetele terminale de racord ale cablului de 20 kV plecare din cellule de 24kV din statia 110/20kV Cetate. Masura energiei electrice se va face la 20 kV in celula de statie proiectata din statia 110/20kV Cetate.</t>
  </si>
  <si>
    <t>Conform FS 7223 /2021 , alimentarea cu energie electrică a obiectivului “substatia de redresare nr.4“ (alimentarea de baza) la nivel de 20kV constă în racordarea LES nr.39 existent la bara de 20kV a statiei 110/20 kV Dumbravita. Precizam ca alimentarea de rezerva va fi din statia 110/20 kV Cetate si va fi tratata in proiectul de alimentare a substatiei de redresare nr.3, si consta din: racordarea cablului LES nr. 39 Cetate existent pe bara de 20kV a statiei 110/20kV Cetate.(proiect nr.7222/2021) Pentru realizarea solutiei propuse sunt necesare urmatoarele lucrari : Alimentarea de baza – Statia de transformare 110/20 kV - Dumbravita Lucrari finantate conform Ord. 17/2021: -mutarea cablului LES 34A+B din celula 12 in celula 11 pe bara de 10kV -mutarea cablului LES nr.39 RATT din celula 11 in celula 12 care se va alipi barei de 20kV langa celula 13 (bara de 20kV-1B). Celula 13 se va alipi langa celula 14 in proiectul de Trecere la 20 kV etapa III, proiect in faza PTE avizat in CTE-E-Distributie Banat SA. -reutilizarea grupului de masura existent -prelungire cablu 20kV existent cu cablu nou Al 3x185 mmp (conform DC 4385) in lungime de 8m pozat in canal Delimitarea de gestiune intre instalatiile SC E-Distributie Banat SA si consumator este la capetele terminale de racord ale cablului de 20 kV plecare din cellule de 24kV din statia 110/20kV Dumbravita Masura energiei electrice</t>
  </si>
  <si>
    <t>Conform FS nr.7035/2020 alimentarea cu energie electrica a obiectivului consta din realizarea unui Punct de Conexiune de 20 kV inseriat in LES 20 kV nr.2 Fratelia, intre T41749 si T 21720, cu delimitare si masura la medie tensiune. PC de 20 kV va fi realizat cu 2 compartimente cu acces separat (compartiment de racordare ptr acces personal Enel si compartiment utilizator ptr acces utilizator). Clădirea Punctului de Conexiune va fi pusă la dispoziţie de beneficiar si se va amplasa pe terenul beneficiarului. Pentru realizarea soluţiei de alimentare cu energie electrică prezentate mai sus, este necesară realizarea următoarelor lucrări: 1. Lucrari finantate pe baza tarifului de racordare platit de beneficiar la E-Distributie BANAT SA conform Ord.59/2013: - sectionare LES 20 kV nr.2 Fratelia si mansonare cu LES 20 kV proiectat - pozare 2xLES 20 kV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in lungime de cca. 2x65 m, intre mansoanele proiectate si PC 20 kV amplasat pe terenul beneficiarului. -Punct de Conexiune amplasat pe terenul beneficiarului care se va echipa cu:                      -doua celule de linie motorizate 24 kV, 630 A, 16 kA cu separator de sarcină în SF6 conf. DY803/2- LE ed. 3                      -o celula de masura conf. DY803M/4-1UT cu separator si grup de masura format din doua transformatoare de tensiune 20/0,1kV, clasa de precizie 0,5 conform DMI031015 RO,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sunt amplasate instalaţiile de racordare, trebuie să fie cu acţionare din interior.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montare termo higrostat cf. FT169MAT-ED.01 si a sistemului de incalzire pentru celulele MT cf. FT170MAT-ED.01. - Integrare in telecontrol echipamente din PC 20 kV proiectat prin montarea unui tablou pentru alimentare servicii auxiliare DY 3016 RO, Unitate periferica DX 1215 RO cu doi acumulatori DY 815 RO, modul GSM DX1226RO si antena DN 760, RG-DAT. 2. Lucrări finanţate de beneficiar, realizate prin grija lui, ce devin proprietatea acestuia: 1.Anvelopa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2.Realizare LES 20 kV cît mai scurtă posibil (l≤20m), cu cablu de cupru de secţiune minimă 95 mmp, între celula de măsură din compartimentul de racordare de 20 kV şi celula de record cablu a celulei cu intrerupator din compartimentul utilizatorului 3.Celula de sosire in compartimentul utilizatorului va fi cu intrerupator general automat debrosabil. Întrerupătorul va fi obligatoriu prevăzut cu sistem de protecţie generală maximală de curent in trei trepte ( la scurtcircuit si la suprasarcina ) si protective homopolara de current in doua trepte, contra punerilor la pamant monofazate respective bifazate, c reglajul corelat cu celelalte protectii din intalatiile E-Distributie Banat SA. 4.Instalatie de iluminat si o priza bipolară cu întrerupător 16A-230V 5.LES 20 kV intre punctul de conexiune si postul/posturile trafo montat la beneficiar 6.trafo 20/0,4 kV 7.Realizarea instalaţiei de legare la pămant pentru noul PC, Rp, 4 ohmi</t>
  </si>
  <si>
    <t>Conform FS nr.6927/2019 si de datele solicitate prin cererea de racordare 123110 din 26.06.2019, blocul va fi alimentat din PC 20 kV nr. 52094 existent. Pentru realizarea solutiei de alimentare sunt necesare realizarea urmatoarelor lucrari: ·,,In PC 20 kV nr. 52094 existent (unde exista masura de 20 kV pentru cladirea de birouri dezvoltata tot de acelasi beneficiar) se vor monta: ,,-1 celula de trafo cu separator de sarcina in SF6,cf. DY 803/2-T, ed.3 ,,-1 transformator 20/0,4 kV -630 kVA , conf.GST 001 ce se va amplasa in boxa trafo pusa la dispozitie de beneficiar ,,-2 tablouri j.t pentru alimentarea viitorilor consumatori echipate astfel: ,,-1 tablou j.t cf. DY 3012 echipat cu 1 buc. intrerupator de 350 A cf. DY 3102 RO si 1 buc. intrerupator de 250 A cf. DY 3101 ,,-1 tablou j.t cf. DY 3011 echipat cu 1 buc. intrerupator 350 A cf. DY 3102 RO. ,,-legaturile electrice intre bornele trafo si tablourile j.t se vor realiza cu cabluri de cupru cu sectiunea de 150 mmp . ,,-montare termo-higrostat cf. FT169MAT si sistem de incalzire pentru celule MT cf. FT170MAT.,, ·,,Din cele 2 tablouri de j.t alimentate de la bornele transformatorului se vor realiza 3 circuite : ,,- circuitul 1 va alimenta un numar de 66 de apartamente, situate de la parter pana la etajul 5 Legatura electrica intre intrerupatorul de 350 A din PT proiectat si cutia stradala se va realiza cu cablu subteran trifazat Al 3x240+150 N cf. DC 4146 RO. Intre cutia de distributie externa si TDC-6T s-a prevazut cablu Al 3x240+95 C cf. DC 4126 RO. Intre TDC-6T si TDC-20T (I) s-a prevazut cablu Al 3x150+50 C cf. DC 4126 RO. Intre TDC-20T (I) si TDC-20T (II) s-a prevazut cablu Al 3x95+35 C cf. DC 4126 RO. Intre TDC-20T (II) si TDC-20T (III) s-a prevazut cablu Al 3x50+25 C cf. DC 4126 RO S-au prevazut: cablu Al3x240+150 N in lungime totala cca.0,1 km&lt;(&gt;,&lt;)&gt; cablu Al 3x240+95 C in lungime totala de 0,01 km&lt;(&gt;,&lt;)&gt; cablu Al 3x150+50 C in lungime totala de 0,01 km, cablu Al 3x95+35 C in lungime totala de 0,01 km, cablu Al 3x50+25 C in lungime totala de 0,01 km . TDC-urile necesare care se vor inseria pe acest circuit : TDC20T-3 buc., TDC6T-1 buc. si se vor monta la parter in o camera tehnica unde se asigara spatiul zonei de contorizare. ,,-circuitul 2 va alimenta un numar de 54 de apartamente, situate de la etajul 6 pana la etajul 10 . Legatura electrica intre intrerupatorul de 250 A din PT proiectat si cutia stradala se va realiza cu cablu subteran trifazat Al 3x150+95 N cf. DC 4146 RO. Intre cutia de distributie externa si TDC-6T s-a prevazut cablu Al 3x150+50 C cf. DC 4126 RO. Intre TDC-6T si TDC-12T (I) s-a prevazut cablu Al 3x95+35 C cf. DC 4126 RO. Intre TDC-12T (I) si TDC-12T (II) s-a prevazut cablu Al 3x95+35 C cf. DC 4126 RO. Intre TDC-12T (II) si TDC-12T (III) s-a prevazut cablu Al 3x50+25 C cf. DC 4126 RO. Intre TDC-12T (III) si TDC-12T (IV) s-a prevazut cablu Al 3x50+16 C cf. DC 4126 RO S-au prevazut: cablu Al 3x150+95 N in lungime totala cca.0,1 km, cablu Al 3x150+50 C in lungime totala de 0,01 km, cablu Al 3x95+35 C in lungime totala de 0,02 km, cablu Al 3x50+25 C in lungime totala de 0,03 km. TDC-urile necesare care se vor inseria pe acest circuit : TDC12T-4 buc. , TDC6T-1 buc. si se vor monta la parter in o camera tehnica unde se asigara spatiul zonei de contorizare. -circuitul 3 va alimenta lifturile, spatiile comune, statia de pompare apa si centrala termica. Intre intrerupatorul din PT de 350 A si cutia de masura unificata pt puteri mai mari de 30 kW echipata cu grup de masura unificat 3x125/5A, cu intrerupator de 350A si separator de 350A se va folosi cablu subteran trifazat Al 3x240+150 N cf. DC 4146 RO. S-a prevazut cablu Al3x240+150 N in lungime totala cca.0,1 km. Cutia de masura se va monta la parter in o camera tehnica unde se asigara spatiul zonei de contorizare.</t>
  </si>
  <si>
    <t>1.Lucrari pe tarif de racordare conform Ordin ANRE nr. 59/2013 cu completarile ulterioare: - identificare in teren LES 20 kV nr. 2 racordata in Statia 110/20 kV Victoria intre PT 51982 si pt 51968 existente - LES 20 kV (2 cabluri in profil) proiectat, cu cablu tripolar de medie tensiune cu conductoare de Al pentru montare subterana, izolat in polietilena reticulara de grosime redusa,  cu ecran, in tub de Al sub invelis de PE, 3x185 mmp (conform DC 4385 RO), de la locul sectionarii pana la PT Anvelopa proiectat in zona obiectivului, in lungime de cca. 0,060 km - PT in Anvelopa de tipul 20/0,4 kV – 2 x 630 kVA proiectat cf. DG 2092 RO care se va amplasa pe terenul beneficiarului/domeniu public si care se va echipa cu:  * 2 buc celule linie 24 kV, 400 A, Isc=16 kA, cu separator de sarcina in SF6, cf. DY 803/416-LE  * loc ptr a treia celula linie  * 2 buc.celula trafo cu separator de sarcina in SF6 si sigurante, cf. DY 803/216-T,  * 2 buc. transformatoare 20/0,4 kV-630 kVA cu pierderi reduse, cf. GST001/129 RO  * coloanele MT trafo se vor executa cu cablu Al 50 mmp  * 4 tablouri j.t. echipate cu intrerupatoare cf. specificatiilor Enel ptr realizarea a 6 circuite j.t.din care:          _3 buc. tablou j.t. cf. DY 3012 RO echipat cu 1 buc. intrerupator 350 A cf. DY 3102 RO si un intrerupator 250 A conf. DY 3101 RO         _1 buc. tablou j.t. cf. DY 3011 RO echipat cu 2 buc. intrerupator 350 A cf. DY 3102 RO * cleme de scurtcircuit pe plecarile din tablourile j.t. * legaturile electrice intre bornele trafo si tablourile j.t. se vor realiza cu cabluri de Cu cu sectiunea de 240 mmp cf. DC4141/7 RO * montare echipamente de telecontrol cf. specificatiilor E-Distributie Banat SA (UP standard pentru PT cf. DX1215RO, modul GSM cf. DX1226RO, antena cf. DN760RO, acumulatori cf. DY815RO) * termo higrostat ( FT169 MAT-ED.01) si sistem de incalzire ptr celulele mt ( FT 170 MAT ED.01) * realizarea unei prize de pamant exterioare si aunei prize de pamant interioare * instalatie interioara de iluminat si prize Anvelopa prevazuta in proiect este conform DG 2092. - Distributia pe j.t. se va realiza astfel: * Din PT 51982 existent se va realiza o iesire de joasa tensiune cu cablu subteran trifazat Al 3x240+150 N proiectat cf. DC 4146/3 RO lungime de traseu cca. 0,010 km, din tabloul de joasa tensiune al PT, pana la o cutie cutie de exterior din rasina sintetica pentru distributie jt (cf. DS 4558RO) cu ansamblu de masura (cf.DMI 031055RO) montata pe soclu langa PT 51982; cutia (cf. DS 4558RO) va fi echipata cu separator jt si intrerupator automat tripolar jt, In=400A, reglat la 350A. Din cele 2 tablouri j.t. alimentate de pe bornele primului Trafo 630 kVA se vor realiza 3 circuite: -circuitul 1 (alimentare apartamentele din corpul C1, C3 – etajele 3,4 ,...et.8) cu cablu subteran trifazat Al 3x240+95 C, cf. DC 4126/6 RO, lungime de traseu cca. 0,135 km si cablu Al 3x150+50 C proiectat cf. DC 4126/5 RO lungime de traseu cca. 0,030 km. TDC-urile necesare care se vor inseria pe acest circuit sunt: TDC 11-1 buc. si TDC6-5buc. si se vor monta la fiecare nivel in spatiul destinat zonei de contorizare notat pe plan T1. -circuitul 2 (alimentare apartamentele din corpul C1 – etajele 9,10 ,...et.14) cu cablu subteran trifazat Al 3x240+95 C, cf. DC 4126/6 RO, lungime de traseu cca. 0,165 km si cablu Al 3x150+50 C proiectat cf. DC 4126/5 RO lungime de traseu cca. 0,030 km. TDC-urile necesare care se vor inseria pe acest circuit sunt TDC 6-5 buc, TDC5-1buc. si se vor monta la fiecare nivel in spatiul destinat zonei de contorizare notat pe plan T1. -circuitul 3 (alimentare SAD 1, SAD 2, SAD 3) cu cablu subteran trifazat Al 3x150+50 C proiectat cf. DC 4126/2 RO lungime de traseu cca. 0,110 km de la tabloul j.t.al PT pana la TDC 3 montat la parter si se vor monta la fiecare nivel in spatiul destinat zonei de contorizare notat pe plan T1. Din cele 2 tablouri j.t. alimentate de pe bornele celui de al doilea Trafo 630 kVA se vor realiza 3 circuite: -circuitul 1 (alimentare apartamentele din corpul C2,C4 – etajele 3,4 ,...et.8) cu cablu subteran trifazat Al 3x240+95 C, cf. DC 4126/6 RO, lungime de traseu cca. 0,160 km si cablu Al 3x150+50 C proiectat cf. DC 4126/5 RO lungime de traseu cca. 0,030 km. TDC-urile necesare care se vor inseria pe acest circuit sunt TDC 10-1 buc, TDC6-5buc si se vor monta la fiecare nivel in spatiul destinat zonei de contorizare notat pe plan T2. -circuitul 2 (alimentare biroul nr. 1 din corpul C2 – etaj 1) cu cablu subteran trifazat Al 3x240+95 C, cf. DC 4126/6 RO, lungime de traseu cca. 0,125 km. Necesara montarea unei cutii din rasina sintetica pentru distributie jt (cf. DS 4558RO) cu ansamblu de masura cf. DMI 031055RO, echipata cu separator jt si intrerupator automat tripolar jt, In=400A, reglat la 350A, care se va amplasa la etajul 2 in spatiul destinat zonei de contorizare notat pe plan T2. -circuitul 3 (alimentare biroul nr. 2 din corpul C2 – etaj 2) cu cablu subteran trifazat Al 3x240+95 C, cf. DC 4126/6 RO, lungime de traseu cca. 0,130 km. Necesara montarea unei cutii din rasina sintetica pentru distributie jt (cf. DS 4558RO) cu ansamblu de masura cf. DMI 031055RO, echipata cu separator jt si intrerupator automat tripolar jt, In=400A, reglat la 350A, care se va amplasa la etajul 2 in spatiul destinat zonei de contorizare notat pe plan T2. Toate instalatiile proiectate, cutiile de distributie si TDC-urile se vor lega la prize de pamant de potential maxim 4 ohmi.</t>
  </si>
  <si>
    <t>Conform FS nr.7103/2020 alimentarea cu energie electrică constructii cu functiuni mixte, localitatea Timisoara, str. Circumvalatiunii, nr. 1, jud. Timis Beneficiarul a solicitat elaborarea documentatiei in vederea executarii lucrarilor in doua etape: - in prima etapa se va realiza alimentarea corpului M8 - in a doua etapa se va realiza alimentarea corpurilor M9 si M10. 1. Lucrari pe tarif de racordare conform ORD 36/2019, ce vor deveni proprietatea E-DISTRIBUTIE BANAT: ETAPA 1- alimentarea corpului M8 -identificare in teren a LES 20 kV nr. 12 racordata in Statia 110/20 kV Cetate intre PT 51982 si pt 51968 existente - LES 20 kV ( 2 cabluri in profil ) proiectat, cu cablu tripolar de medie tensiune cu conductoare de Al pentru montare subterana ,izolat in polietilena reticulara de grosime redusa ,cu ecran in tub de Al sub invelis de PE, 3x185 mmp (conform DC 4385 RO), de la locul sectionarii pana la PT Anvelopa proiectat in zona obiectivului, in lungime de cca. 0 ,060 km - PT in Anvelopa de tipul 20/0,4 kV – 2x 630 kVA proiectat cf. DG 2092 RO care se va amplasa pe terenul beneficiarului/domeniu public si care se va echipa cu: - 2 buc celule linie 24 kV, 400 A, Isc=16 kA, cu separator de sarcina in SF6, cf. DY 803/416-LE - loc ptr a treia celula linie - 2 buc.celula trafo cu separator de sarcina in SF6 si sigurante, cf. DY 803/216-T, - 2 buc. transformatoare 20/0,4 kV-630 kVA cu pierderi reduse, cf. GST001/129 RO - coloanele MT trafo se vor executa cu cablu Al 50 mmp - 4 tablouri j.t. cf. DY 3012 RO echipate cu intrerupatoare 350 A cf. DY 3102 RO , 350 A cf. DY 3102 RO si 180 A cf. DY 3101 RO in care se vor racorda 6 ciruite j.t. proiectate in etapele 1si 2 - cleme de scurtcircuit pe plecarile din tablourile j.t. - legaturile electrice intre bornele trafo si tablourile j.t. se vor realiza cu cabluri de Cu cu sectiunea de 240 mmp cf. DC4141/7 RO - montare echipamente de telecontrol cf. specificatiilor Enel ( UP standard pentru PT cf. DX1215RO, modul GSM cf. DX1226RO, antena cf. DN760RO, acumulatori cf. DY815RO) - termo higrostat (FT169 MAT-ED.01) si sistem de incalzire ptr celulele mt (FT 170 MAT ED.01) - realizarea unei prize de pamant exterioare si a unei prize de pamant interioare - instalatie interioara de iluminat si prize Anvelopa prevazuta in proiect este conform DG 2092. Distributia pe j.t. din tablourile j.t. alimentate de pe bornele celor doua Trafo 630 kVA se va realiza prin 3 circuite j.t. executate cu: - cabluri j.t. de tipul : Al 3x240+95 C cf. DC 4126/6 RO , lungime totala 0,150 km, - cabluri j.t. de tipul : Al 3x150+50 C cf. DC 4126/5 RO in lungime totala de 0,305 km, - 3 firide de distributie realizate cu separatoare verticale pol cu pol ,patroane fuzibile max. 400 A, sistem de bare de cupru stanat tip E1+2 (1 buc.), E1+4 ( 1 buc.), E2+1 (1 buc.), care se vor amplasa in exteriorul blocului cf. planului de situatie anexat -TDC 9-7 buc., TDC 13-4 buc. si se vor monta la fiecare nivel in spatiul destinat zonei de contorizare notat pe plan TDC - BMPTd 40 A cf. FT 124_MAT ed.03 ( 4 buc.) racordate in firidele de distributie prin cabluri de tipul Al 3x25+16c in lungime totala de 0,180 km, care se vor amplasa la parterul blocurilor ptr alimentarea spatiilor comerciale si a spatiilor comune. - Cutia de masura BMPTS1 (cf. DS 4558RO) cu ansamblu de masura 125/5A (cf.DMI 031055RO) reglata ptr un curent de 350/5A, montata pe un soclu, prevazuta ptr alimentarea Tabloului electric de la subsolul M8, se va racorda in tabloul jt, respectiv in firida distributie E2+1 prin intermediul unui circuit jt realizat cu cablu Al 3x240+95 C cf. DC 4126/6 RO Toate instalatiile proiectate, firidele de distributie si TDC-urile, cutia de masura, se vor lega la prize de pamant de potential maxim 4 ohmi. ETAPA 2- alimentarea corpurilor M8 si M10 Distributia pe j.t. din tablourile j.t. alimentate de pebornele celor doua Trafo 630 kVA se va realiza prin 3 circuite j.t. executate cu: - cabluri j.t. de tipul : Al 3x240+95 C cf. DC 4126/6 RO , lungime totala 0,090 km, - cabluri j.t. de tipul : Al 3x150+50 C cf. DC 4126/5 RO in lungime totala de 0,920 km, - 3 firide de distributie realizate cu separatoare verticale pol cu pol ,patroane fuzibile max. 400 A, sistem de bare de cupru stanat tip E1+2 (1 buc.), E2+2 ( 2 buc.), E2+3 (1 buc.), care se vor amplasa in exteriorul blocului cf. planului de situatie anexat -TDC 6-4 buc., TDC 9-11 buc. si se vor monta la fiecare nivel in spatiul destinat zonei de contorizare notat pe plan TDC - BMPTd 40 A cf. FT 124_MAT ed.03 ( 5 buc.) racordate in firidele de distributie prin cabluri de tipul Al 3x25+16c in lungime totala de 0,200 km, care se vor amplasa la parterul blocurilor ptr alimentarea spatiilor comerciale si a spatiilor comune. Toate instalatiile proiectate, firidele de distributie si TDC-urile, cutia de masura, se vor lega la prize de pamant de potential maxim 4 ohmi. Traseul şi amplasarea reţelelor electrice, a coloanelor electrice şi modul de pozare vor respecta NTE 007/08, I7/2002, (atentie marita la distantele circuitelor si echipamentelor proiectate fata de conductele de gaz si apa) se va stabili în cadrul proiectului tehnic, de către proiectantul de specialitate, conform avizelor obţinute şi de comun acord cu beneficiarul lucrării, astfel încît să permită accesul pentru mentenanţă şi înlocuirea instalaţiilor electrice defecte în timp util. Coloanele electrice trebuie astfel realizate încât să permită mentenanţa şi înlocuirea cablurilor fără a fi necesare lucrări de reparaţii la clădire, refaceri ale tencuielilor şi/sau zugrăvelilor. Coloanele se pozează individual, în tuburi separate, cu trasee strict verticale, fără coturi. Accesul la capetele acestora trebuie să fie posibil prin intermediul unor structuri demontabile şi remontabile. Delimitarea de gestiune între instalaţiile distribuitorului şi cele ale consumatorului, este la ieşirea din contoarele care se vor monta ulterior in BMPT-urile/ TDC-urile proiectate / Cutiile de masurare si protectie proiectate.</t>
  </si>
  <si>
    <t>- Identificare si sectionare LES 20 KV existent racord PT 52127 ( sosire din LEA -LES 20 KV VI Fratelia -st.53 -SS1904 ) . - se va poza un cablu de medie tensiune tripolar cu elice vizibila pentru montare subterana, izolat in polietilena reticulara de grosime redusa, Al 3x1x185, cu ecran in tub de aluminiu sub invelis de PVC sau PE (cf. DC 4385RO), in lungime de 2X10 m pana la un post de transformare proiectat. Cablul se va poza in sapatura deschisa la o adincime de 0.8-1m, protejat in tub de polietilena reticulara cf. DS 4247 RO, acoperit cu un strat de nisip de 20cm masurat de la partea superioara a tubului, semnalizat cu benzi avertizoare. - se va construi un post de transformare in anvelopa de beton proiectat (PT), 20/0,4 kV-1x630 kVA, cu gabarit pentru trafo de 630kVA, (cf. DG 2061RO Ed.02), echipat cu: - 2 buc celula linie 24kV, 630A, Isc=16kA, cu separator de sarcina in SF6 (cf. DY 803), telecontrolat; PT trebuie sa permita o dezvoltare ulterioara cu inca o celula de linie. - 1 buc. celula trafo cu separator de sarcina in SF6 si sigurante (cf. DY 803). - rezistente anticondens in celulele MT – 3buc. si termohigrostat in PT nou proiectat – 3 buc.; - 1 buc. transformator 20/0,4 kV-630 kVA cu pierderi reduse (cf. DT 796 RO). - legatura electrica intre bornele trafo si tabloul JT se va realiza cu cablu unipolar de Cu cu sectiunea de 150mmp (cf. DC 4141 RO), lungime totala de 32m (4 conductoare unipolare x 8m); -1 buc. tablou JT (cf. DY3010RO) echipat cu 4 buc. intreruptoare de 250A (cf. DY 3101RO). -postul de transformare proiectat se va lega la o priza de pamant ce va avea valoarea rezistentei de dispersie de maxim 4 ohmi; - PT va fi amplasat astfel incat accesul in PT sa fie direct din domeniul public.Montare echipamente telecontrol in post . Circuitul 1:CF 414394 -din intreruptorul C1 se va poza un cablu de tip Al 3x150+95N (cf. DC4146RO) in lungime de 60 m si se va proteja in tub (cf.DS 4247RO). Cablul va fi prevazut in PT cu adaptori pentru scurtcircuitoare mobile. 1),,Firida F1C1 E2+4: -se va monta o firida F1C1 pe cf. 414394 (firida din poliester armat cu fibra de sticla, cu separatoare cu MPR, cu actionare pol cu pol si bare de cupru stanat, piulite fixate in bara, sistem de fixare cu ocolire a cablurilor, cu soclu incastrat in beton) cu acces din domeniul public; Firida proiectata se va lega la o priza de pamant ce va avea valoarea rezistentei de dispersie de maxim 4 ohmi. a),,TDC 24 cf 414394:SCARA A - din firida F1C1 se va executa un bransament electric trifazat cu cablu Al 3x95+35C (cf. DC4126RO) in lungime de 15 m protejat in tub (cf.DS 4247RO) pe toata lungimea pana la un TDC-24 (24 )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b),,TDC 24 cf 414394:SCARA B - din firida F1C1 se va executa un bransament electric trifazat cu cablu Al 3x95+35C (cf. DC4126RO) in lungime de 50 m protejat in tub (cf.DS 4247RO) pe toata lungimea pana la un TDC-24 (24 )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c),,TDC 20 cf 414394:SCARA A+B - din firida F1C1 se va executa un bransament electric trifazat cu cablu Al 3x95+35C (cf. DC4126RO) in lungime de 50 m protejat in tub (cf.DS 4247RO) pe toata lungimea pana la un TDC-20 ce va fi construit conform specificatiilor din FT-264_MAT, prevazut cu 18 intreruptoare automate bipolare de 16A&lt;(&gt;,&lt;)&gt;si 2 intrerupatoare tetrapolare 32 A (casa scarilor Asi B) proiectat langa peretele blocului. - TDC-ul nou proiectat se va lega la o priza de pamant proiectata, cu valoarea rezistentei de dispersie de maxim 4 ohmi. d),,BMP 1 cf 413394 - din firida F1C1 se va executa un bransament electric trifazat cu cablu Al 1x50+25C (cf. DC4125RO) in lungime de 50 m protejat in tub (cf.DS 4247RO) pe toata lungimea pana la un BMP-63A (cf. FT-133_MAT echipat conform FT124MAT) cu soclu din policarbonat armat cu fibra de sticla, prevazut cu intreruptor automat tetrapolar de 63A, proiectat la limita de proprietate. BMP-ul se va lega la o priza de pamant cu valoarea rezistentei de dispersie de maxim 4 ohmi realizata prin grija beneficiarului. Circuitul 2:CF 4143945 -din intreruptorul C2 se va poza un cablu de tip Al 3x150+95N (cf. DC4146RO) in lungime de 100 m si se va proteja in tub (cf.DS 4247RO). Cablul va fi prevazut in PT cu adaptori pentru scurtcircuitoare mobile. 2),,Firida F2C2 E2+4: -se va monta o firida F1C1 pe cf. 414395 (firida din poliester armat cu fibra de sticla, cu separatoare cu MPR, cu actionare pol cu pol si bare de cupru stanat, piulite fixate in bara, sistem de fixare cu ocolire a cablurilor, cu soclu incastrat in beton) cu acces din domeniul public; Firida proiectata se va lega la o priza de pamant ce va avea valoarea rezistentei de dispersie de maxim 4 ohmi. e),,TDC 24 cf 414395:SCARA A - din firida F2C2 se va executa un bransament electric trifazat cu cablu Al 3x95+35C (cf. DC4126RO) in lungime de 15 m protejat in tub (cf.DS 4247RO) pe toata lungimea pana la un TDC-24 (24 )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f),,TDC 24 cf 414395:SCARA B - din firida F2C2 se va executa un bransament electric trifazat cu cablu Al 3x95+35C (cf. DC4126RO) in lungime de 50 m protejat in tub (cf.DS 4247RO) pe toata lungimea pana la un TDC-24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g),,TDC 20 cf 414395:SCARA A+B - din firida F2C2 se va executa un bransament electric trifazat cu cablu Al 3x95+35C (cf. DC4126RO) in lungime de 50 m protejat in tub (cf.DS 4247RO) pe toata lungimea pana la un TDC-20 ce va fi construit conform specificatiilor din FT-264_MAT, prevazut cu 18 intreruptoare automate bipolare de 16A&lt;(&gt;,&lt;)&gt;si 2 intrerupatoare tetrapolare 32 A ( casa scarilor Asi B) proiectat langa peretele blocului. - TDC-ul nou proiectat se va lega la o priza de pamant proiectata, cu valoarea rezistentei de dispersie de maxim 4 ohmi. h),,BMP 2 cf 413395 : - din firida F1C1 se va executa un bransament electric trifazat cu cablu Al 1x50+25C (cf. DC4125RO) in lungime de 50 m protejat in tub (cf.DS 4247RO) pe toata lungimea pana la un BMP-63A (cf. FT-133_MAT echipat conform FT124MAT) cu soclu din policarbonat armat cu fibra de sticla, prevazut cu intreruptor automat tetrapolar de 63A, proiectat la limita de proprietate. BMP-ul se va lega la o priza de pamant cu valoarea rezistentei de dispersie de maxim 4 ohmi realizata prin grija beneficiarului. Circuitul 3:CF 414396 -din intreruptorul C3 se va poza un cablu de tip Al 3x150+95N (cf. DC4146RO) in lungime de 130 m si se va proteja in tub (cf.DS 4247RO). Cablul va fi prevazut in PT cu adaptori pentru scurtcircuitoare mobile. 3),,Firida F3C3 E2+4: -se va monta o firida F3C3 pe cf. 414396 (firida din poliester armat cu fibra de sticla, cu separatoare cu MPR, cu actionare pol cupol si bare de cupru stanat, piulite fixate in bara, sistem de fixare cu ocolire a cablurilor, cu soclu incastrat in beton) cu acces din domeniul public; Firida proiectata se va lega la o priza de pamant ce va avea valoarea rezistentei de dispersie de maxim 4 ohmi. i),,TDC 24 cf 414396:SCARA A - din firida F3C3 se va executa un bransament electric trifazat cu cablu Al 3x95+35C (cf. DC4126RO) in lungime de 15 m protejat in tub (cf.DS 4247RO) pe toata lungimea pana la un TDC-24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j),,TDC 24 cf 414396:SCARA B - din firida F3C3 se va executa un bransament electric trifazat cu cablu Al 3x95+35C (cf. DC4126RO) in lungime de 50 m protejat in tub (cf.DS 4247RO) pe toata lungimea pana la un TDC-24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k),,TDC 20 cf 414396:SCARA A+B - din firida F3C3 se va executa un bransament electric trifazat cu cablu Al 3x95+35C (cf. DC4126RO) in lungime de 50 m protejat in tub (cf.DS 4247RO) pe toata lungimea pana la un TDC-20 ce va fi construit conform specificatiilor din FT-264_MAT, prevazut cu 18 intreruptoare automate bipolare de 16A&lt;(&gt;,&lt;)&gt;si 2 intrerupatoare tetrapolare 32 A ( casa scarilor Asi B) proiectat langa peretele blocului. - TDC-ul nou proiectat se va lega la o priza de pamant proiectata, cu valoarea rezistentei de dispersie de maxim 4 ohmi. l),,BMP 1 cf 413396 : - din firida F3C3 se va executa un bransament electric trifazat cu cablu Al 1x50+25C (cf. DC4125RO) in lungime de 50 m protejat in tub (cf.DS 4247RO) pe toata lungimea pana la un BMP-63A (cf. FT-133_MAT echipat conform FT124MAT) cu soclu din policarbonat armat cu fibra de sticla, prevazut cu intreruptor automat tetrapolar de 63A, proiectat la limita de proprietate. BMP-ul se va lega la o priza de pamant cu valoarea rezistentei de dispersie de maxim 4 ohmi realizata prin grija beneficiarului. Circuitul 4:CF 414397 -din intreruptorul C4 se va poza un cablu de tip Al 3x150+95N (cf. DC4146RO) in lungime de 170 m si se va proteja in tub (cf.DS 4247RO). Cablul va fi prevazut in PT cu adaptori pentru scurtcircuitoare mobile. 4),,Firida F4C4 E2+4: -se va monta o firida F4C4 pe cf. 414397 (firida din poliester armat cu fibra de sticla, cu separatoare cu MPR, cu actionare pol cu pol si bare de cupru stanat, piulite fixate in bara, sistem de fixare cu ocolire a cablurilor, cu soclu incastrat in beton) cu acces din domeniul public; Firida proiectata se va lega la o priza de pamant ce va avea valoarea rezistentei de dispersie de maxim 4 ohmi. m),,TDC 24 cf 414397:SCARA A - din firida F4C4 se va executa un bransament electric trifazat cu cablu Al 3x95+35C (cf. DC4126RO) in lungime de 15 m protejat in tub (cf.DS 4247RO) pe toata lungimea pana la un TDC-24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n),,TDC 24 cf 414397:SCARA B - din firida F4C4 se va executa un bransament electric trifazat cu cablu Al 3x95+35C (cf. DC4126RO) in lungime de 50 m protejat in tub (cf.DS 4247RO) pe toata lungimea pana la un TDC-24 ce va fi construit conform specificatiilor din FT-264_MAT, prevazut cu 20 intreruptoare automate bipolare de 16A&lt;(&gt;,&lt;)&gt;si 2 intrerupatoare tetrapolare 16 A proiectat langa peretele blocului. - TDC-ul nou proiectat se va lega la o priza de pamant proiectata, cu valoarea rezistentei de dispersie de maxim 4 ohmi. o),,TDC 20 cf 414397:SCARA A+B - din firida F4C4 se va executa un bransament electric trifazat cu cablu Al 3x95+35C (cf. DC4126RO) in lungime de 50 m protejat in tub (cf.DS 4247RO) pe toata lungimea pana la un TDC-20 ce va fi construit conform specificatiilor din FT-264_MAT, prevazut cu 18 intreruptoare automate bipolare de 16A&lt;(&gt;,&lt;)&gt;si 2 intrerupatoare tetrapolare 32 A ( casa scarilor Asi B) proiectat langa peretele blocului. - TDC-ul nou proiectat se va lega la o priza de pamant proiectata, cu valoarea rezistentei de dispersie de maxim 4 ohmi. p),,BMP 1 cf 413397 : - din firida F4C4 se va executa un bransament electric trifazat cu cablu Al 1x50+25C (cf. DC4125RO) in lungime de 50 m protejat in tub (cf.DS 4247RO) pe toata lungimea pana la un BMP-63A (cf. FT-133_MAT echipat conform FT124MAT) cu soclu din policarbonat armat cu fibra de sticla, prevazut cu intreruptor automat tetrapolar de 63A, proiectat la limita de proprietate. BMP-ul se va lega la o priza de pamant cu valoarea rezistentei de dispersie de maxim 4 ohmi realizata prin grija beneficiarului. - In cazul in care instalatia de racordare si/sau deviere ocupa/traverseaza terenuri private se vor constitui/recunoaste drepturile reale de superficie/uz si servitute, dupa caz, in favoarea Enel, aferente imobilelor afectate de instalatia de racordare/capacitatile deviate. - Materialele si echipamentele care se utilizeaza la realizarea instalatiei trebuie sa fie conforme cu cerintele din specificatiile tehnice unificate ENEL. Celelalte materiale si echipamente pentru care nu sunt elaborate specificatii tehnice unificate, trebuie sa fie noi, compatibile cu starea tehnica a instalatiei, sa indeplineasca cerintele specifice de fiabilitate si siguranta. *instalatia de utilizare a abonatului (priza de pamint, cu valoarea rezistentei de dispersie de maxim 4 ohmi, calea de curent dintre locul de delimitare si locul de consum al solicitantului) se recomanda a se realiza cu cablu electric avand sectiunea minima de 16 mmp, pozat inaintea executiei lucrarilor stabilite prin prezentul aviz tehnic de racordare. **Clientul va depune dosar definitiv pentru instalatia electrica de utilizare in aval de punctul de delimitare. Dosarul definitiv va fi elaborat de catre un electrician autorizat ANRE, prin grija si cheltuiala consumatorului.</t>
  </si>
  <si>
    <t>Conform SS L 7426/2021-7426/2021 -“Racordarea la SEN a obiectivului: hala productie, depozitare, birouri si anexe, situat in loc.Giarmata, Calea Timisoarei, DJ691 km 9, CF 412145, jud. Timis”elaborat de E-Distributie Banat SA, avizat cu documentul: Aviz CTE nr. 4/1/21.12.2021, varianta I din studiul de solutie pentru care utilizatorul a optat in scris prin adresa nr. 08653812/23.02.2022, alimentarea cu energie electrica a obiectivului consta din realizarea unui Punct de Conexiune de 20 kV, cu delimitare si masura la medie tensiune. PC de 20 kV va fi realizat cu 2 compartimente cu acces separat (compartiment de racordare ptr acces personal Enel si compartiment utilizator ptr acces utilizator). Cladirea Punctului de Conexiune va fi pusa la dispozitie de beneficiar si se va amplasa pe terenul beneficiarului, pe cat posibil la limita de proprietate. Pentru calea 1 de alimentare (alimentare de baza) Punctul de Conexiune se va racorda prin intermediul LES 20 kV proiectata cu sectiunea 185 mmp traseu in lungime de cca. 10,500 km in Statia 110/20 kV Bucovina pe Trafo 1, bara 1rosie, celula de linie proiectata,- pas celula nr 23. Pentru calea 2 de alimentare (alimentare de rezerva) Punctul de Conexiune se va racorda prin intermediul LES 20 kV proiectata cu sectiunea 185 mmp traseu in lungime de cca. 6,500 km in Statia 110/20 kV Covaci pe Trafo 1, bara 1 rosie, celula de linie proiectata. Pentru realizarea solutiei de alimentare cu energie electrica prezentate mai sus, este necesara realizarea urmatoarelor lucrari: I . Lucrari finantate pe baza tarifului de racordare platit de beneficiar la E- Distributie BANAT SA: · Montarea unui Punctul de Conexiune pe terenul beneficiarului care se va echipa cu: -,,2 celule de linie motorizate 24 kV, 630 A, 16 kA cu separator de sarcina in SF6 conf. DY803/416- LE ed. 2 -,,o celula de masura conf. DY803M/316-1UT cu separator si grup de masura format din doua transformatoare de tensiune 20/0,1 kV, clasa de precizie 0,5 conform DMI031015 RO,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EDB cat si de catre beneficiar. Compartimentul in care sint amplasate instalatiile de racordare, trebuie sa fie cu actionare din interior. Compartimentul de racordare trebuie sa fie dotat cu o instalatie de iluminat corespunzatoare si cu o priza bipolara cu intrerupator 16A-230V cu siguranta fuzibila, alimentate de la reteaua de j.t. a clientului. Instalatia de racordare contine echipamentele de manevra si sectionare ale EDB. - termo higrostat ( FT169 MAT-ED.01) si sistem de incalzire ptr celulele mt ( FT 170 MAT ED.01) - echipamente pentru telecontrol puse la dispozitie de EDB: un tablou pentru alimentare servicii auxiliare DY 3016 RO, Unitate periferica DX 1215 RO cu doi acumulatori DY 815 RO, modul GSM DX1226RO si antena DN 760. - montare 1 buc. Celula Linie 20 kV in Statia 110/20 kV Bucovina, pe Trafo 1, pe bara 1 rosie, celula de linie proiectata langa CL nr 21 – pas celula nr. 23, tip 696 A cu protectie generatia A2 cu DV 901, 2xTC 300/5A scindabil (conform FT 081, matricola 653562) si cabluri de circuite secundare ptr masura de bilant - montare 1 buc. Celula Linie 20 kV in Statia 110/20 kV Covaci, pe Trafo 1, pe bara 1 rosie, celula de linie proiectata tip 696 A cu protectie generatia A3 cu GSTP 101, 2xTC 300/5A scindabil (conform FT 081, matricola 653562) si cabluri de circuite secundare ptr masura de bilant  - pozare LES m.t.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traseu in lungime de cca. 10,500 km, intre celula de linie proiectata in Statia 110/20 kV Bucovina si celula de line proiectata in PC prevazut pe terenul beneficiarului.  - pozare LES m.t.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traseu in lungime de cca. 6,500 km, intre celula de linie proiectata din Statia 110/20 kV Covaci si celula de line proiectata in PC prevazut pe terenul beneficiarului. II . Lucrari finantate de beneficiar, realizate prin grija lui, ce devin proprietatea acestuia: - 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 Realizare LES 20 kV cit mai scurta posibil (l20m), cu cablu de cupru de sectiune minima 95 mmp, intre celula de masura din compartimentul de racordare de 20 kV si celula de record cablu a celulei cu intrerupator din compartimentul utilizatorului - Celulele de sosire in compartimentul utilizatorului vor fi cu intrerupator general automat debrosabil/ intrerupator automat si separator. Intrerupatorul va fi obligatoriu prevazut cu sistem de protectie generala maximala de curent in trei trepte (la scurtcircuit si la suprasarcina) si protective homopolara de current in doua trepte, contra punerilor la pamant monofazate respective bifazate, cu reglajul corelat cu celelalte protectii din intalatiile E-Distributie Banat SA.  - Instalatie de iluminat si o priza bipolara cu intrerupator 16A-230V - LES 20 kV intre punctul de conexiune si postul/posturile trafo montat la beneficiar - trafo 20/0,4 kV - Realizarea instalatiei de legare la pamint pentru noul PC, Rp, 4 ohmi Delimitarea de proiectare, gestiune si masurare intre instalatiile distribuitorului si cele ale consumatorului este stabilit la nivelul de 20 kV, la capetele terminale de racordare ale LES 20 kV plecare din compartimentul de racordare al PC proiectat spre compartimentul utilizatorului</t>
  </si>
  <si>
    <t>Conform FS nr. 09554537 si tinand cont de situatia energetica existenta precum si de solicitarea beneficiarului, sporul de putere cerut de consumator se poate realiza din PC 20 kV nr.2223 fiind necesara inlocuirea transformatoarelor de curent 2xTC 50/5 A existente in PC20 kV nr. 2223, cu un set de transformatoare de curent 2xTC 400/5 A cl 0,2 S.
Punctul de racordare: LEA 20 kV Orastie Bovine,st.nr.1,derivatia 2223 BESSE
Punctul de delimitarea între instalaţiile distribuitorului şi cele ale consumatorului este la capetele terminale de racordare ale cablului din celula de masura MT, plecare din compartimentul de racordare spre compartimentul utilizatorului.
Punctul de masurare: este stabilit la nivelul de 20 kV, in compartimentul de racordare din celula de masura.</t>
  </si>
  <si>
    <t>Solutie propusa racord nou: - sectionare LES 20kV nr. 3 din statia 110/20/10kV Dumbravita, intre punctul de conexiune T 52202 si postul de transformare T 52136 si mansonare cu LES 20kV proiectat; - LES 20 kV proiectat, lungime 2x70m, cu cablu de medie tensiune tripolar cu elice vizibila pentru montare subterana, izolat in polietilena reticulara de grosime redusa, Al 3x1x185mmp, cu ecran in tub de aluminiu sub invelis de PVC sau PE (cf. DC 4385 RO). Cablul se va poza in tub pe toata distanta (cf. DS 4235 RO si DS 4247 RO), de la mansonare pana la PT cu gabarit de doua trafo proiectat in subsolul cladirii Vivalia 8. - PT 20/0,4 kV ? 2x630 kVA proiectat amplasat intr-o incapere pusa la dispozitie de catre beneficiar in subsolul cladirii Vivalia 8, care se va echipa cu: - 2 buc celula linie 24 kV, 400 A, Isc=16kA, cu separator de sarcina in SF6 (cf.DY 803/416), telecontrolata; - 2 buc.celula trafo cu separator de sarcina in SF6 si sigurante (cf.DY 803/216); - 2 buc. transformator 20/0,4 kV-630 kVA uscat si cu pierderi reduse; Postul trafo se va realiza in conformitate cu instructiunile Ghidului de montare postruti unificate si neunificateED.1/2013, - 7 buc. tablou JT, dupa cum urmeaza: - din primul trafo pentru cladirea C1: - tablou JT cu doua iesiri (cf.DY3010RO) 2 bucati tablou jt cf. DY 3009/1 RO echipat cu: primul tablou, 2 buc. intrerupator tetrapolar automat JT, 350A (cf.DY 3101RO) si al doilea tablou cu 2 buc. intrerupator tetrapolar automat JT, 350A (cf.DY 3101RO) - din al doilea trafo pentru cladirea C2: - 1 bucata tablou jt cf. DY 3009/1 RO echipat cu 2 intrerpatoare tetrapolare automat JT, 350A (cf.DY3101RO) - coloanele de JT se vor executa cu cablu Cu 150 mmp; F19 Rev 12/P-05-12 3 INTERNAL - legatura electrica intre bornele trafo si tabloul JT se va realiza cu cablu unipolar de Cu cu sectiunea de 150 mmp (cf. DC 4141 RO), lungime 2x(4x8)m; - echipamente de telecontrol si automatizare conformspecificatiilor Enel: RGDAT pe fiecare celula linie (2 buc)-(cf. DY859 RO), UP standard pentru PT (cf. DX 1215 RO), modul GSM (cf. DX 1226 RO), antena (cf. DN760 RO), acumulatori (cf. DY815 RO); - instalatie completa de iluminat interior/exterior si prize, tablou electric pentru servicii auxiliare, instalatie de iluminat si o priza bipolara cu întrerupator 16 A - 230 V cu siguranta automata; - rezistente in celulele MT ? 3buc. si termohigrostat in PT ? 1 buc.; - PT va fi amplasat astfel incat accesul in PT sa fie direct din domeniul public; Distributia pe JT se va face astfel: Montare firide de distributie tip E, pe soclu, la subsolul cladirii dupa cum urmeaza: Cladirea C1: Montare firide de distributie tip E, pe soclu, la subsolul cladirii dupa cum urmeaza: - Firida tip E2+6, pentru alimentare apartamente si SAD-uri: 2 buc. 2 buc BMPTi 250A Cladirea C2: - Firida tip E2+6, pentru alimentare apartamente si SAD-uri: 2 buc. Firidele de distributie vor fi dinpoliester armat cu fibra de sticla, cu separatoare cu MPR, cu actionare pol cu pol si bare de cupru stanat, piulita fixata in bara, sistem de fixare cu coliere a cablurilor, cu soclu incastrat in beton; Realizare priza de pamant de potential maxim 10 ohmi ? 4 buc.; Legatura electrica intre intrerupatoarele JT din PT proiectat si firidele de distributie tip E, se va realiza cu cablu JT tetrapolar Al 3x240+150N mmp (cf. DC 4126RO), lungime totala 80m pentru cladirea C1 si 40m pentru cladirea C2, prevazut in PT cu adaptori pentru scurtcircuitoare; - legatura electrica/buclarea intre firidele de distributie tip E proiectate se va realiza cu cablu JT tetrapolar Al 3x240+150N mmp (cf. DC 4126RO), lungime intre firide alaturate - 4m. - montare tablouri de distributie si contorizare tip TDC amplasate la subsolul cladirii, in conformitate cu solicitarea beneficiarului; Pentru cladirea C1: Circuitul 1 - din intrerupatorul 250A (SAD-uri + apartamente): cablu subteran trifazat de Al 3x240+150N proiectat cf. DC 4146 RO, in lungime de cca. 80m, din tabloul de joasa tensiune al PT proiectat, pana o firida E2+6 proiectata. amplasata la subsolul cladirii, care se va echipa cu separatoare tripolare si se va monta pe un soclu in interior; Din Firida E2+6 se vor alimenta, prin intermediul a 6 coloane cu cablu Al3x50+25C (lungime totala 6x5m), TDC-urile amplasate la subsolul cladirii; TDC-urile necesare sunt: TDC 3M ? 1 buc si TDC 11M ? 5 buc. Circuitul 2 ? din intrerupatorul 250A (apartamente): cablu subteran trifazat de Al 3x240+150N proiectat cf. DC 4146 RO, in lungime de cca. 80m, din tabloul de joasa tensiune al PT proiectat, pana o firida E2+6 proiectata. Firida E2+6 se vor alimenta, prin intermediul a 6 coloane cu cablu Al3x50+25C (lungime totala 6x5m), TDC-urile amplasate la subsolul cladirii; TDC-urile necesare sunt: TDC 9M ? 1 buc si TDC 7M ? 4 buc. Circuitul 3 - cablu subteran trifazat de Al 3x150+95N proiectat cf. DC 4146 RO, in lungime de cca. 80m, din tabloul de joasa tensiune al PT proiectat, BMPTi 250A, TC 250/5A cls. 0.5s FT 133. Circuitul 4 - cablu subteran trifazat de Al 3x150+95N proiectat cf. DC 4146 RO, in lungime de cca. 80m, din tabloul de joasa tensiune al PT proiectat, BMPTi 250A, TC 250/5A cls. 0.5s FT 133. TDC si BMPTi, proiectate, se vor lega la prize de pamant de potential maxim 4 ohmi, realizate prin grija beneficiarului. F19 Rev 12/P-05-12 4 INTERNAL Pentru cladirea C2: Circuitul 1 - din intrerupatorul 250A (SAD-uri + apartamente): cablu subteran trifazat de Al 3x240+150N proiectat cf. DC 4146 RO, in lungime de cca. 80m, din tabloul de joasa tensiune al PT proiectat, pana o firida E2+6 proiectata. amplasata la subsolul cladirii, care se va echipa cu separatoare tripolare si se va monta pe un soclu in interior; Din Firida E2+6 se vor alimenta, prin intermediul a 6 coloane cu cablu Al3x50+25C (lungime totala 6x5m), TDC-urile amplasate la subsolul cladirii; TDC-urile necesare sunt: TDC 3M ? 1 buc si TDC 11M ? 5 buc. Circuitul 2 ? din intrerupatorul 250A (apartamente): cablu subteran trifazat de Al 3x240+150N proiectat cf. DC 4146 RO, in lungime de cca. 80m, din tabloul de joasa tensiune al PT proiectat, pana o firida E2+6 proiectata. Firida E2+6 se vor alimenta, prin intermediul a 6 coloane cu cablu Al3x50+25C (lungime totala 6x5m), TDC-urile amplasate la subsolul cladirii; TDC-urile necesare sunt: TDC 11M ? 2 buc si TDC 7M ? 4 buc.</t>
  </si>
  <si>
    <t>In prezent consumatorul este alimentat din PC 20 kV 192 Thermi Deva alimentat din LES 20 kV PA 3 Deva , avand masura de decontare si delimitarea de gestiune pe partea de 20 kV.
Modificare SN de functionare pentru preluarea sporului de putere cerut. Integrare celule MT (in PC 192 in telecontrol pentru rupere bucla MT pe linia 20 kV PA 3 DEVA . Inlocuire grup celule MT (2L+1UT)existente in PC 192 Deva cu celule unificate ENEL 2LE+1UT integrabile in TLC . Montare grup de masura 2xTT 20/0,1 kV si 2xTC 400/5A</t>
  </si>
  <si>
    <t>Prin cererea de racordare nr. 9643299 beneficiarul United Business Center 0 SRL solicita alimentarea cu energie electrica a cladirii UBC0 proprietate UNITED BUSINESS CENTER 0 TIMISOARA SRL situata in incinta IULIUS MALL. Precizam ca exista solicitarile nr.10318091/18.06.2022 si 10318039/18.06.2022 de modificare tehnica a instalatiei de racordare -fara spor de putere - cedare POD-uri nr. : RO005E513549225 (20G90290110088812) si RO005E513849048 (20G90290110088802) (cererea nr. 10318091/18.06.2022) de catre IULIUS MALL si diminuarea puterii absorbite -(10318039/18.06.2022) . Prin cererea 10318039/18.06.2022 utilizatorul UNITED BUSINESS CENTER 2 TIMISOARA SRL cedeaza 4200 kW din puterea aprobata de 7809,8 kW catre UNITED BUSINESS CENTER 0 TIMISOARA SRL. ?inând seama de situa?ia energetic? existent? precum ?i de solicitarile UNITED BUSINESS CENTER 0 TIMISOARA SRL, UNITED BUSINESS CENTER 2 TIMISOARA SRL si IULIUS MALL, alimentarea cu energie electric?a obiectivului cladire UBC0 se va realiza din PC 20kV nr. 52164 sectia 2 bare(celula masura 2) avand ca surse LES 20kV nr.12 Bucovina respectiv LES 20kV nr.17 Dumbravita si PC 52165 sectia 1 bare(celula de masura 1) avand ca surse LES 20kV nr.13 Bucovina respectiv LES 20kV nr.18 Dumbravita. Desemenea in instalatia de utilizare UBC0 aferenta PC 20kV nr. 52165, separatorul si intrerupatorul din celula nr. 2 LES sosire din PC1 va ramane blocat in pozitie deschis(legat la Pamant). Desemenea in instalatia de utilizare UBC2 aferenta PC 20kV nr. 52164, separatorul si intrerupatorul din celula nr. 2 LES sosire din PC2 va ramane blocat in pozitie deschis(legat la Pamant). In instalatia de utilizare de utilizare UBC0 , UBC2 si IULIUS MALL celule de cupla nr.4 si nr.5 din ambele puncte de conexiune se vor bloca in pozitia deshis(legat la Pamant).</t>
  </si>
  <si>
    <t>a)Lucrari realizate pe tarif de racordare : Se va inseria un stalp metalic nou proiectat tip 12G24 notat 287A pe LEA 20 kV Valiug la 10 m de stalpul de capat existent 288 si se va echipa cu separator plecare cablu conf. DY 595 RO, set de descarcatori conf. DY 557 RO, terminale de exterior conf. DJ 4476 RO si priza de pamant de 4 ohmi . Se va realiza un racord LES 20 kV proiectat avand traseul intre stalpul 287A proiectat si celula de line a punctului de conexiune nou proiectat cu canalizare in lungime de 2200 m cu cablu MT Al 3x1x185 mmp, cu izolatie de polietilena reticulata(XPLE) de grosime redusa conf. DC 4385 RO montat in tub conf. DS 4235 RO si DS 4247 RO. Punct de conexiune de 20 kV amplasat intr-o anvelopa de beton pusa la dispozitie de utilizator cu compartiment de racordare si masura cu acces separat pentru E-DISTRIBUTIE BANAT SA echipat cu : -o buc celula de linie motorizata 24 kV, 630 A , 16 kA cu separator de sarcina in SF6 conf. DY 803/2 ed3 ; -o celula de masura cf. DY 803/4-1UT ed. 3, echipata cu separator de sarcina si CLP, 2 buc. transformatoare de tensiune 20/0,1 kV clasa de precizie 0,5 conf. DMI031015RO, 2 buc. transformatoare de curent cu raportul de transformare 50/5 A (cls. 0,5S) conf. DM0311052RO si contor electronic trifazat static(afisaj LCD), In=5(6)A , Un=3x100/57V ,clasa de precizie 0,5 dotate cu curba de sarcina si interfata de comunicare RS 232 si modul comunicatie GSM amplasat intr-o cutie de masura; cutia de masura se va amplasa intr-o nisa cu posibilitatea vizualizarii din exterior ; -termo higrostat (FT169 MAT-ED.01), sistem de incalzire pt. celulele mt (FT 170 MAT ED.01) Contorul pentru decontare va fi finantat de catre E-Distributie BANAT; Compartimentul de racordare trebuie sa permita o dezvoltare ulterioara(montarea unei celule de linie) si sa fie cu acces din exterior . b)Lucrari ce se realizeaza prin grija beneficiarului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Norma Tehnica ENEL ed. 3; LES 20 kV cat mai scurt posibil (l? 20 m), cu cablu de cupru de sectiune minima 95 mmp, intre celula de masura din compartimentul de racordare si celula de racord cablu a celulei cu intrerupator din compartimentul utilizatorului. Celula sosire cu intrerupator general automat debrosabil in compartimentul utilizatorului; intrerupatorul va fi obligatoriu prevazut cu: -protectie generala maximala de curent in trei trepte (la scurtcircuit si suprasarcina); -protectie homopolara de curent in doua trepte, contra punerilor la pamant monofazate, respectiv bifazate, cu reglajul corelat cu celelalte protectii din instalatiile ENEL DISTRIBUTIE BANAT SA. Instalatie de iluminat si o priza 230V in compartimentul de racordare. Realizarea unei prize de Pamant cu Rp&lt;4 ohmi la punctul de conexiune. Instatia de utilizare formata din: LES 20 KV si postul trafo montate la beneficiar. Anvelopa de beton pusa la dispozitie de beneficiar se va amplasa la limita de propietate astfel incat accesul personalului E-DISTRIBUTIE BANAT SA in compartimentul de racordare sa se faca din domeniu public . Delimitarea intre instalatiile distribuitorului si cele ale utilizatorului este la capetele terminale de racordare a LES 20 kV plecare din compartimentul de racordare spre compartimentul utilizatorului al noului PC . Traseele retelelor electrice si amplasamentul PC se vor stabili in cadrul proiectului tehnic de executie de catre proiectantul de specialitate, conform avizelor obtinute si de comun acord cu beneficiarul lucrarii. Proiectul tehnic se va aviza in Comisia Tehnica de Avizare a E-Distributie Banat S.A. Solicitantul va depune prin grija si pe cheltuiala sa, un dosar definitiv pentru instalata electrica de utilizare in aval de punctul de delimitare . Dosarul definitiv va fi elaborat de catre un electrician autorizat ANRE.</t>
  </si>
  <si>
    <t>In statia de transformare IMC Barcea 20/6 kV, 2x4MVA, la capetele terminale ale cablurilor de 6 kV plecare spre utilizator, legate la celulele 6kV utilizator, din celula de masura trafo1, se va monta prin grija E-Distributie Banat SA contor electronic trifazat de energie electrica activa si reactiva, cu curba de sarcina si interfata de transmisie date, in montaj indirect, prin 2xTT 6/0,1 kV si 2xTC 400/5A.</t>
  </si>
  <si>
    <t>In statia de transformare BCA Barcea 20/6 kV, 2x4MVA, la capetele terminale ale cablurilor de 6 kV plecare spre utilizator din celulele de masura trafo1 si trafo2, se vor monta prin grija E-Distributie Banat SA contoare electronice trifazate de energie electrica activa si reactiva, cu curba de sarcina si interfata de transmisie date, in montaj indirect, prin 2xTT 6/0,1 kV si 2xTC 400/5A.</t>
  </si>
  <si>
    <t>Conform L 10065103/2021- ansamblul de locuinte va fi alimentat dintr-un post trafo 20/0,4 kV-2x400 kVA proiectat care se va inseria in LES 20 kV existenta nr. 8 racordata in Statia 110/20 kV Bucovina, tronsonul cuprins intre PT 52058 si PT 52153. Pentru realizarea solutiei de alimentare sunt necesare realizarea urmatoarelor lucrari : 1.Lucrari pe tarif de racordare conform ORD 59/2013, ce vor deveni proprietatea E-DISTRIBUTIE BANAT -identificare in teren a LES 20 kV nr. 8 racordata in Statia 110/20 kV Bucovina pe tronsonul cuprins intre PT 52058 si PT 52153 -LES 20 kV ( 2 cabluri in profil ) proiectat pe un traseu in lungime de cca. 0,180 km realizat cu cablu tripolar de medie tensiune cu conductoare de Al pentru montare subterana ,izolat in polietilena reticulara de grosime redusa ,cu ecran in tub de Al sub invelis de PE ,3x185 mmp (conform DC 4385 RO), de la locul sectionarii pana la PT Anvelopa proiectat in zona obiectivului, -1 buc. PT in Anvelopa de tipul 20/0,4 kV ? 2x 400 kVA proiectate cf. DG 2092 RO care se va amplasa pe terenul beneficiarului si care se vor echipa cu: - 2 buc celule linie 24 kV, 400 A, Isc=16 kA, cu separator de sarcina in SF6, cf. DY 803/416-LE - loc ptr a treia celula linie - 2 buc.celule trafo cu separator de sarcina in SF6 si sigurante, cf. DY 803/216-T, - 2 buc. transformatoare 20/0,4 kV-400 kVA cu pierderi reduse, cf. GST001 - tablouri j.t. echipate cu intrerupatoare cf. specificatiilor Enel - cleme de scurtcircuit pe plecarile din tablourile j.t. - legaturile electrice intre bornele trafo si tablourile j.t. se vor realiza cu cabluri de Cu cu sectiunea de 240 mmp cf. DC4141/7 RO - montare echipamente de telecontrol cf. specificatiilor Enel ( UP standard pentru PT cf. DX1215RO, modul GSM cf. DX1226RO, antena cf. DN760RO, acumulatori cf. DY815RO) - termo higrostat (FT169 MAT-ED.01) si sistem de incalzire ptr celulele mt (FT 170 MAT ED.01) - realizarea unei prize de pamant exterioare si a unei prize de pamant interioare - instalatie interioara de iluminat si prize Distributia pe j.t. se va realiza astfel: *Ptr. blocul de pe str. Gr. Alexandrescu: Distributia pe j.t. din tablourile j.t. alimentate de pe bornele trafo 1 se va realiza cu: - cabluri j.t. de tipul : Al 3x150+50 C cf. DC 4126 RO in lungime totala de 0,360 km, Distributia pe j.t. din firidele de distributie se va realiza cu: - cabluri j.t. de tipul : Al 3x50+25 C cf. DC 4126 RO in lungime totala de 0,280 km, - cabluri j.t. de tipul : Al 3x25+16 C cf. DC 4126 RO in lungime totala de 0,280 km, - 3 firide de distributie realizate cu separatoare verticale pol cu pol, patroane fuzibile max. 250 A, sistem de bare de cupru stanat tip E2+6 (1 buc.), E2+4 ( 2 buc.) care se vor amplasa in exterior langa intrarile in scarile blocurilor A1, A2, A3 cf. planului de situatie anexat - TDC 18 -1 buc, TDC 17-2 buc, TDC 16 ? 2 buc, TDC 14- 2 buc, TDC 2-2 buc, echipate cf. FT 134_MATsi care se vor amplasa in zona TDC cf plan de situatie, - BMPTd 60 A, ( 5 buc.), echipate cf. FT 124_MAT ed.03, ptr alimentarea spatiilor comune, spatiilor vitale si SAD. *Ptr. blocul de pe str. Demian: Distributia pe j.t. din tablourile j.t. alimentate de pe bornele trafo 2 se va realiza cu: - cabluri j.t. de tipul : Al 3x150+50 C cf. DC 4126 RO in lungime totala de 0,365 km, Distributia pe j.t. din firidele de distributie se va realiza cu: - cabluri j.t. de tipul : Al 3x50+25 C cf. DC 4126 RO in lungime totala de 0,240 km, - cabluri j.t. de tipul : Al 3x25+16 C cf. DC 4126 RO in lungime totala de 0,240 km, - 3 firide de distributie realizate cu separatoare verticale pol cu pol, patroane fuzibile max. 250 A, sistem de bare de cupru stanat tip E2+4 ( 3 buc.) care se vor amplasa in exterior langa intrarile in scarile blocurilor D1, D2, D3 cf. planului de situatie anexat - TDC 14 -6 buc, TDC 3-1 buc, TDC 2 -1 buc, echipate cf. FT 134_MATsi care se vor amplasa in zona TDC cf plan de situatie, - BMPTd 60 A, ( 4 buc.), echipate cf. FT 124_MAT ed.03, ptr alimentarea spatiilor comune, si spatiilor vitale. Toate cablurile se vor poza in tub de protectie conform DS 4235 RO si DS 4247 RO. Toate firidele si TDC-urile se vor lega la prize de pamant de potential maxim 10 ohmi.</t>
  </si>
  <si>
    <t>Conform SS L. nr.97/2022 Racordare la SEN a hala productie si depozitare, corp administrativ, amplasat in jud.Timis, loc. Ghiroda, Calea Aviatorilor CF 410941, elaborat de CONSELECTRIFICAREA INSTAL S.R.L., avizat la E-Distributie Banat SA cu documentul: Aviz CTE nr. 32/01/05.07.2022, varianta I din studiul de solutie pentru care utilizatorul a optat in scris prin adresa 09651010/26.07.2022, alimentarea cu energie electrica a obiectivului consta din realizarea unui Punct de Conexiune de 20 kV, cu delimitare si masura la medie tensiune racordat prin doua cai de alimentare, alimentare de baza prin cablu 20kV direct din statia 110/20 kV COVACI si alimentarea de rezerva intrare iesire pe LES 20 kV nr.4 din statia 110/20 kV Padurea Verde (bara 2-verde) , cu realizarea urmatoarelor lucrari:.
I. Lucrari pe tarif de racordare conform Ordin ANRE nr. 59/2013 cu completarile si modificarile ulterioare :
Alimentare de baza prin cablu 20kV direct din statia 110/20 kV COVACI si alimentarea de rezerva intrare iesire pe LES 20 kV nr.4 din statia 110/20 kV Padurea Verde (bara 2-verde)
Alimentarea de baza:(termen de punere in functiune dupa 31.12.2022)
- montare celula 20kV, prevazuta cu 2 reductori de curent 400/5A pe bara verde- 20kV in statia COVACI, montare dulap pentru masura energie in statie si realizarea circuitelor secundare pentru conexiune intre reductorii de curent si dulapul de masura.
- canalizare subterana de 20 kV cu cablu Al 3x185 mmp in lugime de 10,55km cu traseul de la celula proiectata in statia 110/20 kV COVACI pana la punctul de conexiune de 20 kV proiectat incinta utilizatorului.
- PC 20 kV proiectat in anvelopa de beton amplasata conform plan de situatie anexat echipata cu 2 sectii de bare astfel:
Sectia 1 de bare :
• 1 celula de linie motorizate 24 kV, 400A, 16 kA cu separator de sarcina in SF6
• o celula de masura cu separator si grup de masura format din doua transformatoare de tensiune 20/0,1 kV, clasa de precizie 0,5 si doua transformatoare de curent de 400/5A,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E-Distributie cat si de catre beneficiar ;
• O celula de cupla(linie) cu separator motorizata 24 kV, 400A, 16 kA cu separator de sarcina in SF6;
Alimentare de rezerva:
Sectia 2 de bare:
• O celula de cupla(linie) cu separator motorizata 24 kV, 400A, 16 kA cu separator de sarcina in SF6;
• 2 celule de linie motorizate 24 kV, 400A, 16 kA cu separator de sarcina in SF6
- sectionare LES 20kV nr.4 din st 110/20kV Padurea Verde intre PT 52004 si PT 51992 si mansonare cu cabluri noi Al 3x185 mmp in lungime de 2x0,33km cu traseul de la punctul de mansonare pana la punctul de conexiune de 20 kV proiectat incinta utilizatorului.
Contorul si montarea lui precum si realizare telecontrolului in punctul de conexiune 20 kV prin montarea de RGDAT, UP, modem, TSA si antena se va suporta si executa de catre Operatorul de Distributie.
Tensiunea 0,4 kV necesara telecontrolului va fi asigurata din instalatiile beneficiarului.
Punctul de conexiune 20 kV va fi in anvelopa de beton amplasat la limita proprietatii, conform planului de situatie anexat, cu acces din domeniu public si va fi alcatuit din doua incaperi cu acces separat fiecare:
una cu acces numai pentru personalul Enel (compartiment de racordare) iar cealalta cu acces pentru utilizator (compartiment utilizator). Incaperea in care se vor monta echipamentele Enel va fi pusa la dispozitie de catre beneficiar.
Contorul si montarea lui precum si realizare telecontrolului in punctul de conexiune 20 kV prin montarea de RGDAT, UP, modem, TSA si antena se va suporta si executa de catre Operatorul de Distributie.
II. Lucrari ce se realizeaza prin grija beneficiarului :
- Anvelopa de beton compusa din doua incaperi cu acces separat fiecare, o incapere fiind pentru montarea echipamentelor 20 kV EDB (compartiment racordare).
Compartimentul de racordare va fi cu actionarea echipamentelor din interior si cu acces direct din exterior, va avea caracteristici minime echivalente cu cele prevazute in prescriptiile NTE Enel si un gabarit care sa permita montarea echipamentelor instalatiei de racordare si a inca unei celule de MT;
- LES 20 kV cat mai scurta posibil (l 20 m), cu cablu de cupru de sectiune minima 95 mmp, intre celula de masura din compartimentul de racordare si celula de racord cablu a celulei cu intrerupator din compartimentul utilizatorului - celula sosire cu intrerupator general automat si separator(intrerupator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E- DISTRIBUTIE BANAT.
Aceste celule vor fi amplasate in compartimentul utilizatorului, amplasat in anvelopa de beton, langa compartimentul cu instalatiile E-Distributie Banat SA.
- instalatie de iluminat si o priza 230V in compartimentul de racordare
- realizarea unei prize de Pamant cu Rp;
- posturi de transformare aferente puterii solicitate
- asigurarea alim</t>
  </si>
  <si>
    <t>Solutia 2: Lucrări finanţate pe baza tarifului de racordare plătit de beneficiar la E-Distribție Banat, conform Ordin nr. 59/2013 cu modificările și completările ulterioare: Alimentare de baza - montare celula 20kV complet echipata de statie unificata pe bara 20kV in statia UVA - canalizare subterană de 20 kV cu cablu Al 3x185 mmp în lugime de cca. 0,55km cu traseul de la celula proiectata în staţia 110/20 kV UVA până la punctul de conexiune de 20 kV proiectat incinta utilizatorului - PC 20 kV proiectat in anvelopa de beton echipata cu 2 sectii de bare astfel: Sectia 1 •,,• 1 celula de linie motorizate 24 kV, 400A, 16 kA cu separator de sarcina in SF6 •,,• o celula de masura cu separator si grup de masura format din două transformatoare de tensiune 20/0,1 kV, clasa de precizie 0,5 şi două transformatoare de curent de 400/5A,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E-Distributie cat si de catre beneficiar. •,,• O celula de cupla(linie) cu separator motorizata 24 kV, 400A, 16 kA cu separator de sarcina in SF6 Alimentare de rezerva Sectia 2 •,,• O celula de cupla(linie) cu separator motorizata 24 kV, 400A, 16 kA cu separator de sarcina in SF6 •,,• 2 celule de linie motorizate 24 kV, 400A, 16 kA cu separator de sarcina in SF6 - sectionare LES 20kV P-ta Garii din st 110/20kV Uva pe tronsonul statia Uva-PT 3088 in zona incintei utilizatorului si mansonare cu cabluri noi Al 3x185 mmp în lungime de 2x0,1km cu traseul de la punctul de mansonare pana la punctul de conexiune de 20 kV proiectat incinta utilizatorului Integrarea in telecontrol a PC-ului proiectat se va realiza cu: montarea de RGDAT-1 buc, UP 2020 LITE-1 buc, baterii acumulatori-2 buc, TSA-1 buc, Router Rugged pentru comunicatii 4G - CISCO IR1101, Swich-uri rugged CISCO IE-4000-8S4G-E, dulap pentru echipamente de telecomunicatii FT-045_TLC-M - TIP B si accesoriile de conectica: modul SFP CISCO GLC_FE-100LX-RGD de tip SM - FT-277_MAT – 2 buc, Patch-cord duplex LC/PC – E2000 APC, 2m – 2 buc, PATCH-PANNEL FO MONOMODE pentru 24 fibre oprice - E2000/APC complet echipat – 2 buc, Patch-cord ftp cat. 6e (lungime 1 m), Patch-cord ftp cat. 6e (lungime 10 m) Trecerea de pe o sursa de alimentare pe alta in punctul de conexiune pe alta se va realiza prin sistemul de telecontrol de catre dispecerul E-Distributie Banat. Punctul de conexiune 20 kV va fi in anvelopa de beton amplasat la limita proprietatii cu acces din domeniu public si va fi alcatuit din doua incaperi cu acces separat fiecare: una cu acces numai pentru personalul Enel (compartiment de racordare) iar cealalta cu acces pentru utilizator (compartiment utilizator). Incaperea in care se vor monta echipamentele Enel va fi pusa la dispozitie de catre beneficiar. Contorul si montarea lui in punctul de conexiune 20 kV se va suporta si executa de catre Operatorul de Distributie. Compartimentul în care sunt amplasate instalaţiile de racordare, este cu exploatare din interior şi cu acces direct din exterior. Compartimentul de racordare este dotat cu tablou electric pentru servicii auxiliare, alimentat de la reţeaua de j.t. a clientului. Instalaţia de racordare conţine echipamentele de manevră şi secţionare ale E-Distributie Banat. b) Lucrari ce se realizeaza prin grija beneficiarului pentru solutiile 1 si 2 propuse: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prescriptiile NTE Enel si un gabarit care sa permita montarea echipamentelor instalatiei de racordare si a inca unei celule de MT; - LES 20 kV cat mai scurta posibil (l≤ 20 m), cu cablu de cupru de sectiune minima 95 mmp, intre celula de masura din compartimentul de racordare si celula de racord cablu a celulei cu intrerupator din compartimentul utilizatorului - celula sosire cu intrerupator general automat si separator(intrerupator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E- DISTRIBUTIE BANAT Aceste celule vor fi amplasate in compartimentul utilizatorului, amplasat in anvelopa de beton, langa compartimentul cu instalatiile Enel. - instalatie de iluminat si o priza 230V in compartimentul de racordare - realizarea unei prize de Pamant cu Rp&lt;4 ohmi la punctul de conexiune. - asigurarea alimentarii servicilor interne aferente compartimentului OD.</t>
  </si>
  <si>
    <t>VARIANTA 2: Două căi de alimentare: racord radial în stația 110/20 kV TEBA respectiv racord radial alimentat din LES 20 kV FÂNTÂNELE – Zona Ind. Sud prin PT 1335 VGP Lucrări finanţate pe baza tarifului de racordare plătit de beneficiar la EDistribție Banat, conform Ordin nr. 59/2013 cu modificările și completările ulterioare: • Alimentare de bază: staţia 110/20 kV TEBA 1.1 Înlocuirea în compartimentul de racordare al PT 1609, în celula de masura, a TC existente de 50/5A cu două TC de 400/5A , cls.0,2s , rezultand o celula de masura cu separator si grup de masura format din doua transformatoare de tensiune 20/0,1 kV, clasa de precizie 0,5, 2 transformatoare de curent de 400/5A,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 montarea de RGDAT-3 buc ,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 Contorul si montarea lui precum si realizarea telecontrolului in punctul de conexiune 20 kV se va suporta si executa de catre Operatorul de Distributie. 1.2. Dezlegarea cablurilor 20 kV din celulele de linie a PT 1609 și reîntregirea axului LEA 20 kV FÂNTÂNELE – Avicola 1.3. Montare în staţia 110/20 kV TEBA a unei celule, cu simplu sistem de bare colectoare. Celula 20 kV nou proiectată va fi complet echipată de tip unificat pentru simplu sistem de bare 24kV, 12.5kA, 630A echipata cu întrerupător tripolar debroşabil 630A cu vid, 2xTC 300/5A pentru masura de protectie, 1 trafo toroidal şi terminal numeric de protecţie 1.4. Realizare LES 20 kV în lungime de cca.3,7 km, cu cablu de Al 3x(1x185 mmp), montat în tub, între staţia 110/20 kV TEBA celulaproiectată și PT 1609 • Alimentare de rezervă: LES 20 kV FÂNTÂNELE – Zona Ind.Sud prin PT 1335 VGP din Statia 110 kV Fantanele 1.1. Echiparea compartimentului de racordare din PT 1335 VGP Park, cu: - 1 buc. celulă de linie de 24kV, 630A, 16 kA(1s), cu separator de sarcină în SF6 şi CLP 1.2. Realizare LES 20 kV în lungime de cca.3,7 km, cu cablu de Al 3x(1x185 mmp), montat în tub între PT 1335 și PT 1609, în vederea racordării PT 1609 pe LES 20 kV FÂNTÂNELE – Zona Ind. Sud Compartimentul în care sînt amplasate instalaţiile de racordare, este cu exploatare din interior şi cu acces direct din exterior. Compartimentul de racordare este dotat cu tablou electric pentru servicii auxiliare conform DY3016 RO ed.2&lt;(&gt;,&lt;)&gt; alimentat de la reţeaua de j.t.a clientului. Instalaţia de racordare conţine echipamentele de manevră şi secţionare ale E-Distributie Banat. b) Lucrări finanţate de beneficiar, realizate prin grija lui, ce devin proprietatea acestuia: 1). Asigurarea izolării PT 1609 ALEXANDER , a măsurilor de PSI, a accesului în instalații şi protecţiei faţă de eventualele inundaţii sau acumulări de gaze, vor fi în responsabilitatea proiectantului, constructorului si proprietarului părţii de construcţie a punctului de conexiune. 2). Realizarea instalaţiei de utilizare prin montare rezistenţe în celulele MT şi termo-higrostat în PT, care vor fi alimentate de la reţeaua de j.t. a clientului Clientul va prevedea în instalaţiile proprii aparate de comutaţie interblocate în mod adecvat pentru a evita funcţionarea în paralel, chiar şi accidental, între căile de alimentare. La realizarea schemei interne de distribuţie, consumatorul va adopta soluţii care să respecte cu stricteţe cerinţele impuse de Norma Eneled.3 „Reguli tehnice privind racordarea Consumatorilor şi Producătorilor la reţelele electrice IT şi MT alesocietăţiilor de distribuţie de energie electrică Enel”, în special paragrafele 8.5.11 -8.5.14, referitoare la dispozitivul general cu sistemele de protecţie asociate, la limitarea puterilor pe secţiile de bare j.t. şi la limitarea energizării trafo instalate simultan. Traseele rețelelor proiectate,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CTE a E-Distribuţie Banat. Se respectă distanțele de siguranță conform Ordin ANRE 239/2019 Normă tehnică privind delimitarea zonelor de protecţie şi de siguranţă aferente capacităţilor energetice. Materialele şi echipamentele care se utilizează la realizarea instalaţiei trebuie să fie noi, omologate sau certificate, după caz, dacă acest lucru este prevăzut în specificaţiile tehnice unificate, în conformitate cu procedurile aplicabile în E-România. Celelalte materiale şi echipamente, pentru care nu sunt elaborate specificaţii tehnice unificate, trebuie sa fie noi, compatibile cu starea tehnică a instalaţiei, să îndeplinească cerinţele specifice de fiabilitate şi siguranţă.</t>
  </si>
  <si>
    <t>Solutia 3- Solutia 3 - Alimentare de baza din statia 110/20kV Bujac din LES 20kV Careffour iar alimentarea de rezerva din LEA 20kV Gai -zona stalpului 82/21 racordata la statia 110/20kV Gai. Lucrări finanţate pe baza tarifului de racordare plătit de beneficiar la E-Distribție Banat, conform Ordin nr. 59/2013 cu modificările și completările ulterioare: Alimentare de baza - sectionare LES 20kV Careffour din st Bujac intre PT 1856 si PT1854 si mansonare cu LES 20 kV proiectata; - canalizare subterană de 20 kV cu cablu 2 x Al 3x(1x240) mmp în lugime de 2 x 400 m cu traseul de la punctul de mansonare până la un punctul de conexiune de 20 kV proiectat pe teren pus la dispozitie de catre beneficiar, amplasat la limita de proprietate cu acces din domeniul public; - PC 20 kV nr. 1 proiectat in anvelopa de beton se va echipa cu: •,,• 2 celule de linie motorizate 24 kV, 400A, 16 kA cu separator de sarcina in SF6 pentru intrare si iesire pe LES 20 kV Carffour; •,,• celula de linie motorizata 24 kV, 400A, 16 kA cu separator de sarcina in SF6 plecare catre PC 20 kV nr. 2 proiectat in incinta beneficiarului; •,,• celula servicii interne 24 kV, trafo 20/0,23 kV 4 kVA. Se va realiza priza de pamant la PC 20 kV nr. 1 proiectat cu Rp≤4 Ω. PC 20 kV nr. 1 proiectat va permite o dezvoltare ulterioara cu o celula suplimentara. Realizare telecontrolului in punctul de conexiune 20 kV prin montarea de RGDAT, UP, modem, TSA si antena se va suporta si executa de catre Operatorul de Distributie. - canalizare subterană de 20 kV cu cablu Al 3x(1x185) mmp în lugime de 3 km cu traseul de la punctul de conexiune (PC 20 kV nr. 1) si până la punctul de conexiune de 20 kV proiectat in incinta beneficiarului; - PC 20 kV nr. 2 proiectat in anvelopa de beton amplasat in incinta beneficiarului se va echipa cu: •,,• o celula de linie motorizate 24 kV, 400A, 16 kA cu separator de sarcina in SF6 pentru sosire din PC 20 kV nr. 1 proiectat(inseriat inLES 20 kV Careffour); •,,• o celul de linie motorizate 24 kV, 400A, 16 kA cu separator de sarcina in SF6 sosire din LEA 20kV Rase Usoare din st Gai; •,,• o celula de masura cu separator si grup de masura format din două transformatoare de tensiune 20/0,1 kV, clasa de precizie 0,5 şi două transformatoare de curent de 400/5A, ,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E-Distributie Banat cat si de catre beneficiar. PC 20 kV proiectat va permite o dezvoltare ulterioara cu inca o celula de linie. Punctul de conexiune 20 kV va fi in anvelopa de beton amplasat la limita proprietatii, cu acces din domeniu public si va fi alcatuit din doua incaperi cu acces separat fiecare: una cu acces numai pentru personalul E-Distributie Banat S.A. (compartiment de racordare) iar cealalta cu acces pentru utilizator (compartiment utilizator). Incaperea in care se vor monta echipamentele E-Distributie Banat S.A. va fi pusa la dispozitie de catre beneficiar. Contorul si montarea lui precum si realizare telecontrolului in punctul de conexiune 20 kV prin montarea de RGDAT, UP, modem, TSA si antena se va suporta si executa de catre Operatorul de Distributie. Tensiunea 0,4 kV necesara telecontrolului va fi asigurata din instalatiile beneficiarului. Alimentare de rezerva - plantare stalp special 12G24 in axul LEA 20kV Rase Usoare in locul stalpului 82/21, echipat cu separator vertical, descarcatori cu ZnO ,coronament semiorizontal de intindere, lanturi duble de intindere, capete terminale de exterior si priza de pamant cu Rp≤4 Ω; - canalizare subterană de 20 kV cu cablu Al 3x185 mmp în lugime de 0,3 km cu traseul de la stalpul proiectat in axul LEA 20kV Rase Usoare până la punctul de conexiune de 20 kV proiectat; b) Lucrari ce se realizeaza prin grija beneficiarului pentru solutiile 1, 2 si 3 propuse: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prescriptiile NTE Enel si un gabarit care sa permita montarea echipamentelor instalatiei de racordare si a inca unei celule de MT; - LES 20 kV cat mai scurta posibil (l≤ 20 m), cu cablu de cupru de sectiune minima 95 mmp, intre celula de masura din compartimentul de racordare si celula de racord cablu a celulei cu intrerupator din compartimentul utilizatorului - celula sosire cu intrerupator general automat si separator(intrerupator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E- DISTRIBUTIE BANAT Aceste celule vor fi amplasate in compartimentul utilizatorului, amplasat in anvelopa de beton, langa compartimentul cu instalatiile Enel. - instalatie de iluminat si o priza 230V in compartimentul de racordare - realizarea unei prize de Pamant cu Rp&lt;4 ohmi la punctul de conexiune. - asigurarea alimentarii servicilor interne aferente compartimentului OD.</t>
  </si>
  <si>
    <t> In Statia 110/20/6kV Mociur, se va muta cablul LES 20kV existent, cu functionare la 6kv, de pe bara 6KV celula nr.15, pe bara 20KV celula nr.3.
Se va intercepta cablul LES 20KV in zona statiei de redresare de pe strada Otelului.
Se vor executa 2 mansoane MT cu 2 cabluri 20kV, tripolare, cu elice vizibila pentru montare subterana, cu izolatie XLPE, AL 3x(1x185) cf. DC4385/2RO, matricola 332284, pozate in tub din polietilena, in sapatura beton+asfalt in lungime traseu de 2x100 metri&lt;(&gt;,&lt;)&gt; pana la un punct de conexiune 20KV nou proiectat, amplasat la limita de proprietate a beneficiarului, prevazut cu compartiment de racordare si masura, cu acces separat, din domeniul public, pentru personalul E-Distributie, echipat cu:
- 2 buc. celula de linie LE 24kV, 16kA , 630A, tip DY 803/2
- 1 buc. celula de masura UTM, 24kV, 16kA , 630A tip DY 803/4, cu 2 transformatoare de tensiune 20/0,1kV, clasa de precizie 0,5 cf. DMI 031015 RO, matricola 535024 si 2 transformatoare de curent de 50/5A, clasa de precizie 0,5S cf.DMI 031052 RO, matricola 532056 si contor electronic trifazat in montaj indirect, prevazut cu bloc de jonctiune de deconectare si incercare, cf.FT-225MAT, matricola 627408. Contorul se va amplasa prin grija si cheltuiala E-Distributie intr-o cutie de masura, amenajata intr-o nisa in peretele anvelopei, cu posibilitatea vizualizarii atat de catre ENEL cat si de catre beneficiar.
Se vor monta 3 buc. rezistente anticondens si 3 buc. termohigrostat pentru celulele MT.
Delimitarea dintre instalaţiile distribuitorului şi cele ale utilizatorului este la papucii cablului intern 20kV plecare din compartimentul de racordare (celula masura), spre dispozitivul general amplasat in compartiment utilizator.
Lucrari finanţate de beneficiar, realizate prin grija lui, ce devin proprietatea acestuia:
Cladirea PTAnv compartimentata in care se va monta, intr-un compartiment, instalatia de racordare si de masurare, si in aldoilea compartiment instalatia utilizatorului.
Compartimentul utilizator va fi echipat cu:
- circuit LES 20kV cat mai scurta posibil (L=20 m), realizat cu cablu de cupru de sectiune minima 95 mmp, intre celula de masura din compartimentul de racordare si instalatiile de 20kV aflate în gestiunea consumatorului.
- 1 buc. celula sosire echipata cu un separator tripolar si un intrerupator automat fix (sau numai un intrerupator automat debrosabil). Intrerupatorul va fi obligatoriu prevazut cu sistem de protecţie generala maximala de curent si impotriva defectelor de punere la pamant, cu reglajul corelat cu celelalte protecţii din instalaţiile SC E-Distributie Banat SA.
Se va realiza o instalatie de iluminat si priza bipolara cu intrerupator 16A-230V cu siguranta fuzibila in compartimentul de racordare, alimentate de la reteaua JT a utilizatorului.
Se va realiza o priza de impamantare cu Rp&lt;4ohmi pentru PTAnv nou proiectat.
Echipamentul de telecontrol va fi pusla dispozitie si va fi proiectat de catre E-Distributie Banat.
Traseele retelelor electrice si amplasamentul PTAnv se vor stabili in cadrul proiectului tehnic de catre proiectantul de specialitate, conform avizelor obtinute si de comun acord cu beneficiarul lucrarii, astfel incat sa permita accesul pentru mentenanta si inlocuirea instalatiilor electrice defecte in timp util.
Proiectul tehnic se va aviza in Comisia Tehnica de Avizare a E- Distributie Banat SA.
Solicitantul va depune dosar definitiv pentru instalatia electrica de utilizare in aval de punctul de delimitare. Dosarul definitiv va fi elaborat de catre un electrician autorizat ANRE, prin grija si cheltuiala consumatorului.</t>
  </si>
  <si>
    <t xml:space="preserve"> Exista circuit LES MT 20KV IJTL, alimentat din Statia 110/20/6 KV CALNIC, actualmente racordat in celula nr.9 – bara 6KV.. In Statia 110/20/6kV Calnic, se va muta cablul LES 20kV existent cu functionare la 6kv, de pe bara 6KV celula nr.9, pe bara verde 20KV celula nr.41. Se va intercepta cablul LES 20KV in zona statiei de redresare Intim – Bd. Republicii – Muncii nr.1. Se vor executa 2 mansoane MT cu 2 cabluri 20kV, tripolare, cu elice vizibila pentru montare subterana, cu izolatie XLPE, AL 3x(1x185) cf. DC4385/2RO, matricola 332284, pozate in tub din polietilena, in sapatura beton+asfalt in lungime traseu de 2x50 metri&lt;(&gt;,&lt;)&gt; pana la un punct de conexiune 20KV nou proiectat, amplasat la limita de proprietate a beneficiarului, prevazut cu compartiment de racordare si masura, cu acces separat, din domeniul public, pentru personalul E-Distributie, echipat cu: - 2 buc. celula de linie LE 24kV, 16kA , 630A, tip DY 803/2 - 1 buc. celula de masura UTM, 24kV, 16kA , 630A tip DY 803/4, cu 2 transformatoare de tensiune 20/0,1kV, clasa de precizie 0,5 cf. DMI 031015 RO, matricola 535024 si 2 transformatoare de curent de 50/5A, clasa de precizie 0,5S cf.DMI 031052 RO, matricola 532056 si contor electronic trifazat in montaj indirect, prevazut cu bloc de jonctiune de deconectare si incercare, cf.FT-225MAT, matricola 627408. Contorul se va amplasa prin grija si cheltuiala E-Distributie intr-o cutie de masura, amenajata intr-o nisa in peretele anvelopei, cu posibilitatea vizualizarii atat de catre ENEL cat si de catre beneficiar. Se vor monta 3 buc. rezistente anticondens si 3 buc. termohigrostat pentru celulele MT. Delimitarea dintre instalaţiile distribuitorului şi cele ale utilizatorului este la papucii cablului intern 20kV plecare din compartimentul de racordare (celula masura), spre dispozitivul general amplasat in compartiment utilizator. Lucrari finanţate de beneficiar, realizate prin grija lui, ce devin proprietatea acestuia: Cladirea PTAnv compartimentata in care se va monta, intr-un compartiment, instalatia de racordare si demasurare, si in al doilea compartiment instalatia utilizatorului. Compartimentul utilizator va fi echipat cu: - circuit LES 20kV cat mai scurta posibil (L=20 m), realizat cu cablu de cupru de sectiune minima 95 mmp, intre celula de masura din compartimentul de racordare si instalatiile de 20kV aflate în gestiunea consumatorului. - 1 buc. celula sosire echipata cu un separator tripolar si un intrerupator automat fix (sau numai un intrerupator automat debrosabil). Intrerupatorul va fi obligatoriu prevazut cu sistem de protecţie generala maximala de curent si impotriva defectelor de punere la pamant, cu reglajul corelat cu celelalte protecţii din instalaţiile SC E-Distributie Banat SA. Se va realiza o instalatie de iluminat si priza bipolara cu intrerupator 16A-230V cu siguranta fuzibila in compartimentul de racordare, alimentate de la reteaua JT a utilizatorului. Se va realiza o priza de impamantare cu Rp&lt;4ohmi pentru PTAnv nou proiectat. Echipamentul de telecontrol va fi pus la dispozitie si va fi proiectat de catre E-Distributie Banat. Traseele retelelor electrice si amplasamentul PTAnv se vor stabili in cadrul proiectului tehnic de catre proiectantul de specialitate, conform avizelor obtinute si de comun acord cu beneficiarul lucrarii, astfel incat sa permita accesul pentru mentenanta si inlocuirea instalatiilor electrice defecte in timp util. Proiectul tehnic se va aviza in Comisia Tehnica de Avizare a E- Distributie Banat SA. Solicitantul va depune dosar definitiv pentru instalatia electrica de utilizare in aval de punctul de delimitare. Dosarul definitiv va fi elaborat de catre un electrician autorizat ANRE, prin grija si cheltuiala consumatorului.</t>
  </si>
  <si>
    <t>I. Lucr?ri pe tarif de racordare: Const? într-un PC anvelopa 20kV pus la dispozitie de catre beneficiar, cu masura MT racordat la LES 20kV BUJAC ? Carrefour între PT 1856 ? PT 1854, cu realizarea urmatoarelor lucrari: 1). Realizare LES 20 kV în lungime de cca.2x15 m, cu cablu de Al 2x(3x240 mmp), conform GSC001 REV05, montat în tub între PT 1856 ? PT 1854, în vederea racord?rii la LES 20 kV BUJAC ? Carrefour 2). Echiparea compartimentului de racordare din noul PC 20 kV alimentat din LES 20 kV proiectat?, cu: - 2 buc. celule de linie de 24kV, 630A, 16 kA(1s), cu separator de sarcin? în SF6 si CLP, conform DY803/2-LE ed.3 (trebuie sa permita o dezvoltare ulterioara cu montare echipamente MT); - 1 buc. celul? de m?sur? cu separator de sarcin?, conform DY803/4-UTM ed.3 echipat? cu dou? TT 20/0,1 kV, conform DMI031015 RO, cls.0,5 si dou? TC 400/5A conform DM031052 RO cls.02S; - 1 buc. tablou pentru servicii auxiliare conform DY3016 RO ed.2, rezistente în celulele MT si termo-higrostat în PC, care vor fi alimentate de la reteaua de j.t. a clientului. PC va fi amplasat astfel incat accesul sa fie direct din domeniul public. 3). Realizarea grupului de m?surare a energiei electrice pe MT, prin montarea unui contor electronic trifazat 2x100V, 5A, cu curb? de sarcin?, cu sistem de teletransmisie, în montaj indirect (TT 20/0,1kV conform DMI031015 RO cls.0.5, TC 400/5A conform DM031052 RO cls.02S si cordon de conectare grup de m?surare conform DMI031011 RO). Contorul va fi astfel amplasat încât s? fie posibil? citirea lui din exteriorul PC atât de c?tre client cat si de distribuitor. Compartimentul în care sunt amplasate instalatiile de racordare, este cu exploatare din interior si cu acces direct din exterior. Compartimentul de racordare este dotat cu tablou electric pentru servicii auxiliare conform DY3016 RO ed.2, alimentat de la reteaua de j.t. a clientului. Instalatiade racordare contine echipamentele de manevr? si sectionare ale E-Distributie Banat. Compartimentul în care sunt amplasate instalatiile de racordare, trebuie s? permit? montarea de echipamente, s? fie cu exploatare din interior si s? fie cu acces direct din exterior. II. Lucr?ri finantate de beneficiar, realizate prin grija lui: 1). Cl?direa punctului de conexiune cu dou? compartimente, unul pentru instalatiile electrice din gestiunea E-Distributie Banat si unul pentru instalatiile electrice ale utilizatorului. Compartimentul de racordare va fi cu exploatare din interior si cu acces direct din exterior, va avea caracteristici minime echivalente cu cele prev?zute în prescriptiile E-Distributie Banat DG10061RO, DG2061RO ed.2 si DG2092RO si un gabarit care s? permit? montarea de celule de linie. Asigurarea izol?rii postului, a m?surilor de PSI, a accesului în instalatii si protectiei fat? de eventualele inundatii sau acumul?ri de gaze, vor fi în responsabilitatea proiectantului, constructorului si proprietarului p?rtii de constructie a punctului de conexiune. PC va avea acces în compartimentul de racordare direct din exterior. 2). LES 20kV cît mai scurt? posibil (max.20m), cu cablu de cupru de sectiune min.95 mmp, între celula de m?sur? din compartimentul de racordare si celula cu înterup?tor din compartimentul utilizatorului; 3). Celul? sosire echipat? cu un separator tripolar si a unui întrerup?tor automat în compartimentul utilizatorului. Întrerup?torul va fi obligatoriu prev?zut cu sistem de protectie general? maximal? de curent si împotriva defectelor de punere la p?mînt, cu reglajul corelat cu celelalte protectii din instalatiile E-Distributie Banat; 4). Instalatia iluminat interior, prize si instalatia de legare la p?mânt a cl?dirii PC; 5). Realizarea instalatiei de utilizare. La realizarea schemei interne de distributie, consumatorul va adopta solutii care s? respecte cu strictete cerintele impuse de Norma Enel ed.3 ?Reguli tehnice privind racordarea Consumatorilor si Produc?torilor la retelele electrice IT si MT ale societ?tiilor de distributie de energie electric? Enel?, în special paragrafele 8.5.11 - 8.5.14, referitoare la dispozitivul general cu sistemele de protectie asociate, la limitarea puterilor pe sectiile de bare j.t. si la limitarea energiz?rii trafo instalate simultan. Traseele retelelor electrice si amplasamentul PC proiectat, se vor stabili în cadrul proiectului tehnic de c?tre proiectantul de specialitate, conform avizelor obtinute si de comun acord cu clientul, astfel încît s? permit? accesul pentru mentenant? si înlocuirea instalatiilor electrice defecte în timp util. Proiectul tehnic se va aviza în CTE a E-Distributie Banat.</t>
  </si>
  <si>
    <t>I. Consta într-un PC 20kV pus la dispozitie de catre beneficiar, cu masura MT racordat la LES 20KV nr 6 Imobiliare Fratelia INTRE T 12570 SI T 22244 , cu realizarea urmatoarelor lucrari: -Se intercepteaza LES 20KV 6 Imobiliare Fratelia INTRE T 12570 SI T 22244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2x20m (din care 3m rezerva la manson, 10m in postul de transformare, restul in zona verde) pana la postul de transformare 20kV proiectat. -Cablul se va poza in sapatura deschisa la o adincime de 0.8-1 m, protejat in tub de polietilena reticulara, acoperit cu un strat de nisip de 20 cm masurat de la partea superioara a tubului, semnalizat cu benzi avertizoare cf. DS4235RO si DS4247RO. -Cablul se va poza in sapatura deschisa la o adincime de 0.8-1 m, protejat in tub de polietilena reticulara, acoperit cu un strat de nisip de 20 cm masurat de la partea superioara a tubului, semnalizat cu benzi avertizoare cf. DS4235RO si DS4247RO. -Echipare PC 20kV compartiment racordare pus la dispozitie de beneficiar: - 2 buc. celule modulare de linie de 24kV, 630A, 16 kA(1s), cu separator de sarcin? în SF6 ?i CLP, conform DY803/2-LE ed.3 ,telecontrolate,compartimentul trebuie sa permita o dezvoltare ulterioara cu inca o celula de linie; - 1 buc. celul? de m?sur? cu separator de sarcin?, conform DY803M/316-UTM ed.2, cu dou? TT 20/0,1 kV, conform DMI031015 RO, clasa de precizie 0,5 ?i 2 buc. TC de 400/5A, conform DM031052 RO, clasa de precizie 0,5s. - rezistente in celulele MT ? 2 buc. si termohigrostat in PT ? 1 buc.; - PC va fi amplasat astfel incat accesul in el sa fie direct din domeniul public; II. Lucr?ri finan?ate de beneficiar, realizate prin grija lui, ce devin proprietatea acestuia, conform Ordin nr. 59/2013: 1). LES 20 kV cît mai scurt? posibil (l?20m), cu cablu de cupru de sec?iune minim? 95 mmp, între celula de m?sur? din compartimentul de racordare ?i celula cu înterup?tor din compartimentul utilizatorului 2). Celul? sosire cu un separator tripolar ?i a unui întrerup?tor automat fix (sau numai un întrerup?tor automat debro?abil) în compartimentul utilizatorului. Întrerup?torul va fi obligatoriu prev?zut cu sistem de protec?ie general? maximal? de curent ?i împotriva defectelor de punere la p?mînt, cu reglajul corelat cu celelalte protec?ii din instala?iile SC E-Distribu?ie Banat SA-Zona MT/jt Timisoara 3). Instala?ia de iluminat interior, prize ?i instala?ia de legare la p?mânt a cl?dirii punctului de conexiune 4) 1 buc trafo 20/0,4 kV Traseele re?elelor electrice ?i amplasamentul PC se vor stabili în cadrul proiectului tehnic de c?tre proiectantul de specialitate, conform avizelor ob?inute ?i de comun acord cu beneficiarul lucr?rii, astfel încît s? permit? accesul pentru mentenan?? ?i înlocuirea instala?iilor electrice defecte în timp util. Proiectul tehnic se va aviza în Comisia Tehnic? de Avizare a E- Distribu?ie Banat SA ? Zona Re?ea MT/jt Timisoara . - BMPTi-ul proiectat se vor lega la prize de pamant de potential maxim 4 ohmi, realizata prin grija beneficiarului</t>
  </si>
  <si>
    <t>Punct de conexiune 20 kV cu 2 compartimente (de racordare si utilizator - unul pentru instalatiile electrice din gestiunea E- DISTRIBUTIE Banat SA si unul pentru instalatiile electrice ale consumatorului), racordat la stalpul nr. 46 (DC) al LEA 20 kV Orastie - IMO (prin racord 20 KV subteran in lungime de 640 m, realizat cu cablu AL 3x1x185 mmp de la stalpul SC 15014 cu separator pana la punctul de conexiune), cu compartimentul de racordare echipat cu 1 celula de linie si 1 celula de masura cu grup de masurare de decontare.Sporul de putere solicitat necesita inlocuirea transformatoarelor de curent existente (50/5 A) cu 2xTC 400/5 A.
• Utilizatorului ii incumba obligatia de a realiza prin finantare directa instalatia de utilizare aferenta obiectivului (care sa includa noile receptoare) si de a depune la E-DISTRIBUTIE Banat SA dosarul instalatiei de utilizare (elaborat de un agent economic autorizat sau electrician autorizat ANRE). • In cazul in care tariful TR din prezentul ATR nu va fi platit de catre consumator, ramane valabil ATR/CER emis anterior.</t>
  </si>
  <si>
    <t>Tinand cont de situatia energetica existenta precum si de solicitarea beneficiarului, alimentarea cu energie electrica a obiectivului consta din realizarea unui Punct de Conexiune de 20 kV, cu delimitare si masura la medie tensiune. PC de 20 kV va fi realizat cu 2 compartimente cu acces separat (compartiment de racordare ptr acces personal Enel si compartiment utilizator ptr acces utilizator). Cl?direa Punctului de Conexiune va fi pus? la dispozi?ie de beneficiar si se va amplasa pe terenul beneficiarului. Pentru realizarea solu?iei de alimentare cu energie electric? prezentate mai sus, sunt necesare urm?toarele lucr?ri: 1) Pentru calea 1 de alimentare : Punctul de Conexiune se va racorda in Statia 110/20 kV Musicescu la celula nr.20 bara verde prin intermediul unui LES 20 kV cu sectiunea 185 mmp in lungime de cca. 3 km. Punctul de racordare calea de baza: bara 20 kV din statia 110/20 kV Musicescu. Punctul de delimitare: este stabilit la 20 kV, la capetele terminale de racordare ale cablului din celula de masura MT, plecare din compartimentul de racordare spre compartimentul utilizatorului Punctul de masurare: este stabilit la nivelul de 20 kV, in compartimentul de racordare din noul punctul de conexiune. -pozare LES 20 kV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in lungime de cca. 3,06 km, intre celula de linie existenta in Statia 110/20 kV Musicescu si PC 20 kV amplasat pe terenul beneficiarului. 2) Pentru calea 2 de alimentare  : Punctul de Conexiune se va racorda in Statia 110/20 kV Venus la celula nr.17 prin intermediul unui LES 20 kV cu sectiunea 185 mmp in lungime de cca. 4 km. Punctul de racordare calea de baza: bara 20 kV din statia 110/20 kV Venus. Punctul de delimitare: este stabilit la 20 kV, la capetele terminale de racordare ale cablului din celula de masura MT, plecare din compartimentul de racordare spre compartimentul utilizatorului Punctul de masurare: este stabilit la nivelul de 20 kV, in compartimentul de racordare din noul punctul de conexiune. -pozare LES 20 kV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in lungime de cca. 4,09 km, intre celula de linie existenta in Statia 110/20 kV Venus si PC 20 kV amplasat pe terenul beneficiarului. I.Lucr?ri finan?ate pe baza tarifului de racordare: - LES 20 kV proiectata cu cablu Al 3x185 mmp ; canalizare in lungime de l=5450m , cu izolatie XLPE conform DC 4385 RO pozat in tub din polietilena conf. DS 4235RO , conform plan de situatie anexat. -punct de conexiune 20 kV amplasat intr-o anvelopa (incapere) pusa la dispozitie de beneficiar, (amplasata pe terenul beneficiarului )cu compartiment de racordare si de masura cu acces separat pentru E-Distributie Banat SA, echipata cu: ·4 buc celula de linia motorizata 24 kV, 400A, 16 kA cu separator de sarcina in SF6 conf. DY803/3-LE ed 03; loc pentru extindere; ·2 bucati celula de masura conf. DY 803M/316-1UT ed 02 cu separator si grup de masura format din dou? transformatoare de tensiune 20/0,1 kV, clasa de precizie 0,5 ?i doua transformatoare de curent de 400/5A, clasa de precizie 0,5S si contor electronic trifazat static (afisaj LCD) , In=5/20A , Un=3x100/57V, clasa de precizie 0,5 dotate cu curba de sarcina si interfata de comunicatie RS 232 si modul comunicatie GSM amplasat intr-o cutie de masura; cutia de masura se va amplasa intr-o nisa cu posibilitatea vizualizarii atat de catre ENEL cat si de catre beneficiar. ·montare echipamente anticondens: rezistenta MT -6 buc si termohigrostat -6 buc ·UP 2020 LITE ,modem,antena, 2 acumulatori,TSA, RGDAT Legarea la centura interioara de punere la pamant a partilor metalice a utilajelor proiectate, parti care in mod normal nu sunt sub tensiune dar care pot ajunge sub tensiune in mod accidental se va realiza cu banda Ol-Zn 25x4 mmp respectiv cu legaturi elastice de Cu pentru elementele metalice mobile. Priza de Pamant exterioara se va executa prin grija beneficiarului. Compartimentul de racordare trebuie s? fie dotat cu o instala?ie de iluminat corespunz?toare ?i cu o priz? bipolar? cu întrerup?tor 16A-230V cu siguran?? fuzibil?, alimentate de la re?eaua de j.t. a clientului. Instala?ia de racordare con?ine echipamentele de manevr? ?i sec?ionare ale Enel Cabina in care se va monta instalatia de racordare( compatiment de racordare) si masura energiei electrice consumate este pusa la dispozitiede beneficiar. II.Lucr?ri finan?ate de beneficiar, realizate prin grija lui, ce devin proprietatea acestuia: -cladirea compartimentata in care se va monta instalatia de racordare si de masurare -realizare LES 20 kV cat mai scurta posibil, cu cablu de Cu de sectiune minima de 95mmp, intre celula de masura din compartimentul de racordare 20 kV si instalatiile 20 kV aflate in gestiunea consumatorului -post de transformare 20/0,4 kV echipat in mod obligatoriu cu celula sosire cu intrerupator automat si separator cu protectie la suprasarcina si scurtcircuit cu reglajul corelat cu celelalte protectii din instalatiile E- Distributie Banat  -instalatie de iluminat si o priza 230V in compartimentul de racordare -realizarea unei prize de Pamant cu Rp&lt;4 ohmi la punctul de conexiune. Traseul instalatiilor electrice existente si proiectate sunt redate in planul de situatie nr. 12950164-01;-02;-04;-06 anexat documentatiei. Delimitarea între instala?iile distribuitorului ?i cele ale consumatorului este la capetele terminale de racordare a LES 20 kV plecare din compartimentul de racordare al noului punct de conexiune.</t>
  </si>
  <si>
    <t>Beneficiarul solicita elaborarea fisei de solutie, pentru spor de putere necesar in vederea extinderii liniei de productie din localitatea SANANDREI, str. Intravilan CF 408548, jud. Timis; Sporul de putere se solicita pe locul de consum T22307.
Conform chestionarului energetic, datele energetice ale postului T 22307 sunt:
Pmax. sim. abs.exist. = 1700 kW/ 1847,83 kVA
P instalata solicitata final = 2400 kW/ 2666,6kVA
Pmax. sim. abs. solicitata final = 2350 kW/ 2611,11 kVA
Spor de putere solicitat: P sim abs.= 650 kW/722,22 kVA
- 1 cale de alimentare, masura la 20 kV
- durata maxima de restabilire a alimentarii: pana la remedierea defectului 
- factorul de putere mediu la care vor functiona consumatorii va fi cos Ø=0,9
- tipul de racord electric solicitat: trifazat.
ARTEMIS REAL ESTATE SRL este alimentata in prezent din LEA 20 kV Avicola Calacea racordat la statia 110/20 kV Satchinez avand masura de decontare si delimitarea de gestiune pepartea de 20kV. LEA 20 kV Avicola Calacea din statia110/20 kV Satchinez are incarcare pe ultimul an de 2,16 MW. LEA 20 kV Avicola Calacea –poate prelua sporul de putere cerut de consumator.
Masura existenta este realizata cu 2xTT de 20/0,1 kV si 2xTC 400/5 A si pot prelua sporul de putere cerut de consumator.
Tinand cont de situatia energetica existenta precum si de solicitarea beneficiarului, sporul de putere cerut de consumator se poate realiza fara a fi necesare lucrari suplimentare.</t>
  </si>
  <si>
    <t>24.10.2022</t>
  </si>
  <si>
    <t>9643299</t>
  </si>
  <si>
    <t>10090160</t>
  </si>
  <si>
    <t>10090190</t>
  </si>
  <si>
    <t>25.10.2022</t>
  </si>
  <si>
    <t xml:space="preserve">RO005E541709085 / 1 </t>
  </si>
  <si>
    <t xml:space="preserve"> RO005E541709096 / 1</t>
  </si>
  <si>
    <t>CARREFOUR-BUJAC AR</t>
  </si>
  <si>
    <t>VGP PARK TIMISOARA THREE SRL</t>
  </si>
  <si>
    <t>... Lucrari racordare consumator: Alimentarea noului consummator se va face dintr-un PC 20kV in anvelopa de beton pusa la dispozitie de catre beneficiar, cu masura MT, racordat LES S20 NR. 4 PADUREA VERDE TM intre T 52006 si T 51986, cu realizarea urmatoarelor lucrari: Se intercepteaza LES S20 NR.4 PADUREA VERDE TM intre T 52006 si T 51986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2x1150m (din care 3m rezerva la manson, 10m in postul de transformare, restul zona verde) pana la postul de transformare 20kV proiectat. -Cablul se va poza in sapatura deschisa la o adincime de 0.8-1 m, protejat in tub de polietilena reticulara, acoperit cu un strat de nisip de 20 cm masurat de la partea superioara a tubului, semnalizat cu benzi avertizoare cf. DS4235RO si DS4247RO. Echipare compartiment racordare pus la dispozitie de beneficiar: ,,2 buc celule modulare de linie de 24kV, 630A, 16 kA(1s), cu separator de sarcina in SF6 si CLP, conform DY803/2-LE ed.3 PT; Compartimentul Enel trebuie sa permita o dezvoltare ulteriora cu inca o celula de line; ,,1 buc celula de masura cu separator de sarcina, conform DY803M/316-UTM ed.2, cu doua TT 20/0,1 kV, conform DMI031015RO, clasa de precizie 0,5 si 2 buc TC de 50/5A, conform DM031052RO, clasa de precizie 0,5S; Ralizarea grupului de masura a energiei electrioce pe MT, prin montarea unui contor electronic trifazat 2x100V, 5A, clasa de precizie 0,5S, cu curba de sarcina, cu interfata seriala RS232, cu sistem de teletransmise, in montaj indirect (TT 20/0,1 kV conform DMI031015RO, clasa precizie 0,5, TC 50/5A conform DM031052RO, clasa precizie 0,5S si cordon de conectare grup de masurare cinform DMI031011RO). Contorul va fi astfel amplasat incat sa fie posibila citirea lui din exteriorul punctului de conexiune atat de catre consummator cat si de distribuitor; ,,Rezistente in celulele MT – 2 buc si termohigrostat in PC 20 kV – 3 buc; PC 20 kV va fi astfel amplasat astfel incat accesul in PC 20 kV sa fie direct din domeniul public. Lucrari finantate de beneficiar, realizate prin grija lui, ce devin proprietatea acestuia: 1) Anvelopa PC de 20 kV realizata cu 2 compartimente cu acces separate (compartiment de racordare pentru acces personal Enel si compartiment utilizator pt acces utilizator). Compartimentul de racordare va fi cu actionarea echipantelor din interior si va avea caracteristici minime echivalente cu cele prevazute in Norma Tehnica Enel Ed. 3; 2) LES 20 kV cat mai scurta posibil (l≤20m), cu cablu de cupru de sctiune minima 95 mmp, intre celula de masura din compartimentul de racordare si celula cu intrerupator din compartimentul utilizatorului; 3) Celula de sosire in compartimentul utilizatorului va fi cu intrerupator general automat debrosabil (intrerupator automat + separator). Intrerupatorul va fi obligatoriu prevazut cu sistem de protectie generala maximala de current in trei trepte (la scurcircuit si la suprasarcina) si protectie homopolara de curent in doua trepte, contra punerilor la pamant monofazate respective bifazate, cu reglajul corelat cu celelalte protectii din instalatiile E-Distributie Banat SA 4) Instalatia de iluminat interior, prize si instalatia de legare la pamant a cladirii punctului de conexiune 5) LES 20 kV intre punctul de conexiune si postul trafo montat de beneficiar 6) Trafo 20/0.4kV 7) Realizare instalatiei de legare la pamant pentru noul PC, Rp, 4 ohmi; Delimitarea intre instalatiile distribuitorului si cele ale consumatorului este la capetele terminale de racordare a LES 20kV plecare din compartimentul de racordare ale noului punct de conexiune. Traseele retelelor electrice si amplasamentul PC se vor stabili in cadrul proiectului tehnic de catre proiectantul de specialitate, conform avizelor obtinute si de comun acord cu beneficiarul lucrarii, astfel incat sa permita accesul pentru mentenanta si inlocuirea instalatiilor electrice defecte in timp util. Proiectul tehnic se va aviza in Comisia Tehnica de Avizare a E-Distributie Banat SA – Zoan Retea MT/jt Timisoara. *Instalatia de utilizare a utilizatorului (priza de pamint, de maxim 4 ohmi, calea de curent dintre locul de delimitare si locul de consum al solicitantului) se recomanda a se realiza cu cablu electric avand sectiunea minima de 25mmp, pozat inaintea executiei lucrarilor stabilite prin prezentul aviz tehnic de racordare. **Utilizatorul va depune dosar definitiv pentru instalatia electrica de utilizare in aval de punctul de delimitare. Dosarul definitiv va fi elaborat de catre un electrician autorizat ANRE, prin grija si cheltuiala consumatorului. Celelalte materiale si echipamente, pentru care nu sunt elaborate specificatii tehnice unificate, trebuie sa fie noi, compatibile cu starea tehnica a instalatiei, sa indeplineasca cerintele specific de fiabilitate si siguranta.</t>
  </si>
  <si>
    <t>TMD FRICTION ROMANIA S.R.L.</t>
  </si>
  <si>
    <t>HALA PRODUCTIE TMD FRICTION ROMANIA SRL</t>
  </si>
  <si>
    <t>OTELU ROSU</t>
  </si>
  <si>
    <t xml:space="preserve">	
17531182</t>
  </si>
  <si>
    <t>VALEO LIGHTING INJECTION S.A.</t>
  </si>
  <si>
    <t>HALA</t>
  </si>
  <si>
    <t>Fiind postul abonatului, iar delimitarea fiind pe barele de medie tensiune, instalatiei este executata conform ATR 13920336 / 28.02.2012 si corespunde din punct de vedere tehnic.</t>
  </si>
  <si>
    <t>SOCIETATEA DE TRANSPORT PUBLIC TIMISOARA S.A.</t>
  </si>
  <si>
    <t>Modernizare post de transformare PT128</t>
  </si>
  <si>
    <t xml:space="preserve">Spor de putere de la 800kw la 1080kw .
SOCIETATEA DE TRANSPORT PUBLIC TIMISOARA S.A. este alimentata in prezent din PT 1281 racordat la statia 110/20/10 kV FRATELIA prin intermediul unui cablu 10kV CB15+3.
a)punctul de racordare este stabilit la nivelul de tensiune de 10 kV, la celula de linie in statia 110/10 kV Fratelia.
b)punctul de masurare este stablit la nivelul de tensiune de 10 kV ,in statia de transformare (elementul fizic unde este racordat grupul de masurare).
c)masurarea energiei electrice se realizeaza cu contor electronic trifazat de energie electrica activa si reactiva cu posibilitatea inregistrarii si stocarii curbei de sarcina, dotat cu interfata de comunicare RS 232, prevazut cu cutie de telecomunicatie si echipament de telecitire, in montaj indirect prin 3X TT 10/0,1 si 3xTC75/5A ,montate in celula de masura.
d)punctul de delimitare a instalatiilor este stabilit la nivelul de tensiune de 10 kV, capetele terminale de racordare a LES 10 kV plecare din compartimentul de racordare al postului de transformare existent.
</t>
  </si>
  <si>
    <t>13449251</t>
  </si>
  <si>
    <t>S.C. YAMI FRUITS S.A.</t>
  </si>
  <si>
    <t>HALA SI CLADIRE ADMINISTRATIVA, IMPREJMUIRE SI RACORDUI LA UTILITATI</t>
  </si>
  <si>
    <t>DECEBAL</t>
  </si>
  <si>
    <t>Punct de conexiune racordat la LES 20 kV existent intre stalpii nr. 31 si 34 din LEA 20 kV Decebal - Avicola Mintia : - interceptare, sectionare, mansonare cablu existent si montare cablu 2x3x(1x185)Almmp, în lungime de 2x30 m (30 m pamant, DC 4385/2 RO), pozat in tub PVC (DC 4235 RO si DS 4247 RO); - realizare punct de conexiune cu 2 compartimente (de racordare si de utilizator - unul pentru instalatiile electrice din E-DISTRIBUTIE Banat SA si unul pentru instalatiile electrice ale consumatorului), cu urmatoarea componenta : 2 celule de linie de medie tensiune extensibile (DY 803/416 RO), 1 celula de masura echipata cu 2 transformatoare de tensiune 20/0,1 kV (DY 4141/3 RO) si 2 transformatoare de curent avand raportul de transformare 50/5 A, cls. 0.5S (conform DMI 031052 RO); - masurarea consumului de energie electrica se va face prin contorul electronic de energie electrica trifazat 3*57/100 V, valori nominale curent: In=5-6 A, clasa de precizie 0,5S%, conexiune indirecta. Lucrari finantate de beneficiar ce devin proprietatea acestuia : - constructia cu 2 compartimente (unul pentru instalatiile electrice din gestiunea E-DISTRIBUTIE Banat SA cu dimensiuni interne de cel putin 2 ,5*2,5*2,4 (l*L*h) m) si unul pentru instalatiile electrice ale consumatorului : a) cabina în anvelop? prefabricat? sau în construc?ie zidit? va avea caracteristici structurale cel pu?in echivalente cu cele din prescrip?iile ENEL DG 10061 RO b) cabina înglobat? în constructie existenta (cl?dire civil?) trebuie s? aib? caracteristicile structurale cel pu?in echivalente cu cele din prescrip?iile ENEL DG 2091; - celula de racord si celula cu întrerupator automat cu protectie generala maximala de curent si impotriva punerilor la pamant, montate in compartimentul utilizatorului; - LES 20 kV de Cu, sectiune minima de 95 mmp (L=10 m), inclusiv capetele terminale, între celula de masura si celula de sosire din compartimentul consumatorului. Daca nu se poate respecta aceasta conditie, se va monta celula cu intrerupator pe cablul de alimentare; - priza de pamant interioara si exterioara aferenta cladirii in care se monteaza echipamentele punctului de alimentare; - compartimentul ENEL va fi echipat cu instalatie de serviciu (iluminat si o priza electrica monofazata) care va fi alimentata din instalatia consumatorului prin grija acestuia; - accesul in compartimentul ENEL si la contorul de energie electrica se va realiza din domeniu public. ? Utilizatorului ii incumba obligatia de a realiza prin finantare directa instalatia de utilizare aferenta obiectivului si de a depune dosarul instalatiei de utilizare (elaborat de un agent economic autorizat sau electrician autorizat ANRE), anterior realizarii instalatiei de alimentare cu energie electrica. ? Tariful de racordare a fost calculat pe baza de deviz general conform HG 907/2016. ? Este necesara obtinerea autorizatiei de construire pentru instalatia de racordare si avizare in CTE a proiectului tehnic. ? Regimul juridic al terenului pe care urmeaza a fi amplasata instalatia de racordare va fi clarificat in cuprinsul certificatului de urbanism ce se va emite de Autoritatile competente in vederea edificarii instalatiei de racordare. In ipoteza amplasarii instalatiei de racordare pe/in imobile proprietate privata, utilizatorul va asigura recunoasterea cu titlu gratuit a drepturilor legale de uz servitute si dupa caz, constituirea dreptului de superficie, precum si inscrierea in cartea funciara relevanta a acestor drepturi. Incheierea contractului de executie pentru realizarea lucrarilor de racordare/deviere/intarire este conditionata de obtinerea autorizatiilor de construire aferente acestora, atat pentru ipoteza in care instalatia va afecta imobile proprietate publica, cat si pentru situatia in care aceasta va afecta imobile proprietate privata.</t>
  </si>
  <si>
    <t>17622258</t>
  </si>
  <si>
    <t>CENTRU COMERCIAL-CORPURI NOI DE CLADIRE</t>
  </si>
  <si>
    <t>MUSICESCU</t>
  </si>
  <si>
    <t>... I.,,Consta in urmatoarele lucrari -Maura si delimitare pe medie in PC 22386 racordat in LEA 20 KV Captare I-Uzina de Apa -Montare 1 buc. celul? de m?sur? cu separator de sarcin?, conform DY803M/316-UTM ed.2, cu dou? TT 20/0,1 kV, conform DMI031015 RO, clasa de precizie 0,5 ?i 2 buc. TC de 50/5A, conform DM031052 RO, clasa de precizie 0,5 in Punctul de conexiune 22386 SC ENERGY MOSNITA ( punctul de conxiune existent 22386 este echipat cu 2 celule linie cf specificatiilor Enel si celula masura 24 kv.) Realizarea grupului de m?surare a energiei electrice pe MT, prin montarea unui contor electronic trifazat 2x100V, 5A, clasa de precizie 0.5S, cu curb? de sarcin?, cu interfa?? serial? RS232, cu sistem de teletransmisie, în montaj indirect (TT 20/0,1kV conform DMI031015 RO, clasa precizie 0,5, TC 50/5A conform DM031052 RO, clasa precizie 0,5S ?i cordon de conectare grup de m?surare conform DMI031011 RO). Contorul va fi astfel amplasat încât s? fie posibil? citirea lui din exteriorul punctului de conexiune atât de c?tre consumator cât ?i de distribuitor -,,rezistente in celulele MT ? 1buc. si termohigrostat in PT ? 1buc.; Lucrari necesare in pc 22386 -mutare si remenajare pozitii celule linii si masura pentru crearea spatilui necesar montarii noii celule de masura. -Lucr?ri finan?ate de beneficiar, realizate prin grija lui, ce devin proprietatea acestuia, conform Ordin nr. 59/2013: 1).,,LES 20 kV cît mai scurt? posibil (l?20m), cu cablu de cupru de sec?iune minim? 95 mmp, între celula de m?sur? din compartimentul de racordare ?i celula cu înterup?tor din compartimentul utilizatorului 2).,,Celul? sosire cu un separator tripolar ?i a unui întrerup?tor automat fix (sau numai un întrerup?tor automat debro?abil) în compartimentul utilizatorului. Întrerup?torul va fi obligatoriu prev?zut cu sistem de protec?ie general? maximal? de curent ?i împotriva defectelor de punere la p?mînt, cu reglajul corelat cu celelalte protec?ii din instala?iile SC E-Distribu?ie Banat SA- Zona MT/jt Timisoara 3).,,Instala?ia de iluminat interior, prize ?i instala?ia de legare la p?mânt a cl?dirii punctului de conexiune M?surarea energiei electrice se va face la MT, cu contor electronic trifazat 2x100V, 5A, clasa de precizie 0.5S, cu curb? de sarcin?, cu interfa?? serial? RS232, cu sistem de teletransmisie, în montaj indirect (TT 20/0,1kV conform DMI031015 RO, clasa precizie 0,5, TC 50/5A conform DM031052 RO, clasa precizie 0.5S, cordon de conectare grup de m?surare conform DMI031011 RO). 4) 1 buc trafo 20/0,4 kV Delimitarea între instala?iile distribuitorului ?i cele ale consumatorului este la capetele terminale de racordare a LES 20 kV plecare din compartimentul de racordare al noului punct de conexiune. Traseele re?elelor electrice ?i amplasamentul PC se vor stabili în cadrul proiectului tehnic de c?tre proiectantul de specialitate, conform avizelor ob?inute ?i de comun acord cu beneficiarul lucr?rii, astfel încît s? permit? accesul pentru mentenan?? ?i înlocuirea instala?iilor electrice defecte în timp util. Proiectul tehnic se va aviza în Comisia Tehnic? de Avizare a E- Distribu?ie Banat SA ? Zona Re?ea MT/jt Timisoara. Materialele ?i echipamentele care se utilizeaz? la realizarea instala?iei trebuie s? fie noi, omologate sau certificate, dup? caz, dac? acest lucru este prev?zut în specifica?iile tehnice unificate, în conformitate cu procedurile aplicabile în ENEL România. Celelalte materiale ?i echipamente, pentru care nu sunt elaborate specifica?ii tehnice unificate, trebuie sa fie noi, compatibile cu starea tehnic? a instala?iei, s? îndeplineasc? cerin?ele specifice de fiabilitate ?i siguran??.</t>
  </si>
  <si>
    <t>Substatia de Tractiune Electrica Toporu</t>
  </si>
  <si>
    <t>LEA 110 KV NICOLAE CARAMFIL - VIDELE</t>
  </si>
  <si>
    <t>12774490</t>
  </si>
  <si>
    <t>OLYMPIAN NORTH BUCHAREST S.R.L.</t>
  </si>
  <si>
    <t>HALE DEPOZITARE, PRODUCTIE si SPATII ADMINISTRATIVE P+1E</t>
  </si>
  <si>
    <t>16210376</t>
  </si>
  <si>
    <t>OPUS LAND DEVELOPMENT</t>
  </si>
  <si>
    <t>Mall-Spatii comerciale</t>
  </si>
  <si>
    <t>17565889</t>
  </si>
  <si>
    <t>ALKA TRADING CO S.R.L.</t>
  </si>
  <si>
    <t>spor putere-hala productie</t>
  </si>
  <si>
    <t xml:space="preserve">PAJURA </t>
  </si>
  <si>
    <t>17678946</t>
  </si>
  <si>
    <t>SOCIETATEA DE TRANSPORT BUCURESTI STB SA</t>
  </si>
  <si>
    <t>DEPOU BUCURESTII NOI</t>
  </si>
  <si>
    <t>17750560</t>
  </si>
  <si>
    <t>ONE COTROCENI PARK OFFICE FAZA 3 S.A</t>
  </si>
  <si>
    <t>CLADIRE BIROURI</t>
  </si>
  <si>
    <t>17701944</t>
  </si>
  <si>
    <t>SOCIETATEA DETRANSPORT BUCURESTISTB SA</t>
  </si>
  <si>
    <t>DEPOU BERCENI</t>
  </si>
  <si>
    <t>BERCENI</t>
  </si>
  <si>
    <t>17750430</t>
  </si>
  <si>
    <t>ONE HIGH DISTRICT SRL</t>
  </si>
  <si>
    <t>ansamblu cu functiuni mixte</t>
  </si>
  <si>
    <t>16767825</t>
  </si>
  <si>
    <t>QUARTIER AZUGA S.A.</t>
  </si>
  <si>
    <t>IMOBILE LOCUINTE COLECTIVE -FAZA 1</t>
  </si>
  <si>
    <t>13277468</t>
  </si>
  <si>
    <t>RO001E143290790/1</t>
  </si>
  <si>
    <t>ECO SUN NICULESTI SRL</t>
  </si>
  <si>
    <t>CEF NICULESTI</t>
  </si>
  <si>
    <t>51/38006</t>
  </si>
  <si>
    <t>Racordare intrare - iesire in circuitul 2 al LEA 220 kV Brazi Vest - Fundeni d.c. printr-o statie de conexiune 220 kV Niculesti, complet echipata, realizata in imediata vecinatate a liniei la aprox 26 km distanta fata de statia 400/220/110 kV Brazi Vest si la 41,3 km fata de statia Fundeni</t>
  </si>
  <si>
    <t xml:space="preserve"> statii de transformare 220/110kV (Investitor) si o statie de conexiuni intrare/iesire 220kV (OTS)</t>
  </si>
  <si>
    <t>statie noua 400kV</t>
  </si>
  <si>
    <t xml:space="preserve"> stație noua 400 kV Trivalea-Moșteni</t>
  </si>
  <si>
    <t>stație de conexiuni intrare-ieșire 400 kV Șiștarovăț</t>
  </si>
  <si>
    <t xml:space="preserve"> statie de conexiune 220 kV Niculesti</t>
  </si>
  <si>
    <t>Mures</t>
  </si>
  <si>
    <t>SC SGROM NINETEEN SRL</t>
  </si>
  <si>
    <t>CENTRALA ELECTRICA FOTOVOLTAICA 1,5MW, CF 50162, CF 50201, LOC. DAVIDENI, COM. TIBUCANI, JUD. NEAMT</t>
  </si>
  <si>
    <t>TG. NEAMT</t>
  </si>
  <si>
    <t>1005253516</t>
  </si>
  <si>
    <t xml:space="preserve">SC GREEN POWER SUNTECH SRL </t>
  </si>
  <si>
    <t>PARC FOTOVOLTAIC 1,2 MW, NC 52903; 52916; 51323; 51686, LOC. CRISTESTI, COM. CRISTESTI, JUD. BOTOSANI</t>
  </si>
  <si>
    <t>1005253522</t>
  </si>
  <si>
    <t>CAREMA BUSINESS CONSULTING SRL</t>
  </si>
  <si>
    <t>LEA 20 kV Ludus – Sarmas</t>
  </si>
  <si>
    <t>SC INFINITY REAL ESTATE INVESTMENT SRL</t>
  </si>
  <si>
    <t>AXENTE SEVER</t>
  </si>
  <si>
    <t>LEA 20 kV Copsa Mica - Blaj</t>
  </si>
  <si>
    <t>TARGU MURES LOGISTICS HUB SRL</t>
  </si>
  <si>
    <t>LES 20 KV UNGHENI-AUTOSERVICE</t>
  </si>
  <si>
    <t>SC PARC INDUSTRIAL MURES SA</t>
  </si>
  <si>
    <t xml:space="preserve">LEA 20 KV PARC INDUSTRIAL </t>
  </si>
  <si>
    <t>ECO WIND COROD S.R.L.</t>
  </si>
  <si>
    <t>COROD</t>
  </si>
  <si>
    <t>Bara B 110 kV din statia de transformare 110/6 kV I.C.M. Tecuci</t>
  </si>
  <si>
    <t>ALERION CLEAN POWER RO S.R.L.</t>
  </si>
  <si>
    <t>Bara A 110 kV din statia de transformare 110/20 kV Mavrodin,</t>
  </si>
  <si>
    <t>SC R.POWER BUCURESTI SRL</t>
  </si>
  <si>
    <t>STALPU</t>
  </si>
  <si>
    <t>LEA 20 kV Avicola 1</t>
  </si>
  <si>
    <t>SIPICA ION</t>
  </si>
  <si>
    <t>PIETROASELE</t>
  </si>
  <si>
    <t>LEA 20 kV Ulmeni</t>
  </si>
  <si>
    <t>MN9700</t>
  </si>
  <si>
    <t>DB5 LIGHTSOURCE S.R.L.</t>
  </si>
  <si>
    <t>LEA MT MARGHITA-SALACEA</t>
  </si>
  <si>
    <t>SC IB VOGT DELTA SRL</t>
  </si>
  <si>
    <t>STATIA 110/20 KV TILEAGD</t>
  </si>
  <si>
    <t>TN16774</t>
  </si>
  <si>
    <t>SRP 4 Fetesti</t>
  </si>
  <si>
    <t xml:space="preserve">	
16/08/2023</t>
  </si>
  <si>
    <t>ROMPETROL DOWNSTREAM SRL</t>
  </si>
  <si>
    <t>Statie incarcare autovehicule electrice</t>
  </si>
  <si>
    <t>Nu sunt prevazute alte Lucrari extra. Instalatie existenta conforma.</t>
  </si>
  <si>
    <t>BUZIAS</t>
  </si>
  <si>
    <t>VIVALIA 8 SPV SA</t>
  </si>
  <si>
    <t>cladire locuinte colective, servicii, comert</t>
  </si>
  <si>
    <t xml:space="preserve"> Tinand seama de situatia energetica din zona precum si de datele solicitate prin chestionarul energetic, ansamblul de locuinte va fi alimentat dintr-un post trafo 20/0,4 kV ? 2x630 kVA (amplasat pe parcela cu nr CF 442226 in locul specificat si pus la dispozitie de catre beneficiar) proiectat inseriat in LES S20 nr.3 DUMBRAVITA TM intre T 52017 si T 52202 prin intermediul unui 2x LES 20 kV proiectat in lungime totala de cca. 60 m. Pentru realizarea solutiei de alimentare sunt necesare realizarea urmatoarelor lucrari: - sectionare LES S20 nr.3 DUMBRAVITA TM intre T 52017 si T 52202 si mansonare cu 2xLES 20 kV proiectat; - 2xLES 20 kV pe un traseu in lungime de cca. 60m realizat cu cablu tripolar de medie tensiune cu conductoare de Al pentru montare subterana, izolat in polietilena reticulara de grosime redusa, cu ecran in tub de Al sub invelis de PE, 3x185 mmp (conform DC 4385 RO), de la mansonare pana la PT proiectat; - PT 20/0,4 kV ? 2x630 kVA proiectat amplasat in anvelopa cu gabarit pentru doua transformatoare (cf. DG 2092RO), care se va echipa cu: - 2 buc celula linie 24 kV, 630 A, Isc=16kA, cu separator de sarcina in SF6 (cf.DY 803/416), telecontrolata; PT trebuie sa permita o dezvoltare ulterioara cu inca o celula de linie; - 2 buc. celula trafo cu separator de sarcina in SF6 si sigurante (cf.DY 803/3); - 2 buc. transformator 20/0,4 kV-630 kVA ? cu pierderi reduse; - 4 buc. tablou j.t. dupa cum urmeaza: - 2 bucati tablou jt cf. DY 3009/3 RO echipat cu: 1 intrerupator de 350 A cf. DY 3102 RO si 1 intrerupator de 250 A cf. DY 3101 RO ; - 1 bucata tablou jt cf. DY 3009/2 RO echipat cu 2 intrerupatoare de 350A cf. DY 3102 RO; - 1 bucata tablou jt cf. DY 3009/3 RO echipat cu: un intrerupator de 350 A cf. DY 3102 RO si o placa de inchidere pentru tablou JT in absenta intrerupatorului cf. DY 3003 RO - coloanele de JT se vor executa cu cablu Cu 150 mmp - legatura electrica intre bornele trafo si tabloulJT se va realiza cu cablu unipolar de Cu cu sectiunea de 150 mmp (cf. DC 4141 RO), lungime 2x(4x8)m; Postul de trasformare se va integra in telecontrol prin montare UP, TSA, acumulatori, antena, modul GSM, RG-DAT. Distributia pe JT se va face astfel: TRAFO 1: - Din tabloul 1 JT echipat cu intrerupatoare de 350 A si de 250A alimentat de pe bornele de JT a transformatorului 1 de 630 kVA vor fi 2 iesiri de joasa tensiune astfel: - circuitul 1 (intrerupator de 350A) (alimentare 60 apartamente monofazate din corp1): cablu subteran trifazat de Al 3x240+150N proiectat cf. DC 4146 RO, in lungime de cca. 100m - iesire, din tabloul 1 de joasa tensiune al PT proiectat, pana la o firida de distributie tip E1+3 amplasata la subsolul corpului 1 in locul special amenajat si indicat de constructor, care se va echipa cu separatoare tripolare si se va monta pe un soclu in interior; Din firida E1+4 se vor alimenta, prin intermediul a 3 coloane cu cablu Al3x50+25C (lungime totala 30m), TDC-urile amplasate la subsol alaturi de firida; TDC-urile necesare sunt: TDC 20 (echipat cu intreupatoare automate bipolare fixe de 40A, 20ap.M x 6.5kW/ap) ? 3 buc. - circuitul 2 (intrerupator de 250A) (alimentare 41 apartamente monofazate + 3 SAD trifazate din corp1): cablu subteran trifazat de Al 3x150+95N proiectat cf. DC 4146 RO, in lungime de cca. 100m - iesire, din tabloul 1 de joasa tensiune al PT proiectat, pana la o firida de distributie tip E1+3 amplasata la subsolul corpului 1 in locul special amenajat si indicat de constructor, care se va echipa cu separatoare tripolare si se va monta pe un soclu in interior; Din firida E1+4 se vor alimenta, prin intermediul a 3 coloane cu cablu Al3x50+25C (lungime totala 30m), TDC-urile amplasate la subsol alaturi de firide; TDC-urile necesare sunt: TDC 20 (echipat cu intreupatoare automate bipolare fixe de 40A, 20ap.M x 6.5kW/ap) ? 1 buc. + TDC 21 (echipat cu intreupatoare automate bipolare fixe de 40A, 21ap.M x 6.5kW/ap) + TDC 3 (echipat cu intreupatoare automate tetrapolare fixe de 40A, 3sad.T x 7kW/sad); - Din tabloul 2 JT echipat cu intrerupatoare de 350 A si de 250A alimentat de pe bornele de JT a transformatorului 1 de 630 kVA vor fi 2 iesiri de joasa tensiune astfel - circuitul 3 (intrerupator de 350A) (alimentare 63 apartamente monofazate din corp2): cablu subteran trifazat de Al 3x240+150N proiectat cf. DC 4146 RO, in lungime de cca. 60m - iesire, din tabloul 2 de joasa tensiune al PT proiectat, pana la o firida de distributie tip E1+4 amplasata la subsolul corpului 2 in locul special amenajat si indicat de constructor, care se va echipa cu separatoare tripolare si se va monta pe un soclu in interior; Din firida E1+3 se vor alimenta, prin intermediul a 3 coloane cu cablu Al3x50+25C (lungime totala 30m), TDC-urile amplasate la subsol alaturi de firida; TDC-urile necesare sunt: TDC 21 (echipat cu intreupatoare automate bipolare fixe de 40A,21ap.M x 6.5kW/ap) ? 3 buc. - circuitul 4 (intrerupator de 250A) (alimentare 42 apartamente monofazate + 3 SAD trifazate din corp2): cablu subteran trifazat de Al 3x150+95N proiectat cf. DC 4146 RO, in lungime de cca. 60m - iesire, din tabloul 2 de joasa tensiune al PT proiectat, pana la o firida de distributie tip E1+3 amplasata la subsolul corpului 2 in locul special amenajat si indicat de constructor, care se va echipa cu separatoare tripolare si se va monta pe un soclu in interior; Din firida E1+4 se vor alimenta, prin intermediul a 3 coloane cu cablu Al3x50+25C (lungime totala 30m), TDC-urile amplasate la subsol alaturi de firide; TDC-urile necesare sunt: TDC 21 (echipat cu intreupatoare automate bipolare fixe de 40A, 21ap.M x 6.5kW/ap) ? 2 buc. + TDC 3 (echipat cu intreupatoare automate tetrapolare fixe de 40A, 3sad.T x 7kW/sad); TRAFO 2: - Din tabloul 3 JT echipat cu doua intrerupatoare de 350 A alimentat de pe bornele de JT a transformatorului 2 de 630 kVA vor fi 2 iesiri de joasa tensiune astfel: - circuitul 5 (intrerupator de 350A) (alimentare spatriu comun trifazat 116kW din corp1): cablu subteran trifazat de Al 3x240+150N proiectat cf. DC 4146 RO, in lungime de cca. 100m - iesire, din tabloul 3 de joasa tensiune al PT proiectat, pana la un BMPTi 250A din poliester armat cu fibra de sticla (cf.FT 124_MAT si FT 133_MAT), echipat cu separator jt si intrerupator automat tetrapolar jt, In=250A, transformatoare de curent 3xTC 250/5A, amplasat la subsolul corpului 1 in locul special amenajat si indicat de constructor. - circuitul 6 (intrerupator de 350A) (alimentare spatriu comun trifazat 116kW din corp2): cablu subteran trifazat de Al 3x240+150N proiectat cf. DC 4146 RO, in lungime de cca. 60m - iesire, din tabloul 3 de joasa tensiune al PT proiectat, pana la un BMPTi 250A din poliester armat cu fibra de sticla (cf.FT 124_MAT si FT 133_MAT), echipat cu separator jt si intrerupator automat tetrapolar jt, In=250A, transformatoare de curent 3xTC 250/5A, amplasat la subsolul corpului 2 in locul special amenajat si indicat de constructor. - Din tabloul 4 JT echipat cu un intrerupatoare de 350 A alimentat de pe bornele de JT a transformatorului 2 de 630 kVA va fi 1 iesire de joasa tensiune astfel: - circuitul 7 (intrerupator de 350A) (alimentare spatriu comun trifazat 128kW pentru corp1 si corp2): cablu subteran trifazat de Al 3x240+150N proiectat cf. DC 4146 RO, in lungime de cca. 100m - iesire, din tabloul 4 de joasa tensiune al PT proiectat, pana la un BMPTi 250A din poliester armat cu fibra de sticla (cf.FT 124_MAT si FT 133_MAT), echipat cu separator jt si intrerupator automat tetrapolar jt, In=250A, transformatoare de curent 3xTC 250/5A, amplasat la subsolul corpului 1 in locul special amenajat si indicat de constructor - prin grija beneficiarului se vor realizarea prizele de pamant la instalatiile electrice proiectate. Traseul ?i amplasarea re?elelorelectrice, a coloanelor electrice ?i modul de pozare, se va stabili în cadrul proiectului tehnic, de c?tre proiectantul de specialitate, conform avizelor ob?inute ?i de comun acord cu beneficiarul lucr?rii, astfel încît s? permit? accesul pentru mentenan?? ?i înlocuirea instala?iilor electrice defecte în timp util. Punct de racordare: LES S20 nr. 3 DUMBRAVITA TM, alimentat din statia 110/20/10 kV Dumbravita intre PT 52017 si PT 52220. Delimitarea de gestiune între instala?iile distribuitorului ?i cele ale consumatorului, este la ie?irea din TDC/BPMT. M?surarea energiei electrice la consumatori, se va face cu contoare electronice. Contoarele nu sunt cuprinse ca valoare în aceast? lucrare. Fiecare consummator casnic locatar al noului bloc de locuin?e, va solicita la ENEL întocmirea contractului individual de furnizare a energiei electrice. Materialele ?i echipamentele care se utilizeaz? la realizarea instala?iei trebuie s? fie noi, omologate sau certificate, dup? caz, dac? acest lucru este prev?zut în specifica?iile tehnice unificate, în conformitate cu procedurile aplicabile în E-Distributie Banat SA. Celelalte materiale ?i echipamente, pentru care nu sunt elaborate specifica?ii tehnice unificate, trebuie sa fie noi, compatibile cu starea tehnic? a instala?iei, s? îndeplineasc? cerin?ele specifice de fiabilitate ?i siguran??.</t>
  </si>
  <si>
    <t>GIULVAZ SOLAR SRL</t>
  </si>
  <si>
    <t>GIULVAZ 110/20 KV</t>
  </si>
  <si>
    <t>16242359</t>
  </si>
  <si>
    <t>FUTURE BUSINESS IDEAS SRL</t>
  </si>
  <si>
    <t>TITAN</t>
  </si>
  <si>
    <t>Depozit si CEF Romstal Bolintin-prosumator</t>
  </si>
  <si>
    <t>S20 PROLOGIS-ARCUDA GR</t>
  </si>
  <si>
    <t>Modificare loc de consum existent ROMSTAL (ATR 06781111 / 17/05/2021) in loc de consum si producere nou situat in Judet Giurgiu, comuna Bolintin Deal, Strada Industriilor, nr.3. CF 33495, nr. Cadastral 33495;. Date generale consum conform ATR nr. 06781111 / 17/05/2021. ,,a) Lucrarile pe tarif de racordare în PC 1553 Pentru transmiterea informatiilor aferente CEF catre SCADA EDM, in postul de transformare PC 1553 se vor monta urmatoarele echipamente: - inlocuire UP existent cu unitate periferica capabila să telecontroleze 16 aparate de comutare, conform GSTR 006; - 2 buc. acumulatori UP ,,b) Lucrari ce se realizeaza prin grija beneficiarului: Energia eletrica produsa de centrala fotovoltaica va fi debitata in reteaua de distributie EDM, folosind punctul de conexiune existent, prin care se face alimentarea, respectiv PC 1553: Conform datelor primite de la beneficiar centrala fotovoltaica este formata din: - panouri VERTEX TSM -5120 buc panouri fotovoltaice cu Pi=405Wp montate in combinatie cu invertoare FRONIUS cu putere nominală invertor 10kW-16 buc . • Tablouri curent alternativ TE – CEF cu protecţii 4 buc; • Circuite electrice de curent continuu (CC); • Circuite electrice de curent alternativ (CA); • Sisteme de prindere panouri solare . Racordarea productiei la RED se va face la nivelul tabloulurilor de JT, la nivelul barei 0,4 kV a consumatorului actual ROMSTAL BOLINTIN DEAL. Racordul centralei fotovoltaice se va realiza in tablourile electrice generale existente aferente trafo 1250kVA . In fiecare tablou TE-CEF din cele 4 tablouri proiectater este prevazut pe legatura cu tabloul general unde se racordeaza, cu un intreruptor motorizat impreuna cu un releu multifunctional care va realiza comanda (open/close) a motorului intreruptorului. Aceste intrerupatoare vor avea rol de dispozitiv de interfata, DI, si vor fi declansate prin intermediul releului multifunctional,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Valorile de reglaj ale dispozitivelor de interfata vor avea reglajele prevazute in Ord 132/2020 In cazul defectiunilor releului atasat fiecarui dispozitiv de interfata sau in cazul lipsei alimentarii acestuia va fi declansat intrerupatorul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 in vederea montarii unui contor electronic pus la dispozitie de E Distributie Muntenia. COMUNICATII In fiecare TE CEF se va monta un analizor de energie clasa A . De la fiecare analizor instalat in TE CEF-uri se va folosi comunicatie RS485 cu protocol MODBUS, pentru a transmite informatii de putere activa/reactiva, catre un PLC instalat intr-un dulap montat in PT1. De la PLC catre Unitatea Periferica existenta in PC 1553 vom folosi ieșirile analogice 4-20mA ale acestuia. Conversia, însumarea si scalarea semnalelor de putere activa/reactiva, se va face in softul din PLC. In PC 1553, compartiment In compartimentul de racordare producator, se vor instala traductoarele de putere activa P,putere reactiva Q, frecventa f si tensiune U. Acestea se vor racorda in circuitele de masura ale transformatoarelor de curent si de tensiune. Traductoarele si analizorul vor fi montate intr-undulap nou, montat in PC 1553 compartiment utilizator.</t>
  </si>
  <si>
    <t>11498819</t>
  </si>
  <si>
    <t>CEF Horia 2</t>
  </si>
  <si>
    <t>HORIA SOLAR INVEST TWO SRL</t>
  </si>
  <si>
    <t>realizarea unui racord in antena pe bara de 400 kV a statiei 400/220/110 kV Arad, cu extinderea statiei</t>
  </si>
  <si>
    <t>CARREFOUR ROMANIA S.A.</t>
  </si>
  <si>
    <t>Hipermarket Carrefour</t>
  </si>
  <si>
    <t>Necesar realizarea urmatoarelor lucrari: 1. Lucrari finantate in baza tarifului de racordare, conform prevederilor Ord. ANRE 59/2013 cu modificarile si completarile ulterioare: - Echiparea compartimentului de racordare din PTB 3022 existent, cu 1 buc. celul? de m?sur? cu separator de sarcin? ? pregatita pentru integrarea in sistemul de telecontrol Enel- conform DY803/4-UTM ed.3, cu dou? TT 20/0,1 kV, conform DMI031015 RO, clasa de precizie 0 ,5 ?i dou? TC de 50/5A, conform DM031052 RO, clasa de precizie 0,5S; 2. Lucr?ri finantate de E-Distributie Banat: - Realizare grup de masura energie electrica pe MT, prin montarea contor electronic trifazat 2x100V, 5A, clasa de precizie 0.5S, cu curb? de sarcin?, cu interfat? serial? RS232, cu sistem de teletransmisie, în montaj indirect (TT 20/0,1kV conform DMI031015 RO, clasa precizie 0,5, TC 50/5A conform DM031052 RO, clasa precizie 0,5S si cordon de conectare grup de m?surare conform DMI031011 RO). Contorul vafi astfel amplasat in interiorul PT 3022 astfel incat sa fie posibila citirea sa atat de catre distribuitor cat si de catre client.</t>
  </si>
  <si>
    <t>MARIUS FAINAREA</t>
  </si>
  <si>
    <t>ANSAMBLU COMERCIAL</t>
  </si>
  <si>
    <t>17929851</t>
  </si>
  <si>
    <t>S+B PLAN&amp;BAU BUKAREST SRL</t>
  </si>
  <si>
    <t>Imobil Birouri NIMB</t>
  </si>
  <si>
    <t>09974251</t>
  </si>
  <si>
    <t>Titan</t>
  </si>
  <si>
    <t>17481091</t>
  </si>
  <si>
    <t>CETVI SRL</t>
  </si>
  <si>
    <t xml:space="preserve"> la clemele de conectare a celulei de 20 kV proiectata la barele 20 kV ale statiei 110/20 kV Tileag</t>
  </si>
  <si>
    <t>ENERGY SOLAR PROVIDER TWO S.R.L.</t>
  </si>
  <si>
    <t>barele de 20 kV ale stației 110/ 20 kV Carpați</t>
  </si>
  <si>
    <t>RES ENERGY SOLUTIONS</t>
  </si>
  <si>
    <t>PC Heliowatt (identic ca denumire cu "PC Parc Fotovoltaic Mihai Bravu") cu loc liber de celula de MT, PA PARC FOTOVOLTAIC M BRAVU</t>
  </si>
  <si>
    <t>bara 20 kV din statia Baia Mare 1 - celulele linie Troleibuze 1 si Troleibuze 2</t>
  </si>
  <si>
    <t>GRANDEMAR SA</t>
  </si>
  <si>
    <t>POIENI</t>
  </si>
  <si>
    <t>LEA 20 kV Huedin - Cariera Poieni,</t>
  </si>
  <si>
    <t>OPTIMEDIA SRL</t>
  </si>
  <si>
    <t>LES MT, LES 20 KV AEROPORT-PC ARADULUI</t>
  </si>
  <si>
    <t>HELIOELECTRO SRL</t>
  </si>
  <si>
    <t>CRIZBAV</t>
  </si>
  <si>
    <t>barele 110 kV din Statia 110/ 20 / 6 kV Uzina</t>
  </si>
  <si>
    <t>SC AVEDA FORTE SRL</t>
  </si>
  <si>
    <t>SACELE</t>
  </si>
  <si>
    <t>LEA 20 kV Socorom ; Statia 110/20/6 kV Zizin</t>
  </si>
  <si>
    <t>EURO LAND ENERGY SRL</t>
  </si>
  <si>
    <t>TRAIAN</t>
  </si>
  <si>
    <t>derivatie chimizare din axul LEA 20 KV SU</t>
  </si>
  <si>
    <t>IMO INVEST TOTAL SRL</t>
  </si>
  <si>
    <t>SINAIA</t>
  </si>
  <si>
    <t>LEA 20 kV Poiana Tapului</t>
  </si>
  <si>
    <t>IMEX MET COLECT DESEURI S.R.L.</t>
  </si>
  <si>
    <t>SENDRENI</t>
  </si>
  <si>
    <t>LEA 20 KV ABATOR - DUNAREA</t>
  </si>
  <si>
    <t>SC CLASS ENERGY DISTRIBUTION SRL</t>
  </si>
  <si>
    <t>PARC FOTOVOLTAIC BANCA 2,5MW, TARLA 64, PARCELA 1667/2 CF 71993, LOC. BANCA, COM. BANCA, JUD. VASLUI</t>
  </si>
  <si>
    <t>racord LES MT in STATIA BARLAD</t>
  </si>
  <si>
    <t>1005302903</t>
  </si>
  <si>
    <t>SC PK EBONY SRL</t>
  </si>
  <si>
    <t>SC PK EBONY SRL - imobil L1</t>
  </si>
  <si>
    <t>Separare instalatii si spor putere de la 3948kW la 1666,68
Lucrari intarire: reparametrizare relee din PA250</t>
  </si>
  <si>
    <t>SC PK EBONY SRL - imobil L2</t>
  </si>
  <si>
    <t>Separare instalatii si spor putere de la  3948kW la 1666,68
Lucrari intarire: Integrarea in SCADA Delgaz Grid a celor doua celule de masura-racord din PA250</t>
  </si>
  <si>
    <t>SC PK EBONY SRL - imobil L3</t>
  </si>
  <si>
    <t>MUNICIPIUL SUCEAVA</t>
  </si>
  <si>
    <t>110/20kV Mirauti</t>
  </si>
  <si>
    <t>Lucrari intatrire retea: in statia 110/20 kV Mirauti se vor redenumi celulele de medie tensiune 9K si 11K cu denumirea TPL 1 respectiv TPL 2 si se va reparametriza terminalul numeric.</t>
  </si>
  <si>
    <t>SC ELI 6 INDUSTRIAL SRL</t>
  </si>
  <si>
    <t>110/20kV Balcescu</t>
  </si>
  <si>
    <t xml:space="preserve">SC BUCOVINA VERDE SRL  </t>
  </si>
  <si>
    <t>110/20kV Radauti</t>
  </si>
  <si>
    <t>spor putere de la360kW la 1MW</t>
  </si>
  <si>
    <t>MUNTENIA BETON MAX SRL</t>
  </si>
  <si>
    <t>ARICESTII RAHTIVANI</t>
  </si>
  <si>
    <t>LEA 110 KV FLORESTI-CET BRAZI</t>
  </si>
  <si>
    <t>MN11397</t>
  </si>
  <si>
    <t>TN19160</t>
  </si>
  <si>
    <t>13518770</t>
  </si>
  <si>
    <t>SINNICOLAU MARE 110/20KV</t>
  </si>
  <si>
    <t>LOTUS ENERGY SRL</t>
  </si>
  <si>
    <t>Construire Centrala Electrica Fotovoltaica</t>
  </si>
  <si>
    <t>A20 HATEG2-HATEG DV</t>
  </si>
  <si>
    <t>Puterea maxima simultana ce poate fi debitata de P Tustea, jud. Hunedoara analizata in solutiile analizate, fara realizarea lucrarilor de intarire este de 0 kW/ 0 kVA. Lucrari de intarire comune determinate de necesitatea asigurarii conditiilor tehnice in vederea evacuarii puterii aprobate inclusiv pentru CEF Tustea: - Realizarea lucr?rilor de înt?rire generale pentru respectarea criteriului cu N elemente in functiune in RED 110 kV din zona EDB reconductorare - LEA 110kV Hateg - Hasdat cu lungimea de 20,996 km; - Realizarea lucr?rilor de înt?rire pentru respectarea criteriului cu N-1 elemente in functiune in RED 110 kV din zona EDB: LEA 110kV Hateg- Baru Mare lungime 26,972km; LEA 110kV Pui CFR- Baru Mare lungime 10,267km; LEA 110kV Hateg- Hasdat lungime 20,996; LEA 110kV Pui CEF ? Hasdat lungime 38,755; Lungime =96,99 km. Evaluarea lucrarilor de intarire si a tarifului de racordare Pentru respectarea criteriului N elemente in functie in RED, au rezultat ladata elaborarii studiului de solutie urmatoarele lucrari de intarire -reconductorarea LEA 110kV CEF Hateg - Hasdat cu lungimea de 20,996 km =9.429.303.60 lei lei fara TVA . Conform analizei de regimuri, pentru respectarea criteriului N-1 elemente in functie in RED, au rezultat la data elaborarii studiului de solutie urmatoarele lucrari de intarire (pentru care beneficiarul a optat pentru solutia cu limitare operationala): LEA 110kV Hateg- Baru Mare lungime 26,972km=12.113.125,20 lei fara TVA; LEA 110kV Pui CFR- Baru Mare lungime 10,267km=4.610.909,70 lei fara TVA; LEA 110kV Hateg- Hasdat lungime 20,996 =9.429.303,60 lei fara TVA; LEA 110kV Pui CEF ? Hasdat lungime 38,755=17.404.870.50 lei fara TVA; Valoarea totala a lucrarilor de intarire RED si RET pentru care se va realiza instalatia de automatizare pentru limitare operationala este de 43.558.209 lei fara TVA, estimata la data elaborarii studiului de solutie. Beneficiarul a optat pentru implementarea automaticii de sistem care implica montarea echipamentelor de limitare operationala in statiile : Hasdad ,Baru Mare apartinind OTS si Hateg si Pui CFR apartinind OD. Valoarea lucrarilor de realizare automatica de deconectare CEF Tustea pentru respectarea criteriului N-1 elemente in functie este de 814.600 lei fara TVA. Automatica de deconectare in instalatiile OTS = 407.300 lei fara TVA. Automatica de deconectare in instalatiile OD = 407.300 lei fara TVA. Dupa realizarea lucrarilor de intarire RED/RET mentionate utilizatorul poate solicita anularea automaticii de limitare doar cu plata compensatiilor catre utilizatorul/utilizatorii care au realizat lucrarile de intarire necesare respectarii criteriului cu N-1 elemente in functiune pentru care CEF Tustea a optat pentru varianta cu limitare operationala. In conformitate cu Ord. ANRE nr. 11/2014 se calculeaza valoarea tarifului de intariri Ti pe baza de tarife specifice. Ti = I x Pa (tarif specific x Putere suplimentara). Astfel cf. Art. 41. Art. 41. În situa?ia în care punctul de racordare este la medie tensiune, într-o linie electric? aerian?, tariful specific pentru calculul componentei TI a tarifului de racordare se noteaz? i5 ?i se stabile?te utilizând urm?toarea formul?: i6=iMTS+I ST 110/MT i6=67000+432000=499.000 lei; Ti= Sev (MVA)*499000 lei/MVA= 499.000 fara TVA. Conform Ord. ANRE nr. 141/2014 tariful iMTA +I ST = 499.000lei/MVA I6 = 499.000lei/MVA. Puterea totala ce a fost solicitata spre a fi debitata este 4MW (4 ,44MVA). Puterea maxima ce poate fi debitata fara intariri de retea este 0MW (0MVA). Puterea care se ia in calculul tarifului specific este diferenta Pa = 4 ,44MVA. Aplicand formula de calcul a tarifului specific rezulta componenta Ti a tarifului de intariri Ti = i6 x Pa = 499.000 lei/MVA x 4,44MVA = 2.215.560,00 lei. Timpul necesar realizarilor de Limitare Operationala este de 468 zile lucratoare. Nu sunt inclusi timpii de obtinere a avizelor si acordurilor proprietarilor.</t>
  </si>
  <si>
    <t>P.A.GREENENERGY ARAD SRL</t>
  </si>
  <si>
    <t>CEF Pancota</t>
  </si>
  <si>
    <t>PINCOTA 110/20 KV</t>
  </si>
  <si>
    <t>CALNIC 110/20/6 KV</t>
  </si>
  <si>
    <t>Contingente de tip N-1 pentru regimul de dimensionare de tip VDV, orizontul de timp 2024 Avand in vedere cerinta beneficiarului de a pune in functiune centrala fotovoltaica in anul 2024, deci inainte de trecerea la 400kV a axului de Vest PF1-Resita-Timisoara-Arad, se cunoaste din studii de regimuri efectuate anterior (de ex. CEE Coronini 142,4MW) ca exista pentru configuratiu actuala a SEN, chiar si in absenta CEF Resita urmatoarele contingente: 1. Deconectare liniei de 220 kV Timisoara ? Resita circuitul 1 : - supraînc?rcare LEA 220 kV Timisoara ? Resita circuitul 2: 112,3 % - puterea maxim? generat? de noul produc?tor care poate fi evacuat? f?r? a genera aceast? supra-înc?rcare este de 0 MVA; 2. Deconectare liniei de 220 kV Timisoara ? Resita circuitul 2  - supraînc?rcare LEA 220 kV Timisoara ? Resita circuitul 1  112,3 % - puterea maxim? generat? de noul produc?tor care poate fi evacuat? f?r? a genera aceast? supra-înc?rcare este de 0 MVA; 3. Deconectare Transformator 400/220kV din statia Resita - supraînc?rcare Transformator 400/110kV in statia Resita &gt;107,3 % - puterea maxim? generat? de noul produc?tor care poate fi evacuat? f?r? a genera aceast? supra-înc?rcare este de 0 MVA - rezolvarea contingentei prin inlocuire tranformator 400/110kV 250MVA cu transformator 400MVA 4. Deconectare Transformator 400/110kV din statia Resita - supraînc?rcare Transformator 400/220kV in statia Resita &gt;104,6 % - puterea maxim? generat? de noul produc?tor care poate fi evacuat? f?r? a genera aceast? supra-înc?rcare este de 0 MVA; - rezolvarea contingentei prin inlocuire tranformator 400/220kV 400MVA cu transformator 500MVA 5. Deconectare LEA 400kV Portile de Fier- Resita - supraînc?rcare Transformator 400/220kV in statia Resita &gt;104,6 % - puterea maxim? generat? de noul produc?tor care poate fi evacuat? f?r? a genera aceast? supra-înc?rcare este de 0 MVA; - rezolvarea contingentei prin inlocuire tranformator 400/220kV 400MVA cu transformator 500MVA. Calculul lucrarilor de intariri necesare si anume inlocuirea in statia 400/220/110kV Resita a transformatorului 400/220kV 400MVA cu un transformator 500MVA precum si inlocuirea 400/110kV 250MVA cu un transformator 400MVA. a. estimarea conform deviz general Anexa I4 este de 42.285.198 lei (plus TVA). b. Estimare pe baza de indici specifici Puterea aprobata spre debitare de CEF Resita este de P = 25,8MVA. Puterea maxima ce poate fi debitata fara intariri este 0 MVA Valoarea tarifului de intariri pe baza de indici este Ti = i x P Indicele specific in cazul racordarii pe o linie de 110kV este cf. Art. 44 din Ord ANRE i = i8 = iLE110 + iST400/110 = 231.000 lei/MVA + 283.000 lei/MVA = 514.000 lei/MVA Ti = 514.000 lei/MVA x 25,8MVA = 13.261.200 lei. Ca si valoare a tarifului de intariri se considera minimul dintre cele doua valori. Valoarea componentei de intariri a tarifului de racordare Ti este 13.261.200 lei ( plus TVA) In cazul in care clientul opteaza pentru finantarea si realizarea intaririlor de retea atunci punerea a functiune a centralei se va face dupa realizarea intaririlor de retea. Beneficiarul CEF Resita 23,8 MW a optat pentru prevederile ord. 81/2022 cu referire la limitarea operationala a puterii tinand cont de contingentele la care au rezultat suprasarcini in RET si RED. Solutia tehnica propusa, comuna pentru ambele contingente, este de a se instala - un RTU in statia (400)/220/110kV Timisoara a OTS prin care sa urmareasca pozitia intrerupatoarelor aferente - LEA 220kV Resita circuitul 1 - LEA 220kV Resita circuitul 2 si prin sistem de comunicatie dedicat, prin GSM, in cazul deconectarii oricaruia dintre aceste doua intreruptoare, sa se dea comanda pana la CEF Resita de reducere a puterii debitate la o valoarea 0MW. - un RTU in statia (400)/220/110kV Resita a OTS prin care sa urmareasca pozitia intrerupatoarelor aferente LEA 220kV Timisoara circuitul 1LEA 220kV Timisoara circuitul 2,LEA 400kV Portile de Fier, celula 400kV Transformator 400/110kV, celula 110kV Transformator 400/110kV . celula 400kV Transformator 400/220kV si celula 220kV Transformator 400/220kV si prin sistem de comunicatie dedicat, prin GSM, in cazul deconectarii oricaruia dintre aceste intreruptoare, sa se dea comanda pana la CEF Resita de reducere a puterii debitate la o valoarea 0MW. - un RTU in statia (400)/220/110kV Portile de Fier a OTS prin care sa urmareasca pozitia intrerupatoarelor aferente - LEA 400kV Resita -Valoarea lucrarilor necesare pentru implementarea limitarilor operationale si care se vor executa in instalatiile OTS este de 632.650 lei + TVA Intrucat clientul a optat pentru limitari operationale atunci el nu trebuie sa finanteze lucrarile de intarire. Pierderea comunicatiei sau orice eroare a de comunicatie conduce la deconectarea CEF Resita. Utilizatorul nu poate solicita si primi de la operatorul de re?ea desp?gubiri pentru energia electric? ce nu a fost produs? ?i livrat? în re?ea pe perioada limit?rii.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apari?ia de suprasarcini în re?ea ?i, în consecin??, imposibilitatea elementelor re?elei r?mase în func?iune ?i a re?elei în ansamblul ei de a func?iona pe timp nelimitat în aceste condi?ii si va limita operational puterea maxima ce poate fi evacuata de centrala in retea. In situatia in care comunicatia prin GSM (minim 4G) nu va asigura timpii de deconectare conform normativelor in vigoare de la ladata PIF a centralei, calea de comunicatie se va asigura prin fibra optica ale carei costuri de instalare si mentenanta se vor asigura de catre beneficiarul CEF Resita.</t>
  </si>
  <si>
    <t>SC GLYPTODON SRL</t>
  </si>
  <si>
    <t>PARC FOTOVOLTAIC,INSTALATIE STOCARE,STATIE DE TRANSFORMARE,IMPREJMUIRE</t>
  </si>
  <si>
    <t>LEA 110KV SACALAZ-SATCHINEZ</t>
  </si>
  <si>
    <t>EUROPEAN AMERICAN INVESTMENT GROUP SRL</t>
  </si>
  <si>
    <t>Construire Centrala Electrica Fotovoltaica si Racordare la SEN</t>
  </si>
  <si>
    <t>A20 VINGA-ORTISOARA AR</t>
  </si>
  <si>
    <t>HAMILTON CENTRAL EUROPE S.R.L.</t>
  </si>
  <si>
    <t>cladire administrativa, productie si logistica</t>
  </si>
  <si>
    <t>Conform lucrarii : 44/2023 - studiu de solutie-elaborat de S.C. CONS ELECTRIFICAREA INSTAL S.R.L, avizat de E-Distributie Banat SA cu Aviz CTE nr. 57/01/25.07.2023,  tinand seama de situatia energetica din zona precum si de datele solicitate de utilizator  Racordarea la SEN se va face prin Alimentare prin cablu 20kV direct din statia 110/20 kV COVACI, cu realizarea urmatoarelor lucrari : I.Lucrari pe Tarif de Racordare : - montare celula 20kV compatibila cu cele existente, prevăzută cu 2 reductori de curent 300/5A pe bara rosie - 20kV in statia COVACI, montare dulap pentru măsura energie in stație, si realizarea circuitelor secundare pentru conexiune intre reductorii de curent si dulapul de măsura. - canalizare subterană de 20 kV cu cablu Al 3x185 mmp în lugime de cca. 5,21 km cu traseul de la celula proiectata în staţia 110/20 kV Covaci până la punctul de conexiune de 20 kV proiectat in incinta utilizatorului cu acces din domeniul public - PC 20 kV proiectat in anvelopa de beton amplasat pe teritoriul beneficiarului cu acces din domeniul public echipata cu: • 1 celula de linie motorizate 24 kV, 400A, 16 kA cu separator de sarcina in SF6 • o celula de masura -1UT cu separator si grup de masura format din două transformatoare de tensiune 20/0,1 kV, clasa de precizie 0,5 şi două transformatoare de curent de 400/5A, clasa de precizie 0,2S si contor electronic trifazat static (afisaj LCD), In=5(6)A , Un=3x100/57V, clasa de precizie 0,5 dotate cu curba de sarcina si interfata de comunicatie RS 232 si modul comunicatie GSM amplasat intr-o cutie de masura; cutia de masura se va amplasa intr-o nisa cu posibilitatea vizualizarii atat de catre E-Distributie cat si de catre beneficiar ; Contorul si montarea lui precum si realizare telecontrolului in punctul de conexiune 20 kV prin montarea de RGDAT, UP, modem, TSA si antena se va suporta si executa de catre Operatorul de Distributie. Tensiunea 0,4 kV necesara telecontrolului va fi asigurata din instalatiile beneficiarului. Punctul de conexiune 20 kV va fi in anvelopa de beton amplasat la limita proprietatii, cu acces din domeniu public si va fi alcatuit din doua incaperi cu acces separat fiecare: una cu acces numai pentru personalul E-Distributie Banat SA (compartiment de racordare) iar cealalta cu acces pentru utilizator (compartiment utilizator). Incaperea in care se vor monta echipamentele E-Distributie Banat SA va fi pusa la dispozitie de catre beneficiar. II. Lucrari ce se realizeaza prin grija beneficiarului: - Anvelopa de beton compusa din doua incaperi cu acces separat fiecare, o incapere fiind pentru montarea echipamentelor 20 KV Enel (compartiment racordare). Compartimentul de racordare va fi cu actionarea echipamentelor din interior si cu acces direct din exterior, va avea caracteristici minime echivalente cu cele prevazute in prescriptiile NTE Enel si un gabarit care sa permita montarea echipamentelor instalatiei de racordare si a inca unei celule de MT; - LES 20 kV cat mai scurta posibil (l≤ 20 m), cu cablu de cupru desectiune minima 95 mmp, intre celula de masura din compartimentul de racordare si celula de racord cablu a celulei cu intrerupator din compartimentul utilizatorului - celula sosire cu intrerupator general automat si separator(intrerupator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E- DISTRIBUTIE BANAT Aceste celule vor fi amplasate in compartimentul utilizatorului, amplasat in anvelopa de beton, langa compartimentul cu instalatiile E-Distributie Banat SA. - instalatie de iluminat si o priza 230V in compartimentul de racordare - realizarea unei prize de Pamant cu Rp&lt;4 ohmi la punctul de conexiune. - posturi de transformare aferente puterii solicitate.</t>
  </si>
  <si>
    <t>Lucrari executate cf ATR 11298995 .Nu sunt necesare alte lucrari.</t>
  </si>
  <si>
    <t>Fiind postul abonatului, iar delimitarea fiind pe barele de medie tensiune, instalatiei este executata conform ATR 11136126 celula de masura existenta corespunde din punct de vedere tehnic noii puteri solicitate, iar transofmatorul fiind al abonatului revine in sarcina acestuia de al inlocui daca este cazul.</t>
  </si>
  <si>
    <t>I. Consta într-un PC 20kV pus la dispozitie de catre beneficiar, cu masura MT racordat la LES 20 kV nr. 2 - FRATELIA intre T41749 si T21720, cu realizarea urmatoarelor lucrari: - secționare LES 20 kV nr. 2 Fratelia și manșonare cu LES 20 kV nou proiectat; - pozare două LES 20 kV nou proiectate,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in lungime de cca. 2x36 (din care 2x17m foraj drum, 2x10m rezerva in PC, 2x2m rezerva la manson, si 2x7m pozat in zona verde), intre mansoanele proiectate si PC 20 kV amplasat pe terenul beneficiarului. Cablul se va poza in sapatura deschisa la o adincime de 0.8-1 m, protejat in tub de polietilena reticulara, acoperit cu un strat de nisip de 20 cm masurat de la partea superioara a tubului, semnalizat cu benzi avertizoare cf. DS4235RO si DS4247RO. - Punct de Conexiune amplasat pe terenul beneficiarului care se va echipa cu: - doua celule de linie motorizate 24 kV, 630 A, 16 kA cu separator de sarcină în SF6 conf. DY803/2- LE ed. 3; - o celula de masura conf. DY803M/4-1UT cu separator si grup de masura format din doua transformatoare de tensiune 20/0,1 kV, clasa de precizie 0,5 conform DMI031015 RO,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sunt amplasate instalaţiile de racordare, trebuie să fie cu acţionare din interior.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Enel. - montare termo higrostat cf. FT169MAT-ED.01 si a sistemului de incalzire pentru celulele MT cf. FT170MAT-ED.01. - Integrare in telecontrol echipamente din PC 20 kV proiectat prin montarea unui tablou pentru alimentare servicii auxiliare DY 3016 RO, Unitate periferica DX 1215 RO cu doi acumulatori DY 815 RO, modul GSM DX1226RO si antena DN 760, RG-DAT. INTERNALINTER NAL II. Lucrări finanţate de beneficiar, realizate prin grija lui, ce devin proprietatea acestuia, conform Ordin nr. 59/2013: 1) Anvelopa PC de 20 kV realizata cu 2 compartimente cu acces separat (compartiment de racordare ptr acces personal Enel si compartiment utilizator ptr acces utilizator). 2) LES 20 kV cîtmai scurtă posibil (l≤20m), cu cablu de cupru de secţiune minimă 95 mmp, între celula de măsură din compartimentul de racordare şi celula cu înterupător din compartimentul utilizatorului 3) Celulă sosire cu un separator tripolar şi a unui întrerupător automat fix (sau numai un întrerupător automat debroşabil) în compartimentul utilizatorului. Întrerupătorul va fi obligatoriu prevăzut cu sistem de protecţie generală maximală de curent şi împotriva defectelor de punere la pămînt, cu reglajul corelat cu celelalte protecţii din instalaţiile SC E-Distribuţie Banat SA-Zona MT/jt Timisoara 4) Instalaţia de iluminat interior, prize şi instalaţia de legare la pământ a clădirii punctului de conexiune Măsurarea energiei electrice se va face la MT, cu contor electronic trifazat 2x100V, 5A, clasa de precizie 0.5S, cu curbă de sarcină, cu interfaţă serială RS232, cu sistem de teletransmisie, în montaj indirect (TT 20/0,1kV conform DMI031015 RO, clasa precizie 0,5, TC 400/5A conform DMI 031052 RO ED.02 , clasa precizie 0.2S, cordon de conectare grup de măsurare conform DMI031011 RO). 5) 1 buc trafo 20/0,4 kV 6) Realizarea instalației de legare la pământ pentru noul PC, cu o rezistenta de maxim 4 ohmi.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Comisia Tehnică de Avizare a E- Distribuţie Banat SA – Zona Reţea MT/jt Timisoara .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</si>
  <si>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OPUS LAND DEVELOPMENT SA</t>
  </si>
  <si>
    <t>18077869</t>
  </si>
  <si>
    <t>WILLOW RESIDENTIAL S.R.L.</t>
  </si>
  <si>
    <t>Alimentare cu energie electrica imobil locuinte colective - Bloc C3</t>
  </si>
  <si>
    <t>14975569</t>
  </si>
  <si>
    <t>ROMPAY NETWORK SRL</t>
  </si>
  <si>
    <t>110/20/6kV FAI</t>
  </si>
  <si>
    <t>spor putere de la 800kW la 1600kW</t>
  </si>
  <si>
    <t>SOLARITY SRL</t>
  </si>
  <si>
    <t>Ax 20 kV Apa Crângu Ursului – LEA 20 kV Ciorăști – stația 110/20/6 kV Râmnicu Sărat</t>
  </si>
  <si>
    <t>SOCERAM SA</t>
  </si>
  <si>
    <t>MN11934</t>
  </si>
  <si>
    <t>SC TRANSILVANIA WIND SRL</t>
  </si>
  <si>
    <t>LEA 110kV Munteni – Huedin</t>
  </si>
  <si>
    <t>ALPINFAM SRL</t>
  </si>
  <si>
    <t>LES 20 KV ORADEA N-MATEI CORVIN 2 EXT</t>
  </si>
  <si>
    <t>TRANSENERGY NEXT INVEST SRL</t>
  </si>
  <si>
    <t>CEF+ stocare</t>
  </si>
  <si>
    <t>statia 110/20 KV Marghita</t>
  </si>
  <si>
    <t>CLUJ INNOVATION PARK SA</t>
  </si>
  <si>
    <t>LES MT, LES 20 KV NORD - REAL 1</t>
  </si>
  <si>
    <t>SPITALUL JUDETEAN DE URGENTA VASLUI</t>
  </si>
  <si>
    <t>110/20kV Delea</t>
  </si>
  <si>
    <t>cerere de CR in prelucrare</t>
  </si>
  <si>
    <t>BRIKSTON CONSTRUCTION SOLUTIONS S.A.</t>
  </si>
  <si>
    <t>Distribuitorul 20 kV (Linia 20 kV Oras 1 si Linia 20 kV 7 Noiembrie) al Statiei 110/20 kV Sighisoara</t>
  </si>
  <si>
    <t>SC SUN COVASNA SRL</t>
  </si>
  <si>
    <t>LEA 110 kV Targu Secuiesc - Covasna</t>
  </si>
  <si>
    <t>R112678</t>
  </si>
  <si>
    <t>14.12.2010</t>
  </si>
  <si>
    <t>MN 12680</t>
  </si>
  <si>
    <t>R113893</t>
  </si>
  <si>
    <t>13.12.2011</t>
  </si>
  <si>
    <t>MN13630</t>
  </si>
  <si>
    <t>MN15531</t>
  </si>
  <si>
    <t>MN15526</t>
  </si>
  <si>
    <t>MN15530</t>
  </si>
  <si>
    <t>MN4612</t>
  </si>
  <si>
    <t>MN8544</t>
  </si>
  <si>
    <t>Celula trafo 110kV , transformator nou 110/20kV nou 25MVA,montare celula trafo noua pe sectia A - 20kV in Statia Bujoru.</t>
  </si>
  <si>
    <t>MN9733</t>
  </si>
  <si>
    <t>DAM ECO ENERGY SRL</t>
  </si>
  <si>
    <t>LEA 20 KV VANATORI - FRUMUSITA</t>
  </si>
  <si>
    <t>FORJA NEPTUN SRL</t>
  </si>
  <si>
    <t>BAICOI</t>
  </si>
  <si>
    <t>BARA 20 KV MOVILA VULPII BARA 20 KV PT 2071 REPUBLICII (3,5 MW), ST. MOVILA VULPII 110/20 KV</t>
  </si>
  <si>
    <t>MN 11435</t>
  </si>
  <si>
    <t>07.10.2022</t>
  </si>
  <si>
    <t>MN12579</t>
  </si>
  <si>
    <t>R103444</t>
  </si>
  <si>
    <t>MN9532</t>
  </si>
  <si>
    <t>30.08.2022</t>
  </si>
  <si>
    <t>MN12448</t>
  </si>
  <si>
    <t>MN 4333</t>
  </si>
  <si>
    <t>11.05.2022</t>
  </si>
  <si>
    <t>MN 9545</t>
  </si>
  <si>
    <t>MN1241</t>
  </si>
  <si>
    <t>MN5531</t>
  </si>
  <si>
    <t>MN6174</t>
  </si>
  <si>
    <t>MN 11224</t>
  </si>
  <si>
    <t>05.10.2022</t>
  </si>
  <si>
    <t>MN11826</t>
  </si>
  <si>
    <t>MN11975</t>
  </si>
  <si>
    <t>17.10.2022</t>
  </si>
  <si>
    <t>MN3004</t>
  </si>
  <si>
    <t>MN13267</t>
  </si>
  <si>
    <t>11.11.2022</t>
  </si>
  <si>
    <t>MUNICIPIUL ZALAU</t>
  </si>
  <si>
    <t>LES 20 kV existent intre PTZ Epurare si LEA 20 kV Sarmasag</t>
  </si>
  <si>
    <t>LEA 20 KV - MARGHITA - POCLUSA</t>
  </si>
  <si>
    <t>TN15206</t>
  </si>
  <si>
    <t>TN2607</t>
  </si>
  <si>
    <t>TN11958</t>
  </si>
  <si>
    <t>TN9937</t>
  </si>
  <si>
    <t>TN14872</t>
  </si>
  <si>
    <t>TN16241</t>
  </si>
  <si>
    <t>TN13011</t>
  </si>
  <si>
    <t>TN5497</t>
  </si>
  <si>
    <t>TN17165</t>
  </si>
  <si>
    <t>TN6190</t>
  </si>
  <si>
    <t>TN13032</t>
  </si>
  <si>
    <t>TN10676</t>
  </si>
  <si>
    <t>TN10867</t>
  </si>
  <si>
    <t>TN10681</t>
  </si>
  <si>
    <t>TN15735</t>
  </si>
  <si>
    <t>TN17605</t>
  </si>
  <si>
    <t>TN20236</t>
  </si>
  <si>
    <t>TN17245</t>
  </si>
  <si>
    <t>TN10314</t>
  </si>
  <si>
    <t>TN11435</t>
  </si>
  <si>
    <t>TN20251</t>
  </si>
  <si>
    <t>17972765</t>
  </si>
  <si>
    <t>16234981</t>
  </si>
  <si>
    <t>09484402</t>
  </si>
  <si>
    <t>HORTIHAUS SRL</t>
  </si>
  <si>
    <t>CENTRALA ELECTRICA DE COGENERARE</t>
  </si>
  <si>
    <t>SATCHINEZ 110/20 KV</t>
  </si>
  <si>
    <t>11298545</t>
  </si>
  <si>
    <t>Lucrari de intarire comune determinate de necesitatea asigurarii conditiilor tehnice in vederea evacuarii puterii aprobate inclusiv pentru CCG Hortihaus 6,4 MW Biled: Calculul de regimuri permanente s-a realizat pornind de la schema normala de functionare a SEN. Realizarea lucr?rilor de înt?rire generale pentru respectarea criteriului cu N elemente in functiune in RED 110 kV din zona EDB. Avand in vedere aportul de curent capacitiv de 27,58A si respectiv curentul capacitiv total de 69,58A pe statia 110/20kV Satchinez se impune amplificarea grupului de tratare neutru din Statia 110/20 kV Satchinez. Evaluarea lucrarilor de intarire : Conform ordinului ANRE 87/2014 pentru modificarea ?i completarea Metodologiei de stabilire a tarifelor de racordare a utilizatorilor la re?elele electrice de interes public, aprobate prin Ordinul pre?edintelui Autorit??ii Na?ionale de Reglementare în Domeniul Energiei nr. 11/2014: - la articolul 10, alineatul (1) se modific? ?i voravea urm?torul cuprins: Art. 10 ? (1) Componenta Ti a tarifului de racordare este egal? cu valoarea minim? dintre: a) valoarea (Ti)SS a lucr?rilor de înt?rire necesare pentru crearea condi?iilor tehnice în vederea evacu?rii în re?ea a puterii aprobate pentru locul de producere/locul de consum ?i de producere în cauz?, stabilit? pe baz? de deviz general astfel: b) valoarea estimata a lucrarilor de intarire enuntate la pct.3 si pct.4 pe baza de indici conform art. 44 din Ordinul ANRE 11/2014 este de: (Ti) calcul = S evac* i5 unde: i5 = iMTA +iST110/MT [lei/MVA]; i5= 529 000 lei/MVA; i - tarif specific [lei/MVA]; Sevac=7,189 MVA- puterea aprobata pentru evacuare in retea la locul de producere sau la locul de consum si de producere respectiv [MVA]; (Ti)calcul = Sevac * i5= 7,189 MVA *529 000 lei = 3.802.981 lei fara TVA Lucr?rile pe tarif de racordare, au urm?toarea valoare: componenta Tideviz = 1.250.000 lei fara TVA conf. Deviz General. Prin urmare valoarea tarifului de înt?rire re?ea este: Ti= Min[ (Ti) calcul, (Ti)SS] = Min[ 3.802.981 lei; 1.250.000] = 1.250.000 lei fara TVA; Ti=1.250.000 lei fara TVA; Valoarea lucrarilor de intarire incluse in tariful de racordare este reprezentat de valoarea calculata pe baza de indici. Durata realizare pentru lucrarile de intarire necesare in RED este de : 1 bucx10luni*22zile =220 zile lucratoare.</t>
  </si>
  <si>
    <t>NOUA CASA LOCUINTE SRL</t>
  </si>
  <si>
    <t>Construire ansamblu de locuinte colective cu SAD la parter in regim maxim de inaltime D+P+6E+Er/Penthouse amenajari exterioare</t>
  </si>
  <si>
    <t xml:space="preserve"> Consta într-un PTanvelopa 20/0,4kV, racordat in cablu 20KV, LES 20KV 11 DUMBRAVITA INTRE T51997 si T51788, cu realizarea urmatoarelor lucrari: -Se intercepteaza cablu 20KV, LES 20KV 11 DUMBRAVITA INTRE T51997 si T51788 prin 2 seturi de mansoane (cf. GSCC004 REV.03); -Se va poza (in domeniul public) un cablu de medie tensiune tripolar cu elice vizibila pentru montare subterana, izolat in polietilena reticulara de grosime redusa, Al 3x1x185 mmp, cu ecran in tub de aluminiu sub invelis de PVC sau PE (cf. GSC001 REV.05), in lungime de 2x34m (din care 6m subtraversare prin foraj drum asfaltat, 3m rezerva la manson, 10m in postul de transformare, restul in zona verde) pana la postul de transformare 20/0,4kV proiectat. -Cablul se va poza in sapatura deschisa la o adincime de 0.8-1 m, protejat in tub de polietilena reticulara, acoperit cu un strat de nisip de 20 cm masurat de la partea superioara a tubului, semnalizat cu benzi avertizoare cf. DS4235RO si DS4247RO. - post de transformare (PT) in anvelopa, 20/0,4 kV-2x630kVA, cu gabarit pentru trafo de 2x630 kVA, (cf. DG 2092RO), echipat cu: - 2 buc celula linie 24 kV, 630A, Isc=16 kA, cu separator de sarcina in SF6 (cf. DY 803/2), telecontrolate; PT trebuie sa permita o dezvoltare ulterioara cu inca o celula de linie; - 2 buc. celula trafo cu separator de sarcina in SF6 si sigurante (cf. DY 803/3); - 2 buc. transformator 20/0,4 kV-630kVA cu pierderi reduse (cf. GST 001RO); - tablou JT: pe trafo 1 se vor monta 2 tablouri jt in care se vor racorda apartamentele corp A, corp B, consumatorii vitali, subsol A+B, exterior, iar pe trafo 2 se va monta 2 tablou jt in care se vor racorda apartamentele corp C si corp D, subsol C+D, parcare ext., tablou cu doua iesiri (cf.DY3009RO) echipat cu intrerupatore tetrapolare automate JT, 350A(cf.DY3101RO)-8 buc.; - instalatie completa de iluminat interior/exterior si prize, tablou electric pentru servicii auxiliare, instalatie deiluminat si o priza bipolara cu întrerupator 16 A - 230 V cu siguranta automata; - montare echipamente de telecontrol cf. specificatiilor Enel ( UP standard pentru PT cf. DX1215RO, modul GSM cf. DX1226RO, antena cf. DN760RO, acumulatori cf. DY815RO) - rezistente in celulele MT (FT 170 MAT ED.01) – 4buc. si termohigrostat in PT (FT169 MAT-ED.01) – 4buc.; - PT va fi amplasat astfel incat accesul in PT sa fie direct din domeniul public; - legatura electrica intre bornele trafo si tabloul JT se va realiza cu cablu unipolar de Cu cu sectiunea de 240 mmp (cf. GSC001 REV.05), lungime 8x(4x8)m;  - montare firida de distributie din poliester armat cu fibra de sticla, cu separatoare cu MPR, cu actionare pol cu pol si bare de cupru stanat, piulita fixata in bara, sistem de fixare cu coliere a cablurilor, cu soclu incastrat in beton, amplasate in domeniu public, in zona verde si prevazut cu o priza de pamant de maxim 4 ohmi –E2+6(echipata E2+4)- 8buc.; - legatura electrica intre intrerupatorul tetrapolar automat JT, 350A din postul de transformare (PT) proiectat si firida de distributie stradala se va realiza cu cablu tetrapolar cu elice vizibila cu conductoare Al 3x240+150Nmmp , izolate cu cauciuc sub manta de PVC (cf. DC4146RO GSC001 REV.05), lungime totala de 1040m, protejat in tub (cf. DS 4237 RO) pe toata lungimea, prevazut in PT cu adaptori pentru scurtcircuitoare; - montarea tabloului de distributie si contorizare tip TDC (cf. FT-264_MAT) in sistem radial, amplasate pe soclu; - compartimentul de alimentare al TDC va fi echipat cu unul sau doua separatoare de 80A, (cf. FT-135_MAT) cate un separator 80A pentru fiecare grup de 12 contoare, prevazut cu adaptori pentru scurtcircuitoare; -tabloul vor fi de tip TDC(20MF)-14buc, TDC(9MF+3TF)-3buc, TDC(9MF+2TF)-1buc; - TDC se vor echipa cu intrerupatoare automate bipolare fixe de 40A, intrerupatoare automate tetrapolare fixe de 40A; - BMPTi 160A, TC 250/5A cls. 0.5s FT 133- 4buc; - legatura electrica intre firida de distributie stradala si TDC, se va realiza cu cablu JT Al 3x50+25Cmmp (cf. DC 4126RO GSCC014), lungime totala de 1206m,( protejat in tub (cf.DS 4237RO) pe toata lungimea; - legatura electrica intre firida de distributie stradala si BMPTi, se va realiza cu cablu JT Al 3x95+35Cmmp (cf. DC 4126RO GSCC014), lungime totala de 590m,( protejat in tub (cf.DS 4237RO) pe toata lungimea; - TDC, BMPTi proiectate se vor lega la prize de pamant de potential maxim 4 ohmi, realizata prin grija beneficiarului. - In cazul in care instalatia de racordare si/sau deviere ocupa/traverseaza terenuri private se vor constitui/recunoaste drepturile reale de superficie/uz si servitute, dupa caz, in favoarea Enel, aferente imobilelor afectate de instalatia de racordare/capacitatile deviate. - Materialele si echipamentele care se utilizeaza la realizarea instalatiei trebuie sa fie noi si conforme cu cerintele din specificatiile tehnice unificate ENEL. Celelalte materiale si echipamente pentru care nu sunt elaborate specificatii tehnice unificate, trebuie sa fie noi, compatibile cu starea tehnica a instalatiei, sa indeplineasca cerintele specifice de fiabilitate si siguranta.</t>
  </si>
  <si>
    <t>RO005E522090326 / 1</t>
  </si>
  <si>
    <t>TITAN POWER SA</t>
  </si>
  <si>
    <t>Centrala cogenerare inalta eficienta pe amplasamentul CET Titan Bucuresti</t>
  </si>
  <si>
    <t>TITAN 110/10/6KV</t>
  </si>
  <si>
    <t>Conform aviz CTES nr. 352/2023 si conform aviz CTE nr. 48/5/07.07.2023- Faza studiu de solutie si anume:
Racordare directa pe secțiille de bare A și B de 110 kV a stației 110/10/6 kV Titan
Solutia de racordare unica analizata in cadrul studiului de solutie este racordare directa pe secțiille de bare A și B de 110 kV a stației 110/10/6 kV Titan printr-o furcă cu două separatoare de bare, întreruptor și separator de linie (construcție AIS) care permite conectarea noului obiectiv energetic, fie la secția de bare A, fie la secția de bare B, fiind asigurată redundanța în evacuarea puterii din centrala CHPP Titan și fiind îmbunătățită siguranța și securitatea în funcționare.
Punctul de racordare: la nivel de tensiune 110 kV , barele 10kV din statia 110kV TITAN
Punctul de delimitare: la nivel de tensiune 110 kV respectiv la capete terminale ale cablurilor plecare spre statia 110/15kV Utilizator
Punctul de măsurare:la nivelul de tensiune de 110 kV, in celule 110 kV masura, plecare spre statia 110/15kV utilizator
a) Lucrari pe tarif de racordare
Extindere stație 110 kV Titan, secția de bare A, respectiv secția de bare B cu un pas celular de 110 kV;
➢ Celulă de linie 110 kV (construcție AIS) masura plecare spre utilizator echipată cu:
▪ 2 x separatoare de bare 123 kV 1600 A echipate cu CLP;
▪ 1 x întreruptor 145 kV ,2000A, 40 kA;
▪ 1 x separator de linie 123 kV 1600 A echipat cu doua CLP-uri;
▪ 3 transformatoare de măsură de curent TC 0.2S/5P30/5P30, 400/5/1/1A
▪ 3 transformatoare de măsură de tensiune TT 123 kV cl. 0.2/5P/5P, 123.000/ √3/0.1/√3/0.1/√3/0.1 kV
➢ Celula de cuplă longitudinală de tip PASS echipată cu:
▪ 2 x Separator de sarcină 123 kV 1600 A cu CLP;
▪ 1 x Întreruptor 145 kV 2000 A / 40 kA;
▪ 3x transformatoare de măsură de curent 2x400/5/1/1A;
▪ Integrare celulă LES 110 kV CHPP Titan în serviciile și automatizările stației de 110 kV Titan
▪ Montare analizor pentru monitorizarea calității energiei electric.
Contorul se va achizitiona si monta de catre OD.
Materialele si echipamentele care se utilizeaza la realizarea instalatiei trebuie sa fie noi, omologate sau certificate, dupa caz, daca acest lucru este prevazut in specificatiile tehnice unificate, in conformitate cu procedurile aplicabile in grup ENEL si E-Distributie. Celelalte materiale si echipamente, pentru care nu sunt elaborate specificatii tehnice unificate, trebuie sa fie noi, compatibile cu starea tehnica a instalatiei, sa indeplineasca cerintele specifice de fiabilitate si siguranta.
b) Lucrări finanţate de beneficiar:
- realizare racord 110 kV (inclusiv FO) in lungime de 1,3km intre celula noua 110 kV din statia de conexiune pana in statia de transformare aferenta aferenta utilizatorului;
- statie de transformare 110 kV/15kV-63MVA aferentă utilizator, inclusiv celula 110 kV intrerupator (cu rol de dispozitiv general, dispozitiv de interfata cu protectiile aferente);
-conexiune 15kV cu ceula trafo complet echipata si • 5 x celule generator 15 kV - ABB_24kV_Unigear ZS1
- realizare cai de comunicatie de la instalatiile de monitorizare si instalatiile de reglaj secundar ale noii centrale pana la interfata cu Transelectrica;
- montare analizor pentru monitorizarea calitatii energiei electrice;
- integrarea dispozitivului general in sistemul de telecontrol al OD pentru transmitere pozitie intrerupator Utilizatorul are obligatia sa achizioneze si sa monteze cate o cutie/carcasa corespunzatoare, destinata exclusiv montarii contorului/grupului de masurare pentru energia electrica produsa, conform art. 45 alin. 1 lit. a1 din Legea energiei electrice si a gazelor naturale nr. 123/2012, cu modificarile si completarile ulterioare.</t>
  </si>
  <si>
    <t>RO001E131382149/2</t>
  </si>
  <si>
    <t>RO001E143137464/2</t>
  </si>
  <si>
    <t>09426988</t>
  </si>
  <si>
    <t>LEROY MERLIN ROMANIA SRL</t>
  </si>
  <si>
    <t>Leroy Merlin</t>
  </si>
  <si>
    <t>08807205</t>
  </si>
  <si>
    <t>Spatiu Birouri</t>
  </si>
  <si>
    <t>17717017</t>
  </si>
  <si>
    <t>WLC EXPERT SERVICES SRL</t>
  </si>
  <si>
    <t>STATII DE INCARCARE</t>
  </si>
  <si>
    <t>17940115</t>
  </si>
  <si>
    <t>SPITAL-CENTRU DE ARSI</t>
  </si>
  <si>
    <t>18112831</t>
  </si>
  <si>
    <t>MAGAZIN COMERCIAL</t>
  </si>
  <si>
    <t>18147347</t>
  </si>
  <si>
    <t>RO001E142096412/3</t>
  </si>
  <si>
    <t>16036278</t>
  </si>
  <si>
    <t>1005259069</t>
  </si>
  <si>
    <t>SC SAFIR SRL</t>
  </si>
  <si>
    <t>110/20kV Rosiesti</t>
  </si>
  <si>
    <t>spor putere de la 690kW la 1328kW</t>
  </si>
  <si>
    <t xml:space="preserve">construirea unui punct de conexiune amplasat cat mai aproape de punctul de racordare, racordat in sistem intrare - iesire in LEA 20 kV nr. 92.20 alimentată din staţia de transformare 110/20 kV Marmura, inainte de stalpul cu separatorul sectionare SS 913. </t>
  </si>
  <si>
    <t xml:space="preserve">	Rompetrol Energy</t>
  </si>
  <si>
    <t>Centrala electrica in cogenerare+CEF</t>
  </si>
  <si>
    <t>15/2/2023</t>
  </si>
  <si>
    <t>09564246</t>
  </si>
  <si>
    <t>Conform lucrarii 470/2020, Studiu de solutie, septembrie 2020-Varianta 1-aleasa de utilizator prin adresa nr.108872/19.03.2021, elaborat  de E-Distributie Banat SA si avizata de TRANSELECTRICA SA cu documentul Aviz CTES nr.232/2020 si de E-Distributie Banat SA cu aviz CTE nr.3/15/24.09.2020:</t>
  </si>
  <si>
    <t>Conform L.8680/2019-1-S0108387-D0, studiu de solutie, septembrie 2020-Varianta 1-racordare intrare-ieşire în LEA 110kV Vulcan - Livezeni -aleasa de utilizator prin adresa nr.103304/02.02.2021, elaborat  de SC ISPE SA si avizata de TRANSELECTRICA SA cu documentul Aviz CTES nr.214/2020 si de E-Distributie Banat SA cu aviz CTE nr.1/14/17.09.2020:</t>
  </si>
  <si>
    <t>KHR SOLAR ONE S.R.L. ( fost VOISAN IONUT-MARIUS)</t>
  </si>
  <si>
    <t>BRENTFORD SOLAR SRL ( fost FAGET SOLAR SRL)</t>
  </si>
  <si>
    <t>19/37720              44/32118</t>
  </si>
  <si>
    <t>26.08.2022          05.07.2023</t>
  </si>
  <si>
    <t>SC RARAUL SA</t>
  </si>
  <si>
    <t>110/20KkV Campulung</t>
  </si>
  <si>
    <t>spor putere de 490kW la 1300kW</t>
  </si>
  <si>
    <t>SC BARLETA SRL</t>
  </si>
  <si>
    <t>110/20 kV BALCESCU</t>
  </si>
  <si>
    <t xml:space="preserve"> integrarea SCADA a echipamentelor din modul de conexiune in anvelopa de beton MCAv,</t>
  </si>
  <si>
    <t xml:space="preserve">	
STATIE POMPARE</t>
  </si>
  <si>
    <t>MIRCEA VODA</t>
  </si>
  <si>
    <t xml:space="preserve">	
02/10/2023</t>
  </si>
  <si>
    <t xml:space="preserve">	
U. M.01837 Mihail Kogalniceanu</t>
  </si>
  <si>
    <t>INFRASTRUCTURA BAZA AERIANA</t>
  </si>
  <si>
    <t>SITORMAN</t>
  </si>
  <si>
    <t xml:space="preserve">	
06/10/2023</t>
  </si>
  <si>
    <t>HALA PRODUCTIE SI DEPOZITARE - B3</t>
  </si>
  <si>
    <t xml:space="preserve">	
PETROL SUD</t>
  </si>
  <si>
    <t xml:space="preserve">	
12/10/2023</t>
  </si>
  <si>
    <t xml:space="preserve">	
Modernizare infrastructura - substatie port CTA</t>
  </si>
  <si>
    <t xml:space="preserve">	
PORT 2</t>
  </si>
  <si>
    <t xml:space="preserve">	
09/10/2023</t>
  </si>
  <si>
    <t>Cerere racordare CHE Carnesti 2</t>
  </si>
  <si>
    <t>LEA 110KV CIRNESTI-CHE CIRNESTI 2</t>
  </si>
  <si>
    <t>Cerere racordare CHE Carnesti 1</t>
  </si>
  <si>
    <t>LEA 110KV CIRNESTI-CHE CIRNESTI 1</t>
  </si>
  <si>
    <t>CHE Ostrovu Mare</t>
  </si>
  <si>
    <t>LEA 110KV RETEZAT-CARNESTI CIRC 1</t>
  </si>
  <si>
    <t>Cerere racordare CHE Ostrovu Mic</t>
  </si>
  <si>
    <t>LEA 110KV RETEZAT-CARNESTI CIRC 2</t>
  </si>
  <si>
    <t>Cerere racordare CHE Clopotiva</t>
  </si>
  <si>
    <t>LEA 110KV BARU MARE-RETEZAT-CHE CLOPOTIV</t>
  </si>
  <si>
    <t>RAILEANU SILVIA INTREPRINDERE INDIVIDUAL</t>
  </si>
  <si>
    <t>SERA , CLADIRE BIROURI si CENTRALA ELECTRICA PE GAZE</t>
  </si>
  <si>
    <t>A20 BILED-CARPINIS TM</t>
  </si>
  <si>
    <t>CONSILIUL JUDETEAN HUNEDOARA</t>
  </si>
  <si>
    <t>depou</t>
  </si>
  <si>
    <t>Punct de conexiune racordat la LES 20 kV intre stalpul nr. 17 si celula MT din statia Vulcan - Circuit L2 Caprisoara-Vulcan, cu realizarea urmatoarelor lucrari: - interceptare, sectionare, mansonare cablu existent si montare cablu 2x3x(1x185)Almmp, în lungime de 560 m (80 m drum auto pamant, 100 m drum auto asfalt, 100 m pavaj - DC 4385/2 RO), pozat in tub PVC (DC 4235 RO si DS 4247 RO); - realizare punct de conexiune cu 2 compartimente (de racordare si de utilizator - unul pentru instalatiile electrice din E-DISTRIBUTIE Banat SA si unul pentru instalatiile electrice ale consumatorului), cu urmatoarea componenta : 2 celule de linie de medie tensiune extensibile (DY 803/416), 1 celula de masura echipata cu separator de sarcina (izolatie in SF6) si CLP (DY 803/316 ed. 2), 2 transformatoare de tensiune 20/0,1 kV (DY 4141/3 RO), 2 transformatoare de curent avand raportul de transformare 50/5 A, cls. 0.5S (conform DMI 031052 RO); - masurarea consumului de energie electrica se va face prin contorul electronic de energie electrica trifazat 3*57/100 V, valori nominale curent: In=5-6 A, clasa de precizie 0,5S%, conexiune indirecta. Lucrari finantate de beneficiar ce devin proprietatea acestuia : - constructia cu 2 compartimente (unul pentru instalatiile electrice din gestiunea E-DISTRIBUTIE Banat SA cu dimensiuni interne de cel putin 2 ,5*2,5*2,4 (l*L*h) m) si unul pentru instalatiile electrice ale consumatorului a) cabina în anvelopă prefabricată sau în construcţie zidită va avea caracteristici structurale cel puţin echivalente cu cele din prescripţiile ENEL DG 10061RO b) cabina înglobată în constructie existenta (clădire civilă) trebuie să aibă caracteristicile structurale cel puţin echivalente cu cele din prescripţiile ENEL DG 2091 - celula de racord si celula cu întrerupator automat cu protectie generala maximala de curent si impotriva punerilor la pamant, montate in compartimentul utilizatorului; - LES 20 kV de Cu, sectiune minima de 95 mmp (L=10 m), inclusiv capetele terminale, între celula de masura si celula de sosire din compartimentul consumatorului. Daca nu se poate respecta aceasta conditie, se va monta celula cu intrerupator pe cablul de alimentare; - priza de pamant interioara si exterioara aferenta cladirii in care se monteaza echipamentele punctului de alimentare; - compartimentul ENEL va fi echipat cu instalatie de serviciu (iluminat si o priza electrica monofazata) care va fi alimentata din instalatia consumatorului prin grija acestuia; - accesul in compartimentul ENEL si la contorul de energie electrica se va realiza din domeniu public. • Utilizatorului ii incumba obligatia de a realiza prin finantare directa instalatia de utilizare aferenta obiectivului si de a depune dosarul instalatiei de utilizare (elaborat de un agent economic autorizat sau electrician autorizat ANRE), anterior realizarii instalatiei de alimentare cu energie electrica. • Tariful de racordare a fost calculat pe baza de deviz general conform HG 907/2016. • Este necesara obtinerea autorizatiei de construire pentru instalatia de racordare si avizare in CTE a proiectului tehnic. • Regimul juridic al terenului pe care urmeaza a fi amplasata instalatia de racordare va fi clarificat in cuprinsul certificatului de urbanism ce se va emite de Autoritatile competente in vederea edificarii instalatiei de racordare. In ipoteza amplasarii instalatiei de racordare pe/in imobile proprietate privata, utilizatorul va asigura recunoasterea cu titlu gratuit a drepturilor legale de uz servitute si dupa caz, constituirea dreptului de superficie, precum si inscrierea in cartea funciara relevanta a acestor drepturi. Incheierea contractului de executie pentru realizarea lucrarilor de racordare/deviere/intarire este conditionata de obtinerea autorizatiilor de construire aferente acestora, atat pentru ipoteza in care instalatia va afecta imobile proprietate publica, cat si pentru situatia in care aceasta va afecta imobile proprietate privata.</t>
  </si>
  <si>
    <t>cf L 7203/2021 - SS ?Racordarea la RED a obiectivului: sala polivalenta, comert si alimentatie publica, situat in localitatea Ghiroda, str. Sperantei, CF 410486, jud. Timis?-SOLUTIA 1-aleasa de utilizator prin adresa nr.110947/07.04.2021, elaborat de E-Distributie Banat SA si avizat de E-Distributie Banat SA cu avizul CTE nr.112/MT/10 / 11.03.2021, tinand cont de situatia energetica existenta precum si de solicitarea beneficiarului, alimentarea cu energie electrica a obiectivului consta din realizarea unui Punct de Conexiune de 20 kV cu delimitare si masura la medie tensiune, inseriat in LES 20 kV ? racord din stalpul 6A/1 al LEA 20 kV Ghiroda alimentata din statia 110/20 kV Padurea Verde, intre stalpul nr 6A/1 si P22304. PC de 20 kV va fi realizat cu 2 compartimente cu acces separat (compartiment de racordare ptr acces personal Enel si compartiment utilizator ptr acces utilizator). Cl?direa Punctului de Conexiune va fi pus? la dispozi?ie de beneficiar si se va amplasa pe terenul beneficiarului, pe cat posibil la limita de proprietate. Pentru realizarea solu?iei de alimentare cu energie electric? prezentate mai sus,este necesar? realizarea urm?toarelor lucr?ri: I.Lucr?ri finan?ate pe baza tarifului de racordare cf Ord 17/2021: ? realizare racord 20 kV intre punctul de racordare si punctul de conexiune: - sectionare LES m.t. existent pe str. Sperantei in zona SC ORACLE ENGINEERING SRL, conform planului de situatie anexat si mansonare cu LES mt proiectat, - pozare LES m.t. proiectat cu cablu tripolar de medie tensiune cu conductoare de Al, cu elice vizibila pentru montare subterana, izolat in polietilena reticulara de grosime redusa, cu ecran in tub de Al, sub invelis de PE, 3x(1x185) mmp (conform DC4385 RO), pozat in tub de protectie (conform DC4235 RO si DS 4247 RO) tronson in lungime de cca. 0,012 km, intre mansoanele m.t si Punctul de Conexiune proiectat prevazut pe terenul beneficiarului ? Montarea unui Punctul de Conexiune pe terenul beneficiarului care se va echipa cu: -2 celule de linie motorizate 24 kV, 630 A, 16 kA cu separator de sarcin? în SF6 conf. DY803/416- LE ed. 2 -loc ptr 1 celula de line 24 kV -o celula de masura conf. DY803M/316-1UT cu separator si grup de masura format din doua transformatoare de tensiune 20/0,1 kV, clasa de precizie 0,5 conform DMI031015 RO , 2 transformatoare de curent de 400/5A, conform DM031052 RO, clasa de precizie 0,2S si contor electronic trifazat static ( afisaj LCD), In = 5(6) A, Un = 3x100/57V, clasa de precizie 0,5 dotate cu curba de sarcina si interfata de comunicatie RS 232 si modul de comunicatie GSM amplasat intr-o cutie de masura; cutia de masura se va amplasa intr-o nisa cu posibilitatea vizualizarii atat de catre Enel cat si de catre beneficiar. Compartimentul în care sînt amplasate instala?iile de racordare, trebuie s? fie cu ac?ionare din interior. Compartimentul de racordare trebuie s? fie dotat cu o instala?ie de iluminat corespunz?toare ?i cu o priz? bipolar? cu întrerup?tor 16A-230V cu siguran?? fuzibil?, alimentate de la re?eaua de j.t. a clientului. Instala?ia de racordare con?ine echipamentele de manevr? ?i sec?ionare ale Enel. - termo higrostat ( FT169 MAT-ED.01) si sistem de incalzire ptr celulele mt ( FT 170 MAT ED.01) - echipamente pentru telecontrol : un tablou pentru alimentare servicii auxiliare DY 3016 RO, Unitate periferica DX 1215 RO cu doi acumulatori DY 815 RO, modul GSM DX1226RO si antena DN 760. II.Lucr?ri finan?ate de beneficiar, realizate prin grija lui, ce devin proprietatea acestuia: 1.Anvelopa PC de 20 kV realizata cu 2 compartimente cu acces separat (compartiment de racordare ptr acces personal Enel si compartiment utilizator ptr acces utilizator). Compartimentul de racordare va fi cu actionarea echipamentelor din interior si va avea caracteristici minime echivalente cu cele prevazute in Norma Tehnica Enel Ed. 3; 2.Realizare LES 20 kV cît mai scurt? posibil (l?20m), cu cablu de cupru de sec?iune minim? 95 mmp, între celula de m?sur? din compartimentul de racordare de 20 kV ?i celula de record cablu a celulei cu intrerupator din compartimentul utilizatorului 3.Celulele de sosire in compartimentul utilizatorului vor fi cu intrerupator general automat debrosabil/ intrerupator automat si separator. Întrerup?torul va fi obligatoriu prev?zut cu sistem de protec?ie general? maximal? de curent in trei trepte ( la scurtcircuit si la suprasarcina ) si protective homopolara de current in doua trepte, contra punerilor la pamant monofazate respective bifazate, c reglajul corelat cu celelalte protectii din intalatiile E-Distributie Banat SA. 4.Instalatie de iluminat si o priza bipolar? cu întrerup?tor 16A-230V 5.LES 20 kV intre punctul de conexiune si postul/posturile trafo montat la beneficiar 6.trafo 20/0,4 kV 7.Realizarea instala?iei de legare la p?mînt pentru noul PC, Rp, 4 ohmi Delimitarea de proiectare, gestiune si masurare între instala?iile distribuitorului ?i cele ale consumatorului este stabilita la nivelul de 20 kV, la capetele terminale de racordare a LES 20 kV plecare din compartimentul de racordare al PC proiectat spre compartimentul utilizatorului.</t>
  </si>
  <si>
    <t>RO005E522554219/ 1</t>
  </si>
  <si>
    <t>RO005E514236106/1</t>
  </si>
  <si>
    <t>Centrala electrica CEF 2.5MWp</t>
  </si>
  <si>
    <t>S20 ANA ASLAN-OTOPENI IF</t>
  </si>
  <si>
    <t>Conform  CTE nr. 69/1/13.10.2023, faza studiu de solutie si anume:
Lucrarile pe tarif de tarif de racordare
PC 7793-LEA 20 kV Magura din statia Tancabesti
Lucrarile pe tarif de tarif de racordare
-inlocuirea unitatii periferice UP existenta cu UP 2020 LITE cu 16 porturi , si inlocuirea TC-urilor existenti cu reductori 400/5A cls. 02S in UTM conform standardelor E-DM. Contorul bidirectional de decontare se va achizitiona si monta prin grija EDM.
Lucrari ce se realizeaza prin grija beneficiarului:
PC 7780-LEA 20kV Ana Aslan din st.110/20kV Otopeni
Lucrarile pe tarif de tarif de racordare
-inlocuirea unitatii periferice UP existenta cu UP 2020 LITE cu 16 porturi conform standardelor E-DM
- demontarea celulei de masura existenta si montarea unei celule de masura motorizata unificata echipata 2xTC 400/5A clasa 0,2s si 2TT 20/0 ,1kV cl.0,5 Contorul bidirectional de decontare se va achizitiona si monta prin grija EDM
Lucrari prin grija utilizatorului ,,Beneficiarul, THERME, trebuie sa asigure sistemul de comunicaţii/transmisiede date compatibil cu sistemul DMS-SCADA in conformitate cu art. 173 şi 177 din Codul Tehnic al RET, prevederile Ordinului ANRE nr. 208/ 2018 si Ordinului ANRE nr. 233/ 2019 (cu modificarile si completarile ulterioare).
Atat in PC 7793 cat si PC 7780, Cladirea punctului de conexiune compartiment E-DM are in componeta celula sosire cu dispozitiv general automat debrosabil. ,,La fazele urmatoare de proiectare se vor verifica reglajele de Utilizator impreuna cu protectiile de dispozitiv General si anume:
• protecţie maximala de curent cel putin pe doua faze, cu trei trepte. Prima treapta se foloseste impotriva suprasarcinii, a doua pentru a permite o functionare temporizata si a treia pentru a permite o interventie rapida.
• protectie homopolară directionala cu doua trepte ( o treapta pentru punerile la pamant simple, si a doua treapta pentru duble puneri la pamant)
Avand in vedere ca utilizatorul se va racorda la nivelul te tensiune de 20 kV se necesita montare a 2x dispozitiv de interfaţă (1 Di pentru PC 7780, 1 DI 7793) în anvelopa utilizator nou proiectata, cu următoarele protecţii:
• protecţie maximală de tensiune netemporizată;
• protecţie minimală de tensiune temporizată in 2 trepte
• protecţie maximală/minimală de frecvenţă netemporizată;
• protecţie homopolară de tensiune temporizată;
• protectie maximala de tensiune mediata la 10min
• Sistem de management de sarcina care sa nu permita incarcarea IS din retea(conform solicitarii utilizatorului comunicata in cadrul sedintei de avizare)
Racordul dintre DI nou proiectat si PC compartiment utilizator se va realiza prin montarea unei celule de tip RC in compartiment PC Utilizator (Atat in PC 7780 cat si in PC 7793) Astfel este necesara pentru integrarea in sistemul de telecontrol/SCADA existent al E-DM si transmiterea urmatoarelor informatii CEF THERME :
-Puterea active P -Puterea reactiva Q -Tensiunea U din punctul de delimitare -Frecventa f -pozitie intreruptoare DI CEF 20 kV;
Utilizatorul va pune la dispozitie la fazele urmatoare de proiectare modalitatea de transmitere a datelor de producator in porturile 4-20 mA ale noilor UP-uri, si se va transmite Operatorului de Retea.
Se va prevede montarea unui TT nou atat in compartiment utilizator PC 7793 cat si in compartiment utilizator PC 7780.
In cazul defectiunilor releului atasat fiecarui dispozitiv de interfata sau in cazul lipsei alimentarii acestuia va fi declansat intrerupatorul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respectiv se va seta o rampa de crestere a puterii active la conectare de maxim 10% din Pmax.. Se vor asigura protectiile necesare pentru functionarea instalatiei beneficiarului, respective instalatiei Operatorului de Distributie. Modulele generatoare ale centralei vor fi monitorizate permanent din punct de vedere al calităţii energiei electrice în punctul de delimitare, atat pe durata testelor de verificare a conformității cu cerințele tehnice de racordare cat si in functionarea ulterioara, prin instalarea unui analizor de calitate a energiei electrice clasa A , in fiecare PC.
Serviciile interne ale parcului vor fi asigurate pe aceeasi cale de alimentare cu cea a consumatorului Therme (10 kW) – PC 7780 Serviciile interne ale parcului vor fi asigurate pe aceeasi cale de alimentare cu cea a consumatorului Therme (10 kW) – PC 7793.</t>
  </si>
  <si>
    <t>18329178</t>
  </si>
  <si>
    <t>CREVEDIA PROJECT ONE S.R.L.</t>
  </si>
  <si>
    <t>CEF Crevedia 40 MW</t>
  </si>
  <si>
    <t>BUFTEA 110KV/20KV</t>
  </si>
  <si>
    <t>Conform aviz CTE -EDM nr. 28/5/19.04.2023, aviz DEER nr. 10/221/151/06.06.2023, aviz CTES Transelectrica nr. 351/2023, varianta 2 ? Racordarea parcului fotovoltaic CEF 40MW Crevedia 2 la bara 110kV Buftea, prin intermediul unei celule 110kV, sectionarea barei de 110kV printr-o cupla longitudinala, LES 110kV in lungime de 9,5km ?i sta?ie de transformare 20/110kV nou proiectat? pentru CEF producator. Lucrari pe tarif de racordare- Realizare racord in antena pe bara 110kV statia 110/20kV Buftea In statia 110/20kV Buftea sunt necesare urmatoarele lucrari pentru racordare: - extindere bare 110kV si montare celula de 110 kV plecare spre utilizator echipat? complet cu întrerup?tor ?i grup de m?sur?(extinderea se va realiza in zona platformei actuale de depozitare; Platforma betonata pentru depozitare echipamente electrice se va reamplasa in incinta cladirii ce a fost folosita ca domiciliu pentru personalul de desemnare operare. Costurile pentru aceasta relocare vor fi suportate de catre Utilizator/ Producator si au fost cuprinse in tariful de racordare) - sectionare bara 110kV din statia Buftea printr-o cupla longitudinala echipata cu intrerupator si doua separatoare - celula 110kV cupla si celula 110kV plecare utilizator vor fi integrate în sistemul existent de circuite secundare, servicii interne ?i telecontrol; -Integrarea celulelor 110kV proiectate în sistemul de telecontrol se va realiza prin racordarea la TPT existent, servicii auxiliare c.a. ?i c.c. existente în sta?ie; se vor realiza toate lucr?rile necesare în vederea integr?rii noilor celule (parametrizarea RTU local, aplica?ii locale, servere, aplica?ii trepte dispecer ?i utilizatori, inclusiv teste); Cabluri noi j.t conform cerin?elor SCADA; Se va actualiza schema de selec?ie tensiuni, implementat? la nivelul sta?iei Buftea, prin integrarea terminalelor numerice aferente noii celule de racord a CEF Crevedia 2; - completare ?i adaptare instala?ie de legare la p?mânt ?i protec?ie la supratensiuni atmosferice; - extindere instala?ie iluminat exterior; - complet?ri ale dulapurilor de servicii interne c.c. ?i c.a. cu întrerup?toare pentru circuitele de alimentare ale celulei; - In camera de comand? se va monta un dulap pentru m?sur? si analizorul de calitate a energiei electrice. Echipamentul trebuie s? asigure în principal cerin?ele tehnice din specifica?iile E-Distributie; La fazele urmatoare de proiectare se vor corela lucrarile cu cele prevazute pentru CEF Crevedia 10MW pentru care este emis ATR. Lucrari prin grija utilizatorului: - realizare racord 110 kV (inclusiv FO) între celula nou? 110 kV din sta?ia de transformare Buftea pân? în sta?ia de transformare aferent? CEF 40MW CREVEDIA 2 in lungime de 9,5km ; - statie de transformare 110/MT aferenta CEF 40MW CREVEDIA 2 inclusiv celula 110 kV cu intreruptor (dispozitivul general, dispozitivul de interfata cu protectiile aferente); statia va fi echipata cu 1 transformator de 63 MVA, amplasata la cca 9,5km de statia Buftea - realizare cale de comunicatie de la instalatiile de monitorizare si instalatiile de reglaj secundar ale noii centrale pana la interfata cu Transelectrica; - montare analizor pentru monitorizarea calitatii energiei electrice; Pentru realizarea protec?iei diferen?iale de linie între celula LES 110 kV CEF Crevedia 2 nou proiectat? ?i celula linie-trafo din sta?ia de transformare 110/20 kV CEF Crevedia 2 nou proiectat? pe amplasamentul CEF, se va folosi o pereche de fibre din cablul FO care va fi pozat pe traseu comun cu LES 110 kV (aproximativ 9,4 km) Consumatorii de curent continuu ai sta?iei de transformare nou proiectate vor fi alimenta?i din DSIcc din Camera de Comand?; -Consumatorii de curent alternativ ai servicilor interne se vor alimenta din DSIca, care va fi alimentat astfel: - Alimentarea de baz?, prin intermediul transformatorului TFN-SA 20/0,4 kV, din înf??urarea de joas? tensiune auxiliar?, racordat la bara 20 kV a sta?iei de transformare, prin celula TFN-SA; - Alimentarea de rezerv?, prin intermediul grupului electrogen 0,4 kV; - Se va realiza AAR 0,4 kV între alimentarea de baz? ?i cea de rezerv? - lucr?rile de realizare a re?elei electrice din CEF, respectiv re?eaua electric? de cabluri MT,jt, posturi trafo. - realizare cale de comunicatie de la instalatiile de monitorizare si instalatiile de reglaj secundar ale noii centrale pana la interfata cu Transelectrica; - montare analizor pentru monitorizarea calitatii energiei electrice; Necesitatea instalarii echipamentelor auxiliare suplimentare de compensare a puterii reactive în punctul de racordare/delimitare, dup? caz, se va eviden?ia prin studiul de putere reactiv? la faza PTE a instalatiei de utilizare (îndeplinirea cerin?elor diagramei U-Q/Pmax se va realiza considerând un factor de putere cos?=0,9 inductiv/capacitiv). Pentru protejarea LES 110 kV Buftea-CEF Crevedia 2 vor fi prev?zute în noile celule LES 110 kV proiectate terminale numerice de protec?ie, cu func?ia de protec?ie diferen?ial? inclus?, care vor respecta cerin?ele NTE 011/12/00, din punct de vedere al tipului de echipament protejat ?i al sistemelor de comand? -control, protec?ii ?i automatiz?ri specifice. Necesitatea instal?rii unor echipamente/mijloace suplimentare privind compensarea puterii reactive în punctul de delimitare/racordare va rezulta din concluziile studiului de compensare a puterii reactive în punctul de racordare/delimitare, studiu va ?ine cont de cerin?ele stipulate în Norma Tehnic? aprobat? prin Ordinul ANRE nr. 208/2018 precum ?i cele din Ordinul ANRE nr. 51/2009, pentru centralele formate din module generatoare de categorie D. Instalatia de compensare, daca va rezulta ca necesara in urma studiului de reactiv, se va realiza pe fonduri utilizator si se va amplasa in statia utilizatorului. Materialele ?i echipamentele care se utilizeaz? la realizarea lucr?rilor de racordare trebuie s? fie noi, omologate sau certificate, dup? caz, dac? acest lucru este prev?zut în specifica?iile tehnice unificate, în conformitate cu procedurile aplicabile în grup ENEL ?i E-Distribu?ie Muntenia. Celelalte materiale ?i echipamente, pentru care nu sunt elaborate specifica?ii tehnice unificate, trebuie s? fie noi, compatibile cu starea tehnic? a instala?iei, s? îndeplineasc? cerin?ele specifice de fiabilitate ?i siguran??. Indicatorii de siguran?? ?i continuitate, în punctul de delimitare, conform documenta?iei vor avea urm?toarele valori: Punct delimitare:Solutia 2-110kV Durata medie de insucces (ore/an):4,9 Nr max de intreruperi:4  Durata maxim? de restabilire (ore):10,4 Sistemul de protec?ie al re?elei de 110 kV este structurat ?i coordonat pentru a realiza eliminarea selectiv? a defectelor. Acesta nu are scopul de a proteja instala?iile utilizatorului. În consecin??, protec?ia propriilor instala?ii revine exclusiv utilizatorului. Utilizatorul nu poate solicita si primi de la operatorul de re?ea desp?gubiri pentru energia electric? ce nu a fost produs? ?i livrat? în re?ea pe perioada limit?rii.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CNTEE TRANSELECTRICA SA, în calitate de Operator de Transport ?i de Sistem, prin Dispecerul Energetic Na?ional (DEN), are dreptul ca în situa?ia în care siguran?a func?ion?rii SEN în ansamblu o impune, s? dispun? deconectarea ?i/sau realizarea de instala?ii care s? asigure declan?area centralei pe criterii dictate de siguran?a SEN. In cazul in care, prin m?sur?torile de calitate a energiei electrice se dovede?te ca CEF nu se încadreaz? in limitele calculate sau solicitate, aceasta va întreprinde ac?iunile necesare pe propria cheltuiala. Pana la încadrarea in cerin?ele de calitate, CEF nu va func?iona. Perturba?iile introduse vor fi compensate prin masuri corespunz?toare de c?tre CEF. Dup? punerea in func?iune a CEF, este necesara efectuarea de m?sur?tori pentru verificarea încadr?rii in limitele normate atât pentru fenomenul de flicker, cat si pentru regim deformant (armonici). In cazul in care nu sunt respectate condi?iile de calitate a energiei electrice, se impune luarea de masuri locale pentru încadrarea indicatorilor de calitate in limitele normate; lucr?rile necesare pentru încadrarea indicatorilor de calitate a energiei electrice in limitele normate, se vor realiza pe cheltuiala Beneficiarului.</t>
  </si>
  <si>
    <t>18355377</t>
  </si>
  <si>
    <t>Lucrari de intarire ce se vor executa de catre E-Distributie Muntenia: - Amplificare statie de transformare 110/20/6 kV SOLEX si extindere statie 20 kV conf. Aviz CTE nr. 25/3/11.08.2022. </t>
  </si>
  <si>
    <t>INTERMED CONSULTING &amp; MANAGEMENT SRL</t>
  </si>
  <si>
    <t>CLADIRI BIROURI</t>
  </si>
  <si>
    <t>17220560</t>
  </si>
  <si>
    <t>CEF Băbăiţa 1.1</t>
  </si>
  <si>
    <t>CEF Băbăiţa 1.2</t>
  </si>
  <si>
    <t>CEF Băbăiţa 2</t>
  </si>
  <si>
    <t>58/43671</t>
  </si>
  <si>
    <t>19.19.2023</t>
  </si>
  <si>
    <t>JR Teleorman SRL</t>
  </si>
  <si>
    <t>JR Constanta SRL</t>
  </si>
  <si>
    <t>JR Solar Teleorman SRL</t>
  </si>
  <si>
    <t>LEA 400 kV Bucureşti Sud - Slatina</t>
  </si>
  <si>
    <t>Racordare intrare – ieșire în LEA 400 kV București Sud – Slatina printr-o stație de transformare Băbăița 400/110 kV echipată cu 3 autotransformatoare 400/110 kV 400 MVA</t>
  </si>
  <si>
    <t>59/43670</t>
  </si>
  <si>
    <t>60/43669</t>
  </si>
  <si>
    <t>RAMADA SOLAR SRL</t>
  </si>
  <si>
    <t>ADAMUS</t>
  </si>
  <si>
    <t>sectia de bare (B2) - 110 kV / sectia de bare (S3A) - 110 kV din Statia 110 / 20 kV Tarnaveni</t>
  </si>
  <si>
    <t>racordarea (CEF) Adamus 4, Beneficiarul acceptand insa ca in regim cu (N – 1) elemente in functiune, puterea maxima evacuata de (CEF) Adamus 4 sa fie de „0” MW, aceasta fiind deconectata automat de la retea prin sistemul de automatizare ce va limita operational (CEF) Adamus 4. Modalitatea aplicarii de limitari operationale de putere se face prin automatica de sistem, in conformitate cu reglementarile aplicabile. Pentru functionarea (CEF) Adamus 4 cu limitare operationala se prevede un sistem de automatizare care permite (CEF) Adamus 4 sa functioneze fara limitare cu ( N) elemente in functiune si in anumite limite in situatia cu (N-1) elemente in functiune, astfel : - LEA 110 kV Iernut - Tarnaveni circ. 1 sau 2 deconectata - puterea maxima debitata de (CEF) Adamus 4 este de"0" MW ; - LEA 110 kV Fantanele - Tarnaveni deconectata - puterea maxima debitata de (CEF) Adamus 4 este de"0" MW</t>
  </si>
  <si>
    <t>VIVA FOTOSOLAR SRL</t>
  </si>
  <si>
    <t>110 kV, la: sectia de bare (B2) - 110 kV / sectia de bare (S3A) - 110 kV din Statia 110 / 20 kV Tarnaveni</t>
  </si>
  <si>
    <t>In urma analizei de sistem cu (N-1) elemente in functiune au rezultat lucrari de intarire retea pentru racordarea (CEF) Adamus 5, Beneficiarul acceptand insa ca in regim cu (N – 1) elemente in functiune, puterea maxima evacuata de (CEF) Adamus 5 sa fie de „0” MW, aceasta fiind deconectata automat de la retea prin sistemul de automatizare ce va limita operational (CEF) Adamus 5. Modalitatea aplicarii de limitari operationale de putere se face prin automatica de sistem, in conformitate cu reglementarile aplicabile. Pentru functionarea (CEF) Adamus 5 cu limitare operationala se prevede un sistem de automatizare care permite (CEF) Adamus 5 sa functioneze fara limitare cu (N) elemente in functiune si in anumite limite in situatia cu (N-1) elemente in functiune, astfel: - LEA 110 kV Iernut - Tarnaveni circ. 1 sau 2 deconectata - puterea maxima debitata de (CEF) Adamus 5 este de „0” MW ; - LEA 110 kV Fantanele - Tarnaveni deconectata - puterea maxima debitata de (CEF) Adamus 5 este de „0” MW</t>
  </si>
  <si>
    <t>CHIRILEU</t>
  </si>
  <si>
    <t xml:space="preserve"> Statia 110 / 20 kV Sanpaul – Sectia 1A de bare 20 kV – pe distribuitorul LEA 20 kV Cipau</t>
  </si>
  <si>
    <t>OS</t>
  </si>
  <si>
    <t>TS15321</t>
  </si>
  <si>
    <t>SC HIRSCHMANN AUTOMOTIVE TM SRL</t>
  </si>
  <si>
    <t>barele de 20 kV ale Statiei 110/20 kV Sanpaul, PA 3 20/0,4 KV PC VALEA IZVOARELOR</t>
  </si>
  <si>
    <t>In urma analizei de sistem cu (N-1) elemente in functiune au rezultat lucrari de intarire retea pentru racordarea CEF Hirschmann (1 AT 200 MVA nou in Statia 220/110 kV Ungheni (RET) si reconductorare cu conductor de aceeasi sectiune si capacitate mărită de transport pe LEA 220 kV Ungheni - Iernut circ. 1), Beneficiarul acceptand insa ca in regim cu (N – 1) elemente in functiune, puterea maxima evacuata de CEF Hirschmann sa fie de „0” MW, aceasta fiind deconectata automat de la retea prin sistemul de automatizare ce va limita operational CEF Hirschmann. Modalitatea aplicarii de limitari operationale de putere se face prin automatica de sistem, in conformitate cu reglementarile aplicabile. CEF Hirschmann nu va putea evacua în reteaua electrică în cazul în care automatica de sistem este indisponibilă. Remedierea automaticii va intra in grija Beneficiarului</t>
  </si>
  <si>
    <t>PRIMARIA MUNICIPIULUI BRASOV</t>
  </si>
  <si>
    <t>Bara 20 kV a Statiei 110 / 20 kV Stupini, in celulele 20 kV de rezerva (J17) si (J06)</t>
  </si>
  <si>
    <t>ENOVIO SOLAR ENERGY SRL</t>
  </si>
  <si>
    <t>- bara de 110 kV a Statiei 110/20 kV Reghin</t>
  </si>
  <si>
    <t>Reconductorare LEA 220 kV Ungheni - Iernut (circuitul 2) ; - Montarea unui AT 220/110 kV suplimentar in Statia Iernut sau marirea capacitatii AT existent ; - Reconductoararea LEA d.c. 110 kV Iernut _ Tarnaveni ;</t>
  </si>
  <si>
    <t>TRANSAVIA SA</t>
  </si>
  <si>
    <t>MIERCUREA SIBIULUI</t>
  </si>
  <si>
    <t>LEA 20 kV Apold - PA Saliste, derivatia 20 kV Avicola Miercurea din Statia 110/20 kV Orlat</t>
  </si>
  <si>
    <t>Lea 20 KV Reghin Gornesti</t>
  </si>
  <si>
    <t>TS15768</t>
  </si>
  <si>
    <t>TS15511</t>
  </si>
  <si>
    <t>PA PC 8007 TYMBARK, PA PC 8007 TIMBARK</t>
  </si>
  <si>
    <t>UNIREA GREEN ENERGY INVEST SRL</t>
  </si>
  <si>
    <t>ULMU</t>
  </si>
  <si>
    <t>statia de transformare 110/20 kV Jugureanu,</t>
  </si>
  <si>
    <t>- Intariri in RET: -Montare AT nou in Statia Lacul Sarat -Intariri in RED : -LEA 110 kV Lacu Sarat – Gropeni – 20,06 km -LEA 110 kV Lacu Sarat – Insuratei – 49,02 km -LEA 110 kV Cuza Voda – Gropeni- 21,36 km -LEA 110 kV Urleasa - Bordei V – 13,37 km -LEA 110 kV Baraganu - Gura Ial- 27,655 km -LEA 110 kV Bordei V – Ianca – 12,87 km -LEA 110 kV Urleasca- Lacu Sarat – 26,063 km -LEA 110 kV Ianca- Faurei -18,89 km -LEA 110 kV Dudesti – Baraganu – 16,226 km Lungimea totala a liniilor de reconductorat : 205,5 km.</t>
  </si>
  <si>
    <t>UAT BORSA</t>
  </si>
  <si>
    <t>LEA 20 KV PIETROSUL-COMPLEX</t>
  </si>
  <si>
    <t>STATIA ALVERNA / LES MT 20 KV ALVERNA - SOPOR</t>
  </si>
  <si>
    <t>TIGER SOMES IMPEX SA</t>
  </si>
  <si>
    <t>Statia 110/20kV DEJ CUZDRIOARA - Distribuitor LEA, LES 20kV - FFP</t>
  </si>
  <si>
    <t>SC LACTO BENPAS SRL</t>
  </si>
  <si>
    <t>PARC FOTOVOLTAIC 2MW, NC 51950, LOC. PASTRAVENI, COM. PASTRAVENI, JUD. NEAMT</t>
  </si>
  <si>
    <t>TG.NEAMT</t>
  </si>
  <si>
    <t>SC SSR FOTOVOLTAIC ENERGY SRL</t>
  </si>
  <si>
    <t>CENTRALA ELECTRICA FOTOVOLTAICA 994KW, NC 60102, LOC. AGAS, COM. AGAS, JUD. BACAU</t>
  </si>
  <si>
    <t>CARBONIFERA</t>
  </si>
  <si>
    <t>SC OLD CHARLIZE SRL</t>
  </si>
  <si>
    <t>PARC FOTOVOLTAIC 1MW, STR. ECOULUI NR. 1, NC 66165</t>
  </si>
  <si>
    <t>SC BRK COGEN SRL</t>
  </si>
  <si>
    <t>CENTRALA COGENERARE GAZ 2X1,5 MW, STR. VATRA DORNEI NR. 5, LOC. VATRA DORNEI, JUD. SUCEAVA</t>
  </si>
  <si>
    <t>VATRA DORNEI</t>
  </si>
  <si>
    <t>racord LES MT in STATIA VATRA DORNEI</t>
  </si>
  <si>
    <t>22/09/2023</t>
  </si>
  <si>
    <t>Electrificare si reabilitare linie de cale ferata</t>
  </si>
  <si>
    <t>LEA 110 KV EFORIE NORD - COSTINESTI</t>
  </si>
  <si>
    <t>ANSAMBLU ISTORIC MINA PETRILA</t>
  </si>
  <si>
    <t>PETRILA</t>
  </si>
  <si>
    <t>Instalatii electrice alimentate din statia 110/20/6 kV Petrila, cu contor electronic de energie electrica activa si reactiva clasa 0.5S, în montaj indirect prin 2xTC 600/5 A clasa 0.5S si 2xTT 6/0.1 kV, cu transmisie automata a datelor masurate, montat in statie.</t>
  </si>
  <si>
    <t>SOCIETATEA NATIONALA AEROPORTUL INTERNATIONAL TIMISOARA-TRAIAN VUIA S.A.</t>
  </si>
  <si>
    <t>SPOR DE PUTERE - AEROPORTUL INTERNATIONAL ,, TRAIAN VUIA'' TIMISOARA</t>
  </si>
  <si>
    <t>SPOR DE PUTERE DE LA 800 kW la 1731 kW Fiind postul abonatului, iar delimitarea fiind pe barele de medie tensiune solutia tehnica pentru sporul de putere solicitat este inlocuirea transformatorilor de curent din celula de masura de la 50/5A la 400/5A, amplificarea postului revenind abonatului.</t>
  </si>
  <si>
    <t>BARUM TECHNIK S.R.L.</t>
  </si>
  <si>
    <t>Solutie propusa racord nou: I. Consta într-un PC 20kV pus la dispozitie de catre beneficiar, cu masura MT racordat la LEA 20KV- A20 BEGA VECHE-DIN STATIA FRATELIA TM 110/20/10 KV cu realizarea urmatoarelor lucrari: -Demontare cablu din suportul cu descarcatoare al stalpului existent cu nr. 16 si mansonare printr-un set de mansoane. -LES 20KV realizat cu cablu de medie tensiune tripolar cu elice vizibila pentru montare subterana, izolat in polietilena reticulara de grosime redusa, Al 3x1x185 mmp, cu ecran in tub de aluminiu sub invelis de PVC sau PE (cf. DC 4385 RO) in lungime de 65m (din care 3m rezerva la manson, 10m in punctul de conexiune, restul zona verde,avand traseul intre mansonul proiectat si PT proiectat. -LES 20kV realizat cu cablu de medie tensiune tripolar cu elice vizibila pentru montare subterana, izolat in polietilena reticulara de grosime redusa, Al 3x1x185 mmp, cu ecran in tub de aluminiu sub invelis de PVC sau PE (cf. DC 4385 RO), in lungime de 65m (din care ,10m in punctul de conexiune restul in zona verde, avand traseul intre PT proiectat si separatorul vertical 24kV DY595 existent SS 1877/16. -Cablul se va poza in sapatura deschisa la o adincime de 0.8-1 m, protejat in tub de polietilena reticulara, acoperit cu un strat de nisip de 20 cm masurat de la partea superioara a tubului, semnalizat cu benzi avertizoare cf. DS4235RO si DS4247RO. -Echipare PC 20kV compartiment racordare pus la dispozitie de beneficiar: 2 buc. celule modulare de linie de 24kV, 630A, 16 kA(1s), cu separator de sarcină în SF6 şi CLP, conform DY803/2-LE ed.3 ,telecontrolate ,compartimentul trebuie sa permita o dezvoltare ulterioara cu inca o celula de linie; 1 buc. celulă de măsură cu separator de sarcină, conform DY803M/316-UTM ed.2, cu două TT 20/0,1 kV, conform DMI031015 RO, clasa de precizie 0,5 şi 2 buc. TC de 400/5A, conform DM031052 RO, clasa de precizie 0,2s. rezistente in celulele MT-2 buc. sitermohigrostat in PT – 1 buc.; - PC va fi amplasat astfel incat accesul in el sa fie direct din domeniul public; II. Lucrări finanţate de beneficiar, realizate prin grija lui, ce devin proprietatea acestuia, conform Ordin nr. 59/2013: 1). LES 20 kV cît mai scurtă posibil (l≤20m), cu cablu de cupru de secţiune minimă 95 mmp, între celula de măsură din compartimentul de racordare şi celula cu înterupător din compartimentul utilizatorului 2). Celulă sosire cu un separator tripolar şi a unui întrerupător automat fix (sau numai un întrerupător automat debroşabil) în compartimentul utilizatorului. Întrerupătorul va fi obligatoriu prevăzut cu sistem de protecţie generală maximală de curent şi împotriva defectelor de punere la pămînt, cu reglajul corelat cu celelalte protecţii din instalaţiile SC E-Distribuţie Banat SA-Zona MT/jt Timisoara F19 Rev 12/P-05-12 INTERNAL 3). Instalaţia de iluminat interior, prize şi instalaţia de legare la pământ a clădirii punctuluide conexiune Măsurarea energiei electrice se va face la MT, cu contor electronic trifazat 2x100V, 5A, clasa de precizie 0.5S, cu curbă de sarcină, cu interfaţă serială RS232, cu sistem de teletransmisie, în montaj indirect (TT 20/0,1kV conform DMI031015 RO, clasa precizie 0,5, TC 400/5A conform DM031052 RO, clasa precizie 0.2S, cordon de conectare grup de măsurare conform DMI031011 RO). 4) 1 buc trafo 20/0,4 kV Delimitarea între instalaţiile distribuitorului şi cele ale consumatorului este la capetele terminale de racordare a LES 20 kV plecare din compartimentul de racordare al noului punct de conexiune. Traseele reţelelor electrice şi amplasamentul PC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Comisia Tehnică de Avizare a E- Distribuţie Banat SA – Zona Reţea MT/jt Timisoara . Materialele şi echipamentele care se utilizează la realizarea instalaţiei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sa fie noi, compatibile cu starea tehnică a instalaţiei, să îndeplinească cerinţele specifice de fiabilitate şi siguranţă.</t>
  </si>
  <si>
    <t>LIDL ROMANIA SCS</t>
  </si>
  <si>
    <t>Centru Logistic Lidl</t>
  </si>
  <si>
    <t>BUJAC</t>
  </si>
  <si>
    <t>Din LES 20kV Carrefour – BUJAC, tronsonul cuprins intre PT 1854 si PT 1856 (alimentare de bază), respectiv din LEA 20kV Gai - Rase Usoare zona stalpului nr. 82/21 (alimentare de rezervă) prin realizarea urmatoarelor lucrari: Lucrări finanţate pe baza tarifului de racordare, conform Ordin ANRE nr. 59/2013 cu modificările și completările ulterioare: 1). Sectionare LES 20kV Carrefour din stația Bujac intre PT 1854 si PT 1856 si mansonare cu LES 20kV proiectata; 2). Canalizare subterană de 20kV cu cablu 2xAl 3x(1x240) mmp (conform DC4385) în lugime de cca. 2x0,39km cu traseul de la punctul de mansonare până la primul punct de conexiune de 20kV (PC 20kV nr.1) proiectat pe teren pus la dispozitie de catre beneficiar, amplasat la limita de proprietate cu acces din domeniul public; 3). PC 20kV nr.1 proiectat in anvelopa de beton amplasat conform planului de situatie anexat, echipat cu: - 2 buc. celule de linie de 24kV, 630A, 16 kA(1s), cu separator de sarcină în SF6 şi CLP, conform DY803/2-LE ed.3 pentru intrare si iesire pe LES 20 kV Carrefour; - 1 buc. celula de linie motorizata 24kV, 630A, 16kA(1s) cu separator de sarcina in SF6 şi CLP, conform DY803/2-LE ed.3 plecare catre PC 20 kV nr.2 proiectat in incinta beneficiarului; - celula servicii interne 24kV, trafo 20/0,23 kV – 4 kVA; - realizare priza de pamant la PC 20kV nr.1 proiectat cu Rp max. 4ohm; PC 20kV nr.1 proiectat va permite o dezvoltare ulterioara cu o celula suplimentara. Realizare telecontrolului in punctul de conexiune 20kV prin montarea de RGDAT, UP, modem, TSA si antena se va suporta si executa de catre Operatorul de Distributie. 4). Canalizare subterană de 20kV cu cablu Al 3x(1x185)mmp (conform DC 4385 RO) în lugime de cca. 3km cu traseul de la punctul de conexiune (PC 20 kV nr.1) si până la punctul de conexiune de 20kV (PC 20kV nr.2) proiectat in incinta beneficiarului; 5). Plantare stalp special SC15014 in axul LEA 20kV Rase Usoare in locul stalpului nr.82/21, echipat cu separator vertical conform DY595, descarcatori cu ZnO conform DY557, coronament semiorizontal de intindere, lanturi duble de intindere, capete terminale de exterior si priza de pamant cu Rp max. 4ohm; 6). Canalizare subterană de 20kV cu cablu Al 3x(1x185) mmp (conform DC 4385 RO) în lungime de cca. 0,29km cu traseul de la stalpul proiectat in axul LEA 20kV Rase Usoare până la punctul de conexiune de 20kV proiectat (PC 20kV nr.2); 7). PC 20kV nr.2 proiectat in anvelopa de beton amplasat in incinta beneficiarului conform planului de situatie anexat, echipat cu: - 1 buc. celula de linie motorizata 24kV, 630A, 16kA(1s) cu separator de sarcina in SF6 şi CLP, conform DY803/2-LE ed.3 pentru sosire din PC 20 kV nr.1 proiectat (inseriat in LES 20kV Carrefour); - 1 buc. celula de linie motorizata 24kV, 630A, 16kA(1s) cu separator de sarcina in SF6 şi CLP, conform DY803/2-LE ed.3 pentru sosire din LEA 20kV Rase Usoare din statia GAI;- 1 buc. celula de masura conf. DY 803M/4-UTM cu separator si grup de masura format din două transformatoare de tensiune 20/0,1 kV, clasa de precizie 0,5 conform DMI031015 RO şi două transformatoare de curent de 400/5A, conform DM031052 RO, clasa de precizie 0,2S si contor electronic trifazat static (afisaj LCD), In=5(6)A, Un=3x100/57V, clasa de precizie 0.5, cu curba de sarcina si interfata de comunicatie RS232 si modul comunicatie GSM amplasat intr-o cutie de masura; cutia de masura se va amplasa intr-o nisa cu posibilitatea vizualizarii atat de catre E-Distributie Banat cat si de catre beneficiar; - montare rezistenţe în celulele MT şi termo-higrostat în PC, care vor fi alimentate de la reţeaua de j.t. a clientului; PC 20kV nr.2 proiectat va permite o dezvoltare ulterioara cu o celula suplimentara. Punctul de conexiune 20kV va fi in anvelopa de beton amplasat la limita proprietatii, conform planului de situatie anexat, cu acces din domeniu public si va fi alcatuit din doua incaperi cu acces separat fiecare: una cu acces numai pentru personalul E-Distributie Banat (compartiment de racordare) iar cealalta cu acces pentru utilizator (compartiment utilizator). Incaperea in care se vor monta echipamentele E-Distributie Banat va fi pusa la dispozitie de catre beneficiar. Contorul si montarea lui precum si realizare telecontrolului in punctul de conexiune 20kV prin montarea de RGDAT, UP, modem, TSA si antena se va suporta si executa de catre Operatorul de Distributie. Tensiunea 0,4kV necesara telecontrolului va fi asigurata din instalatiile beneficiarului. II. Lucrări finanţate de beneficiar, realizate prin grija lui: 1). Anvelopa de beton compusa din doua incaperi cu acces separat fiecare, o incapere fiind pentru montarea echipamentelor 20kV E-Distributie Banat (compartiment racordare). Compartimentul de racordare va fi cu actionarea echipamentelor din interior si cu acces direct din exterior, va avea caracteristici minime echivalente cu cele prevazute in prescriptiile NTE E-Distributie si un gabarit care sa permita montarea echipamentelor instalatiei de racordare si a inca unei celule de MT; 2). LES 20kV cat mai scurta posibil (max. 20m), cu cablu de cupru de sectiune minima 95mmp, intre celula de masura din compartimentul de racordare si celula de racord cablu a celulei cu intrerupator din compartimentul utilizatorului; 3). Celula sosire cu intrerupator general automat si separator (intrerupator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E-Distributie; Aceste celule vor fi amplasate in compartimentul utilizatorului, amplasat in anvelopa de beton, langa compartimentul cu instalatiile E-Distributie. 4). Instalatie de iluminat si o priza 230V in compartimentul de racordare; 5). Realizarea unei prize de pamant cu Rp max. 4ohm la punctul de conexiune; 6). Asigurarea alimentarii serviciilor interne aferente compartimentului OD. Clientul va trebui să prevadă în instalaţiile proprii aparate de comutaţie interblocate în mod adecvat pentru a evita funcţionarea în paralel, chiar şi accidental, între căile de alimentare. La realizarea schemei interne de distribuţie, consumatorul va adopta soluţii care să respecte cu stricteţe cerinţele impuse de Norma Enel ed.3 „Reguli tehnice privind racordarea Consumatorilor şi Producătorilor la reţelele electrice IT şi MT ale societăţiilor de distribuţie de energie electrică Enel”, în special paragrafele 8.5.11 - 8.5.14, referitoare la dispozitivul general cu sistemele de protecţie asociate, la limitarea puterilor pe secţiile de bare j.t. şi la limitarea energizării trafo instalate simultan. Traseele rețelelor proiectate,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CTE a E-Distribuţie Banat. Se respectă distanțele de siguranță conform Ordin ANRE 239/19 Normă tehnică privind delimitarea zonelor de protecţie şi de siguranţă aferente capacităţilor energetice</t>
  </si>
  <si>
    <t>M CENTRAL STRATEGIC DATA SRL</t>
  </si>
  <si>
    <t>IMOBIL ADMINISTRATIV-Corp C1</t>
  </si>
  <si>
    <t>GLINA</t>
  </si>
  <si>
    <t>17658884</t>
  </si>
  <si>
    <t>DEPOU BUJORENI</t>
  </si>
  <si>
    <t>17750602</t>
  </si>
  <si>
    <t>AGROPOL POPESTI-LEORDENI SA</t>
  </si>
  <si>
    <t>SEDIU DEPOZITE</t>
  </si>
  <si>
    <t>18063971</t>
  </si>
  <si>
    <t>RO001E141571666/2</t>
  </si>
  <si>
    <t>RO001E143248232/1</t>
  </si>
  <si>
    <t>TRANSPARENT DESIGN SRL</t>
  </si>
  <si>
    <t>IMOBIL+CEF</t>
  </si>
  <si>
    <t>S20 BLOCURI DANUBIANA-POP LEORDENI IF</t>
  </si>
  <si>
    <t>Conform aviz CTE nr. 63/3/30.08.2023, faza studiu de solutie:
Avand in vedere ca locul de consum si de producere exista ,in cadrul acestui studiu a fost luata in considerare realizarea unei singure solutii de racordare astfel : modificarea locului de consum existent in loc de consum si producere nou prin instalatia de racordare existenta conform CER RO001E142993777/5 din 25/04/2023 si anume :
Punctul de conexiune existent 20kV nr.4036 , racordat intrare- iesire L20kV Porcine 2, si respectiv, racord din L20kV Danubiana din st.10/20kV Popesti-Leordeni. Solicitarea nr. 17613343 pentru evacuare putere produsa este pentru PT 40621 racordat pe LES 20kV Danubiana Blocuri.
-Lucrarile pe tarif de tarif de racordare -nu este cazul
-Lucrari ce se realizeaza prin grija beneficiarului: Energia eletrica produsa de centrala fotovoltaica va fi debitata in reteaua de distributie EDM, folosind punctul de conexiune existent, prin care se face alimentarea. Racordarea productiei la RED se va face la nivelul tabloulurilor de JT, la nivelul barei 0,4 kV. Racordul centralei fotovoltaice se va realiza in tablourile electrice generale existente aferente la postului de transformare existent 2x1600kVA. Cele 5 tablourile electrice proiectate aferente instalatiei Fotovoltaice vor fi echipate cu intrerupatoare ce vor avea rol de dispozitiv de interfata, DI, cu reglaje conforme cu cele prevazute in Ord. 132/2020 suplimentate dupa caz de inca o treapta de protectie de minima tensiune corelata cu functionarile automatizarilor din instalatiile OD. Reglajele DI vor fi dispuse prin adresa scrisa de catre OD, la solicitarea executantului instalatiei. Se va integra in SCADA OD, semnalul de pozitie deschis a DI-urilor cumulat dupa logica, cand toate DI deschise/ 1 DI inchis=toate DI inchise, prin intermediul UP-ului existent existent (prevazut cu contacte libere de potential) din compartimentul de racordare EDM al PC 20kV existent. In cazul defectiunilor releului atasat fiecarui dispozitiv de interfata sau in cazul lipsei alimentarii acestuia va fi declansat intrerupatorul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 in vederea montarii unui contor electronic pus la dispozitie de E Distributie Muntenia. COMUNICATII Pentru preluarea in sistemul SCADA OD, a marimilor P,Q efectiv produse respectiv a tensiunii U in punctul de delimitare, trebuie asigurate, pentru fiecare marime, semnale unificate (4-20mA) labornele UP-ului existent, prin traductoare sau alte echipamente dedicate, aflate in gestiunea utilizatorului. Marimile electrice preluate vor fi: •,,Putere activa, ce reprezinta P cumulat de la cele 4 tablouri aferente CEF; •,,Putere reativa, ce reprezinta Q cumulat de la cele 4 tablouri aferente CEF; •,,Tensiune, U in punctul de delimitare 20kV; •,,Pozitia dispozitivelor de interfata, DI, sub forma de un contact liber de potential, conform logigii mentionate anterior. Toate aceste informatii vor fi transmise prin grija utilizatorului catre SCADA OD, in unitatea periferica, UP existenta din PC 20kV 4036 existent. Punerea in functiune a noi centrale se va face respectand „PROCEDURĂ din 17 aprilie 2019 de notificare pentru racordare a unităţilor generatoare şi de verificare a conformităţii unităţilor generatoare cu cerinţele tehnice privind racordarea unităţilor generatoare la reţelele electrice de interes public”.</t>
  </si>
  <si>
    <t>17613343</t>
  </si>
  <si>
    <t>SC MOLDOVA TIGANASI SA</t>
  </si>
  <si>
    <t>spor putere de la 250kW la 1200kW</t>
  </si>
  <si>
    <t>220 kV Isalnita</t>
  </si>
  <si>
    <t>racordare in statia 220 kV Isalnita prin LES de circa 1 km si statia de transformare 220/33 kV</t>
  </si>
  <si>
    <t>6/9860</t>
  </si>
  <si>
    <t>racordare in statia 220/110/20 kV Vetis</t>
  </si>
  <si>
    <t>se racordează la nivelul de tensiune 110kV, la barele de 110 kV a statiei 220/110/20 kV Vetis</t>
  </si>
  <si>
    <t>50/37644, 61/45671</t>
  </si>
  <si>
    <t>03.04.2023, 27.09.2023</t>
  </si>
  <si>
    <t>7/12479, 8/12480, 9/12482</t>
  </si>
  <si>
    <t>20.04.2021, 17.03.2023</t>
  </si>
  <si>
    <t>3/17475, 10/13914</t>
  </si>
  <si>
    <t>în LEA 400kV Nădab – Bekescsaba circ. 1 prin noua statie de conexiune 400 kV Graniceri</t>
  </si>
  <si>
    <t>realizarea unei statii de conexiuni de 220kV si racordare intrare - iesire in LEA 220 kV Iernut-Câmpia Turzii</t>
  </si>
  <si>
    <t>puterea a fost modificata deoarece pana acum nu a fost trecuta puterea bateriilor de stocare</t>
  </si>
  <si>
    <t xml:space="preserve">Racordarea  direct in statia 220/110/20kV VETIS, pe bara de 110kV cu cablurile LES 110kV ~6.5km si constructia statiei CEF VETIS 3 20/110kV in parc langa panouri </t>
  </si>
  <si>
    <t>8, 32/25262</t>
  </si>
  <si>
    <t>28.12.2020, 18.05.2023</t>
  </si>
  <si>
    <t>52,07</t>
  </si>
  <si>
    <t>WILDE WIND SRL</t>
  </si>
  <si>
    <t>SLOBOZIA CONACHI</t>
  </si>
  <si>
    <t>ST 110 Kv SRP2 T. VLADIMIRESCU</t>
  </si>
  <si>
    <t>MN14974</t>
  </si>
  <si>
    <t>BLUE POWER PLANT SRL</t>
  </si>
  <si>
    <t>STANCUTA</t>
  </si>
  <si>
    <t>Statia 110 /20 KV Cuza Voda Braila</t>
  </si>
  <si>
    <t>actualizare de natura administrativa ATR 3050211006935</t>
  </si>
  <si>
    <t>MN13179</t>
  </si>
  <si>
    <t>DM SPORT &amp; ENERGY SRL</t>
  </si>
  <si>
    <t>NICULESTI</t>
  </si>
  <si>
    <t>LEA 20 kV Niculesti</t>
  </si>
  <si>
    <t>Se impune inlocuirea bobinei de stingere deoarece este depasita capacitatea bobinei de stingere existenta BS. Aportul curentului capacitiv adus de catre CEF DM SPORT &amp; ENERGY nu poate fi compensat cu instalatiile existente. Bobina de stingere existenta va fi inlocuita cu o bobina de stingere avand In = 10 - 100 A. In cazul indisponibilitatii transformatorului Trafo 3 16 MVA 110/20 kV din Statia Butimanu, respectiv a celulelor aferente de 110 si 20 kV, puterea evacuata/produsa de CEF DM SPORT &amp; ENERGY va fi zero - CEF va fi deconectata si nu va debita in RED.</t>
  </si>
  <si>
    <t>ALPISOLAR S.R.L.</t>
  </si>
  <si>
    <t>LEA 20 kV SRPD 6</t>
  </si>
  <si>
    <t>SOLAR PANELS ENERGY S.R.L.</t>
  </si>
  <si>
    <t>SALCIA TUDOR</t>
  </si>
  <si>
    <t>Derivatia Olaneasca LEA 20 kV Maxineni SPP 20 din statia de transformare 110/20 kV Maxinen</t>
  </si>
  <si>
    <t>PREMIUM GREEN ENERGY SRL</t>
  </si>
  <si>
    <t>Pentru nivel de tensiune 110 kV: bara 110kV din statia de transformare TITU, la legaturile noii celule LES 110 kV la bara 110 kV existenta. □Pentru nivelul de tensiune 20 kV: LEA 20 kV Titu-Avicola 2, la stalpul nr.76., ST. TITU 110/20 KV</t>
  </si>
  <si>
    <t>MN15240</t>
  </si>
  <si>
    <t>MN14182</t>
  </si>
  <si>
    <t>MN14824</t>
  </si>
  <si>
    <t>MN13490</t>
  </si>
  <si>
    <t>MN14481</t>
  </si>
  <si>
    <t>MN13579</t>
  </si>
  <si>
    <t>MN13615</t>
  </si>
  <si>
    <t>CURENT METAL SRL</t>
  </si>
  <si>
    <t>Statie 110 kV ULMENI  si Statia 110/20 kV Artic</t>
  </si>
  <si>
    <t>MN13106</t>
  </si>
  <si>
    <t>TN23452</t>
  </si>
  <si>
    <t>MGCS ENERG SRL</t>
  </si>
  <si>
    <t>LEA 20 kV Huedin - Cariera Poieni</t>
  </si>
  <si>
    <t>realizarea CEF Hodișu de catre beneficiarul MGCS ENERG S.R.L. si debitarea in reteaua OD a puterii de 3 MW determina executarea unor lucrari de intariri generale in instalațiile operatorului de distributie, constand in reconductorarea unor LEA 110 kV existente (atat la N cat si la N-1 elemente in functiune): 1. LEA 110 kV FLORESTI - CHE TARNITA 2. LEA 110kV CEF_PG - POROLISSUM 3. LEA 110kV POROLISSUM – ZALAU 4. LEA 110kV ORADEASUD - TILEAGD 5. LEA 110kV ORADEASUD - ALESD 6. LEA 110kV BIHARIA - MECANICA 7. LEA 110kV MECANICA - ORADEA VEST 8. LEA 110kV SACUIENI - MARGHITA 9. LEA 110kV SUPLAC - MARGHITA 10. LEA 110kV CLUJCENTRU - MANASTUR 11. LEA 110kV MANASTUR - FLORESTI circ2 12. LEA 110kV ORADEASUD - ORADEAVEST circ2 13. LEA 110kV ORADEASUD - ORADEAVEST 14. AT3 400/110kV ORADEA SUD - nou</t>
  </si>
  <si>
    <t>MEGASOL DELTA POWER</t>
  </si>
  <si>
    <t>LEA 20 kV Derivatia Borsa - Satu Lung</t>
  </si>
  <si>
    <t>SOLAR RADIATION PROJECT SRL</t>
  </si>
  <si>
    <t>LEA 110 kV Seini - Satu Mare 1</t>
  </si>
  <si>
    <t>REGIA AUTONOMA AEROPORT ORADEA</t>
  </si>
  <si>
    <t>PTAb Aeroport Nou</t>
  </si>
  <si>
    <t>SUN POWER DELIVERY SRL</t>
  </si>
  <si>
    <t>LEA 20 kV Valea Crisului - Ponoara,</t>
  </si>
  <si>
    <t>FRESCOVERDE SRL</t>
  </si>
  <si>
    <t>LEA 20 KV AEROPORT-PC LIVADA</t>
  </si>
  <si>
    <t>SC FEH ENERGY SRL</t>
  </si>
  <si>
    <t>Statia 110/20 kV Jucu</t>
  </si>
  <si>
    <t>BSB GREEN ENERGY SRL</t>
  </si>
  <si>
    <t>LEA 20 kV Carpați – Avicola Botiz</t>
  </si>
  <si>
    <t>ENERG TWO SRL</t>
  </si>
  <si>
    <t>LEA 20 kV Aghires - Huedin, Semiaxa LEA 20 kV Manastiren</t>
  </si>
  <si>
    <t>SC ARAMIS INVEST SRL</t>
  </si>
  <si>
    <t>STATIA BAIA MARE 5, CELULA DE LINIE 32, PA 16 EUROPA,</t>
  </si>
  <si>
    <t>FOTOVOLTAIC CAREI S.R.L.</t>
  </si>
  <si>
    <t>ST 110/20/6 kV Carei 1, ST 110/20 kV Carei Unio</t>
  </si>
  <si>
    <t>TN23765</t>
  </si>
  <si>
    <t>TN23766</t>
  </si>
  <si>
    <t>TN20711</t>
  </si>
  <si>
    <t>TN24558</t>
  </si>
  <si>
    <t>CENTRALA TERMOELECTRICA - STATIE COMPRESOARE CURTUISENI</t>
  </si>
  <si>
    <t xml:space="preserve"> </t>
  </si>
  <si>
    <t>APASERV SATU MARE SA</t>
  </si>
  <si>
    <t>ODOREU</t>
  </si>
  <si>
    <t>STATIA 110/20/6 Kv</t>
  </si>
  <si>
    <t>TN4243</t>
  </si>
  <si>
    <t>OVIBEST SRL</t>
  </si>
  <si>
    <t>CAREI</t>
  </si>
  <si>
    <t>celula de 20 kV "Trum 1" existenta din Statia de Transformare 110/20 kV Carei Unio</t>
  </si>
  <si>
    <t>AVE BIHOR</t>
  </si>
  <si>
    <t>SALACEA</t>
  </si>
  <si>
    <t>LEA MT MARGHITA_x0002_SALAC</t>
  </si>
  <si>
    <t>13/11/2023</t>
  </si>
  <si>
    <t>Parc Fotovoltaic 17,69 MW</t>
  </si>
  <si>
    <t>MIRCEA VODA NORD 110 KV</t>
  </si>
  <si>
    <t>Actualizare ATR nr. 22/2008 emis pentru CEE Cernavodă 1 - 69 MW existentă și actualizat în data de 15.12.2010, din perspectiva completării echipamentelor energetice prin CEF Cernavodă 1 - 17,69 MW fara depasirea puterii evacuate in PCC. Solutia de racordare precizata prin ATR nr. 22/2008 emis actualizat in 15.12.2010 CEE Cernavoda 1 este racordarea intrare-iesire in LEA 110kV Mircea Voda-Medgidia Nord prin intermedul unei statii de conexiuni 110kV denumita Mircea Voda Nord. Statia de conexiune 110kV Mircea Voda Nord este integrata in sistemul de telecontrol existent la E- Distribuție Dobrogea. Conform Regulamentului privind stabilirea soluțiilor de racordare a utilizatorilor la rețelele de interes public, aprobat cu Ordinul ANRE nr.102/2015, viitoarea CEF Cernavoda 1 cu puterea instalată de 18,225 MW se consideră Utilizator de clasa B, având puterea maximă evacuată în punctul de delimitare, în plaja 7,5 și 50 MVA.
Lucrarile pe tarif de racordare :-nu este cazul
Lucrări prin grija utilizatorului in instalatia de utilizare -racordarea noului obiectiv energetic CEF Cernavoda 1 - 17,69 MW se face prin următoarele instalații: Soluția de racordare la SEN a viitoarei centrale electrice fotovoltaice constă în dezvoltarea rețelei de medie tensiune (33 kV) de colectare a puterii produse de CEF Cernavodă 1 - 17,69 MW, stația proprie de 33 kV și LES 9 km între stația de 33 kV CEF Cernavodă 1 - 17,69 MW și instalațiile existente CEE Cernavodă 1. În stația de 33 kV Cernavodă 1 se va amplasa un container necesar conectării CEF Cernavodă 1 - 17,69 MW, iar acesta se va racorda direct pe partea de medie tensiune a transformatoarelor de 110/33 kV prin două cabluri de 33 kV. De asemenea, se vor prevedea interblocaje mecanice în celulele de 33 kV aferente centralei Fotovoltaice astfel încât să nu se permită punerea în paralel a transformatoarelor.
Echipamentul minim necesar pentru racordare la SEN a CEF Cernavodă 1 - 17,69 MWcuprinde:
• LES 33 kV între stația de 33 kV CEF Cernavodă1 - 17,69 MW și instalațiile existente CEE Cernavodă 1
• 2 x Celule 33 kV echipate cu întreruptor stația CEF Cernavodă 1;
• Lucrări stație 33 kV CEE Cernavodă 1
• Automatizare pentru limitarea puterii - Sistem de management al energie pentru site-ul de generare hibrid care limitează puterea evacuată
• Dispozitive suplimentare de contorizare la nivelul stației interne 33 kV CEE Cernavodă 1.
SISTEMUL DE MANAGEMENT ENERGETIC În vederea operării centralei hibride CEE+CEF Cernavodă 1 este necesar implementarea unei sistem de control superior (master PPC) care să controleze atât parcul eolian, cât și parcul fotovoltaic.
Acesta va putea primi un set-point (putere activă, putere reactivă), atât din partea Operatorului de transport, cât și din partea Operatorului de distribuție și îl va transmite către sistemul de control al centralei eoliene și al centralei fotovoltaice. Sistemul de control Master PPC va controla ambele sisteme de generare astfel încât puterea maximă generată la nivelul CEE+ CEF Cernavodă 1 să fie limitată la valoarea puterii de 69 MW conform Avizului Tehnic de Racordare nr. 22/2008 din 02.06.2008 și actualizat în data de 15.12.2010 asociat CEE Cernavodă 1.
Se va prevedea o protecție de rezerva (putere activa) pe întrerupătorul din celula 110 kV transformatorul din instalația de utilizare pentru limitarea puterii la 69MW conform ATR existent.
In caz de refuz acționare IO 110kV transformator se va transmite impuls de declanșare la IO 110 kV din celula LES 110kV utilizator. Aceasta protecție se va integra in DRRI si SCADA utilizator. Soluția se va detalia la faza de proiect tehnic și va fi agreată atât cu Operatorul de Distribuție, cât și cu Operatorul de transport Sistemul de management energetic se va prezenta în cazul Proiectului tehnic aferent, proiect în care se va include conceptul de bază și modul de realizare practică. Documentaţia prezentată corespunde documentelor SMI, normelor şi normativelor de securitate şi igiena muncii, PSI şi protecţia mediului, în vigoare.</t>
  </si>
  <si>
    <t xml:space="preserve">	
08/11/2023</t>
  </si>
  <si>
    <t>17651757</t>
  </si>
  <si>
    <t>ENERGIE VERDE LIPOVA SRL</t>
  </si>
  <si>
    <t>CAPACITATE PRODUCERE ENERGIE ELECTRICA DIN SURSE REGENERABILE DE ENERGIE SOLARA</t>
  </si>
  <si>
    <t>A20 STRUNG 3-LIPOVA AR</t>
  </si>
  <si>
    <t>In RET: În urma analizei regimurilor cu N si N-1 elemente în funcţiune pentru solutia de racordare propusa se observă că nu există supraîncărcări sau supratensiuni în RET luand in considerare lucrarile prevazute in Planul de Dezvoltare al CNTEE Transelectrica. Realizarea lucrărilor de întărire generale pentru respectarea criteriului cu N elemente in functiune in RED 110 kV din zona EDB: In urma analizelor la nivelul retelei de medie tensiune avand in vedere aportul de curent capacitiv al noilor instalatii de utilizare si racordare, beneficiarul va participa la lucrarile de intarire necesare amplificarii grupului de tratea a neutrului (amplificarea bobinei de tratare neutru existenta de 200A cu bobina de 300A pe bara rosie si instalarea de TFN/SA nou pe bara verde respectiv mutarea bobinei 30-200 A pe bara rosie si lucrarile conexe) lucrari in curs de executie. Evaluarea tarifului de racordare: s-a stabilit in conformitate cu ordinul ANRE nr.11 din 21 februarie 2014 cu modificarile si completarile ulterioare, astfel: T = Ti + Tr + Tu,  unde : Ti = Lucrari de intarire Tr = Tarif de racordare Tu=componenta corespunzatoare: a) verificarii dosarului instalatiei de utilizare si punerii sub tensiune a acestei instalatii; b) verificarii si certificarii conformitatii tehnice a centralei electrice cu cerintele normelor tehnice in vigoare. Valoarea componentei Tu corespunzatoare certificarii conformitatii tehnice a centralei electrice cu cerintele normelor tehnice in vigoare este prevazuta in Anexa 1 a Ordinului ANRE nr. 141/2014 si este: 2.130 ,00 lei fara TVA. Costuri cu verificarea conformitatii tehnice si a dosarului instalatiei de utilizare Solutia 1 In conformitate cu Ord. ANRE nr. 11/2014 se calculeaza valoarea tarifului de intariri Ti pe baza de tarife specifice. Ti = i x Sev Astfel cf. Art. 41. — În situația în care punctul de racordare este la medie tensiune, într-o linie electrică aeriană, tariful specific pentru calculul componentei Ti a tarifului de racordare se notează i5 și se stabilește utilizând următoarea formulă: i5=iMTA+i ST 110/MT i5=97000+432000=529.000 lei Ti= Sev (MVA)*529000 lei/MVA Aplicand formula de calcul a tarifului specific rezulta componenta Ti a tarifului de intariri Ti = i5 x Sev = 529.000 lei/MVA x 4,397 MVA = 2.326.013,00 lei. Valoarea lucrarilor de intarire aflate in curs de executie, conform avizelor de la faza PTE este de: Bara verde – 335.604 lei fara TVA Bara rosie – 292.389,5 lei fara TVA TiSS=335.604 + 292.389,5 = 627.993,5 lei fara TVA Valoarea Ti = min(2.326.013,00 lei; 627.993,5 lei ) = 627.993,5 lei pentru varianta 1 Dupa receptia si punerea in functiune a lucrarilor de intarire se vor calcula compensatii raportate la valorile de PIF ale lucrarilor.</t>
  </si>
  <si>
    <t>n</t>
  </si>
  <si>
    <t>Nico Solar Energy Doi S.R.L.</t>
  </si>
  <si>
    <t>Centrala Electrica Fotovoltaica Parta</t>
  </si>
  <si>
    <t>LEA 110KV TIMISOARA-GIULVAZ</t>
  </si>
  <si>
    <t>MOORGATE SOLAR SRL</t>
  </si>
  <si>
    <t>CONSTRUIRE PARC FOTOVOLTAIC, IMPREJMUIRE SI DRUM ACCES</t>
  </si>
  <si>
    <t>A20 LUGOJ-FAGET TM</t>
  </si>
  <si>
    <t>In RET: În urma analizei regimurilor cu N si N-1 elemente în funcţiune pentru solutia de racordare propusa se observă că nu există supraîncărcări sau supratensiuni în RET luand in considerare lucrarile prevazute in Planul de Dezvoltare al CNTEE Transelectrica. Lucrari de intarire comune determinate de necesitatea asigurarii conditiilor tehnice in vederea evacuarii puterii aprobate inclusiv pentru CEF VV Delamarina -Realizarea lucrărilor de întărire generale pentru respectarea criteriului cu N elemente in functiune in RED 110 kV din zona EDB reconductorare: În urma analizei regimurilor cu N elemente în funcţiune pentr palierele 2026 , 2031 pentru solutiiile de racordare propusa se observă că există suprasarcini . Analiza circulatiei de puteri la inalta tensiune in schema cu T2 in functiune si T1 rezerva si cupla inchisa pe bara MT din Statia 110/20 kV Lugoj arata ca racordarea noului producator produce supraincarcari ale elementelor de retea si sunt necesare lucrari de intariri, pentru racordartea acestuia, pe urmatoarele tronsoane - LEA 110kV Buzias-Timisoara Lungimea =32 km In cadrul analizei cu abatere de la schema normala in retea de MT LEA 20 kV Faget din Statia 110/20 kV Lugoj si CEF VV Delamarina va fi preluata pe LEA 20 kV Lugoj alimentata din Statia 110/20 kV Faget cu ambele trafo 110/20 kV in functiune. Lucrari de intarire: Lucrari in amonte de punctul de racordare (lucrari de intarire retea determinate de necesitatea asigurarii conditiilor tehnice in vederea evacuarii/consumului puterii aprobate pentru locul de consum si/sau producere) . Evaluarea lucrarilor de intarire: Solutia 1 In conformitate cu Ord. ANRE nr. 11/2014 se calculeaza valoarea tarifului de intariri Ti pe baza de tarife specifice. Ti = I x Pa (tarif specific x Putere suplimentara) Astfel cf. Art. 41. — Art. 41. — În situația în care punctul de racordare este la medie tensiune, într-o linie electrică aeriană, tariful specific pentru calculul componentei TI a tarifului de racordare se notează i5 și se stabilește utilizând următoarea formulă: i5=iMTA+I ST 110/MT i5=97000+432000=529.000 lei Ti= Sev (MVA)*529000 lei/MVA Aplicand formula de calcul a tarifului specific rezulta componenta Ti a tarifului de intariri Ti = i5 x Pa = 529.000 lei/MVA x 4,93 MVA = 2.607.970,00 lei. Lucrari de intarire comune: componenta Ti = 2.607.970,00 lei calculata pe baza de indici. Lucrari de intarire comune: componenta Ti = 14.371.200 lei + TVA calculata conform DG. LEA 110kV Buzias-Timisoara - 32km. Ti=min(Tiind;Tidev)= 2.607.970,00 lei fara TVA . Materialele şi echipamentele care se utilizează la realizarea instalaţiei de racordare trebuie să fie noi, omologate sau certificate, după caz, dacă acest lucru este prevăzut în specificaţiile tehnice unificate, în conformitate cu procedurile aplicabile în ENEL Romania. Celelalte materiale şi echipamente, pentru care nu sunt elaborate specificaţii tehnice unificate, trebuie să fie noi, compatibile cu starea tehnică a instalaţiei, să îndeplinească cerinţele specifice de fiabilitate şi siguranţă. Durata constructie linii aeriene 110 kV 14 luni/buc + 30 zile/km/buc Durata realizare pentru lucrarile de intarire necesare in RED este de : 1 bucx14luni*22zile+30 zile/km*32km=1268 zile lucratoare În aceste evaluări nu sunt cuprinse valorile aferente costului terenului şi reglementarea juridică a acestuia, lucrări ce cad în sarcina utilizatorului.</t>
  </si>
  <si>
    <t>SC NICO SOLAR ENERGY SRL</t>
  </si>
  <si>
    <t>A20 GHILAD-FRATELIA TM</t>
  </si>
  <si>
    <t>AOT ENERGY S.R.L.</t>
  </si>
  <si>
    <t>AOT Energy</t>
  </si>
  <si>
    <t>CETATE 110/20/10 KV</t>
  </si>
  <si>
    <t>Lucrari de intarire in instalatiile OTS : Putere CEF Helios Arad  Trecerea integrala la 400kV a întregului Ax de Vest – 3 etape (termen estimat PIF - 2028),, Lucrari de intarire determinate de necesitatea asigurarii conditiilor tehnice in vederea evacuarii puterii aprobate pentru centrala CEF Helios Arad 77,4 MW: Realizarea lucrărilor de întărire aflate in Planul de dezvoltare al Transelectrica 2022-2031: ,,proiect 144 “Mid Continental East Corridor” - Trecerea la tensiunea de 400kV a axului Porțile de Fier – Reșița – Timișoara – Săcălaz – Arad: Extindere statie 400kV Porțile de Fier; LEA 400kV Porțile de Fier – Reșita; stația 400kV Reșița: • Etapa 1: - Extindere statie 400kV Portile de Fier – finalizare 2025; - LEA 400kV Portile de Fier – Resita – finalizare 2024; • Etapa 2: - Statia Timisoara 400 kV – finalizare 2026; - LEA 400kV Resita-Timisoara-Sacalaz – termen de finalizare 2026; • Etapa 3: - LEA 400kV dc Timisoara-Arad – termen de finalizare 2027; - Statia Sacalaz 400kV si retehnologizare statia Sacalaz 110kV – finalizare 2029; - Extindere statie 400kV Arad si retehnologizare statie 110 kV Arad – termen de finalizare 2028. Puterea maxima care poate fi evacuata pana in anul 2028, fara realizarea lucrarilor de intarire din planul RET la N si N-1 elemente in functiune:  este de 65 MW/72,22MVA. Puterea maxima de 72MW/80MVA poate fi evacuata dupa finalizarea trecerii la 400kV a întregului Ax de Vest (2028) care include amplificarea statiei Arad ce va fi echipata cu: - doua transformatoare 400/110kV de 250MVA; - un autotransformator 220/110kV 200MVA; - un autotransformator 400/220kV 400MVA. Beneficiarul centralei CEF Helios Arad 77,4 MW doreste functionarea limitata la o putere de 65MW/72,22MVA si nu doreste aplicarea pentru prevederile ord. 81/2022 cu referire la limitarea operationala a puterii tinand cont de contingentele la care au rezultat suprasarcini in RET, pana la finalizarea lucrarior din Planul de dezvoltare RET. Lucrari de intarire in instalatiile OD : nu este cazul</t>
  </si>
  <si>
    <t>Realizare Centrala Electrica Fotovoltaica si racordare la SEN</t>
  </si>
  <si>
    <t>A20 AX 2-FANTANELE AR</t>
  </si>
  <si>
    <t>KMG ROMPETROL DEVELOPMENT SRL</t>
  </si>
  <si>
    <t>FANTANELE</t>
  </si>
  <si>
    <t>COMPANIA NATIONALA DE TRANSPORT AL ENERGIEI ELECTRICE "TRANSELECTRICA" S.A.</t>
  </si>
  <si>
    <t>SERVICII PROPRII c.a. STATIA 400/220/110 KV MINTIA</t>
  </si>
  <si>
    <t>Punct de conexiune racordat in PC Mintia CFR, cu realizarea urmatoarelor lucrari : - montare celula de linie 20 kV (DY 803/416) PC Mintia CFR; - racord subteran 20 kV cu cablu MT 3x(1x185)Al mmp (DC 4385 RO) in lungime de 300 m, pozat in tub PVC (DC 4235 RO si DS 4247 RO); - punct de conexiune cu 2 compartimente (de racordare si de utilizator - unul pentru instalatiile electrice din E-DISTRIBUTIE Banat SA si unul pentru instalatiile electrice ale consumatorului), cu urmatoarea componenta : 1 celula de linie de medie tensiune extensibil (DY 803/416), 1 celula de masura echipata cu separator de sarcina (izolatie in SF6) si CLP (DY 803/316 ed. 2), 2 transformatoare de tensiune 20/0,1 kV (DY 4141/3 RO), 2 transformatoare de curent avand raportul de transformare 50/5 A, cls. 0.2S. Lucrari finantate de beneficiar ce devin proprietatea acestuia : - constructia cu 2 compartimente (unul pentru instalatiile electrice din gestiunea E-DISTRIBUTIE Banat SA cu dimensiuni interne de cel putin 2 ,5*2,5*2,4 (l*L*h) m) si unul pentru instalatiile electrice ale consumatorului a) cabina în anvelopă prefabricată sau în construcţie zidită va avea caracteristici structurale cel puţin echivalente cu cele din prescripţiile ENEL DG 10061RO b) cabina înglobată în constructie existenta (clădire civilă) trebuie să aibă caracteristicile structurale cel puţin echivalente cu cele din prescripţiile ENEL DG 2091 - celula de racord si celula cu întrerupator automat cu protectie generala maximala de curent si impotriva punerilor la pamant, montate in compartimentul utilizatorului; - LES 20 kV de Cu, sectiune minima de 95 mmp (L=10 m), inclusiv capetele terminale, între celula de masura si celula de sosire din compartimentul consumatorului. Daca nu se poate respecta aceasta conditie, se va monta celula cu intrerupator pe cablul de alimentare; - priza de pamant interioara si exterioara aferenta cladirii in care se monteaza echipamentele punctului de alimentare; - compartimentul ENEL va fi echipat cu instalatie de serviciu (iluminat si o priza electrica monofazata) care va fi alimentata din instalatia consumatorului prin grija acestuia; - accesul in compartimentul ENEL si la contorul de energie electrica se va realiza din domeniu public. • Utilizatorului ii incumba obligatia de a realiza prin finantare directa instalatia de utilizare aferenta obiectivului si de a depune dosarul instalatiei de utilizare (elaborat de un agent economic autorizat sau electrician autorizat ANRE), anterior realizarii instalatiei de alimentare cu energie electrica. • Tariful de racordare a fost calculat pe baza de deviz general conform HG 907/2016. • Este necesara obtinerea autorizatiei de construire pentru instalatia de racordare si avizare in CTE a proiectului tehnic.</t>
  </si>
  <si>
    <t>OMNIA PLAST S.R.L.</t>
  </si>
  <si>
    <t>AKCENT LAND DEVELOPMENT SRL</t>
  </si>
  <si>
    <t>17621073</t>
  </si>
  <si>
    <t>EDEN HOUSE DEVELOPMENT SRL</t>
  </si>
  <si>
    <t>A.E.E. - ansamblu cu functiuni mixte</t>
  </si>
  <si>
    <t>17468062</t>
  </si>
  <si>
    <t>09928933</t>
  </si>
  <si>
    <t>ZABOLOTEANU EUGEN</t>
  </si>
  <si>
    <t>CEF SOL1 -1,287 MWP, LOC. CATAMARESTI-DEAL, COM. MIHAI EMINESCU, JUD. BOTOSANI</t>
  </si>
  <si>
    <t>QUALIS ENERGY SRL</t>
  </si>
  <si>
    <t>celula (PT+Masura) proiectata din (PCT) – Kron Trans Premier</t>
  </si>
  <si>
    <t>SC MONTANA CAMPENI SRL</t>
  </si>
  <si>
    <t>CAMPENI</t>
  </si>
  <si>
    <t>conexiunea 20 kV - celulele 20 kV IPL1 si IPL2 din Statia 110/20 kV Campeni</t>
  </si>
  <si>
    <t>IPEC SA</t>
  </si>
  <si>
    <t>ALBA IULIA</t>
  </si>
  <si>
    <t>LEA 20 kV Pompe Mures intre stalpii nr. 16 si 17, PTAB 1 20/20 kV PC IPEC</t>
  </si>
  <si>
    <t>POLISANO PHARMACEUTICALS SA</t>
  </si>
  <si>
    <t>PTZ 50 20/20 KV TURNISOR</t>
  </si>
  <si>
    <t>IREI RENEWABLES S.R.L.</t>
  </si>
  <si>
    <t>LEA 20 KV COPSA-BLAJ</t>
  </si>
  <si>
    <t>SC INGENIOUS MACHINERY SOLUTIONS SRL</t>
  </si>
  <si>
    <t>VELT</t>
  </si>
  <si>
    <t>LEA 110 kV Tarnaveni – Medias</t>
  </si>
  <si>
    <t>S.C. SOLAR ECO VISION S.R.L.</t>
  </si>
  <si>
    <t>VALEA LUNGA</t>
  </si>
  <si>
    <t>LEA 20 kV Blaj -Copsa</t>
  </si>
  <si>
    <t>GLODENI SOLAR SRL</t>
  </si>
  <si>
    <t>GLODENI</t>
  </si>
  <si>
    <t>Bara 110 kV din Statia de Conexiuni 110 kV Glodeni (existenta) / similar cu (CEF) Glodeni 1</t>
  </si>
  <si>
    <t>SERVICII ALL INN SRL</t>
  </si>
  <si>
    <t>AIUD</t>
  </si>
  <si>
    <t>LEA 20 kV Teius, alimentata din Statia 110/20 kV Aiud</t>
  </si>
  <si>
    <t>MVM FUTURE ENERGY TECHNOLOGY S.R.L.</t>
  </si>
  <si>
    <t>ARCUS</t>
  </si>
  <si>
    <t>Statia 110 / 20 kV - Valea Crisului (Bara A - 110 kV)</t>
  </si>
  <si>
    <t>RENEW ENERGY SRL</t>
  </si>
  <si>
    <t>GARBOVA</t>
  </si>
  <si>
    <t>La stalpul nr.263 tip SE 7 existent al LEA 20 kV Sebes-Apold, LEA 20 KV APOLD 7D01O312</t>
  </si>
  <si>
    <t>TNV SOLAR ENERGY SRL</t>
  </si>
  <si>
    <t>barele 110 kV aferente Statiei 110 / 20 kV Tarnaveni</t>
  </si>
  <si>
    <t>TRV SOLAR PARC SRL</t>
  </si>
  <si>
    <t>FLEXIGRID ENERGY SRL</t>
  </si>
  <si>
    <t>GLORIANI GROUP SRL</t>
  </si>
  <si>
    <t>LEA 20 KV JIDVE</t>
  </si>
  <si>
    <t>GELSTAR COM SRL</t>
  </si>
  <si>
    <t>CRACIUNESTI</t>
  </si>
  <si>
    <t>LEA 20 KV UNGHENI-CRISTESTI</t>
  </si>
  <si>
    <t>EXPERTAROM FOOD INGREDIENTS SRL</t>
  </si>
  <si>
    <t>PTZ 21 20/0,4 KV TURNISOR</t>
  </si>
  <si>
    <t>TN25348</t>
  </si>
  <si>
    <t>PROSUMATOR 
PMS_EVACUATA=0,99MW
PMS_ABSORBITA=2,4MW</t>
  </si>
  <si>
    <t>HEPA PROJECT ENERGY SRL</t>
  </si>
  <si>
    <t>barele 110 kV aferente Statiei 110 / 20 kV Sebes</t>
  </si>
  <si>
    <t>FREE ENERGY SRL</t>
  </si>
  <si>
    <t>MN15802</t>
  </si>
  <si>
    <t>U.A.T. MUNICIPIUL BUZAU</t>
  </si>
  <si>
    <t>LEA 20 kV Frasinu</t>
  </si>
  <si>
    <t>NORTH POWER SRL</t>
  </si>
  <si>
    <t>SALCIOARA</t>
  </si>
  <si>
    <t>LEA 20 kV Mircea Voda</t>
  </si>
  <si>
    <t>MN15671</t>
  </si>
  <si>
    <t>MN15675</t>
  </si>
  <si>
    <t>RES INVEST SOUTH EAST EUROPE SRL</t>
  </si>
  <si>
    <t xml:space="preserve"> LEA 110 kV dublu circuit Cluj Sud - Poiana</t>
  </si>
  <si>
    <t>barele de 20 kV din Statia 110/20/6 kV Mihai Viteazu</t>
  </si>
  <si>
    <t>perioada probe</t>
  </si>
  <si>
    <t>TN25064</t>
  </si>
  <si>
    <t>MW TRADE SRL</t>
  </si>
  <si>
    <t>LEA 20 kV Moftin alimentata din Statia Carei 1;</t>
  </si>
  <si>
    <t>TS16343</t>
  </si>
  <si>
    <t>TS5470</t>
  </si>
  <si>
    <t>TS4979</t>
  </si>
  <si>
    <t>TS5288</t>
  </si>
  <si>
    <t>TS5287</t>
  </si>
  <si>
    <t>TS17469</t>
  </si>
  <si>
    <t>TS15780</t>
  </si>
  <si>
    <t>TS15036</t>
  </si>
  <si>
    <t>TS15041</t>
  </si>
  <si>
    <t>TS14233</t>
  </si>
  <si>
    <t>TS9030</t>
  </si>
  <si>
    <t>TS16058</t>
  </si>
  <si>
    <t>TS18609</t>
  </si>
  <si>
    <t>TS15067</t>
  </si>
  <si>
    <t>TS15061</t>
  </si>
  <si>
    <t>TS17169</t>
  </si>
  <si>
    <t>TS17164</t>
  </si>
  <si>
    <t>TS16924</t>
  </si>
  <si>
    <t>TS16916</t>
  </si>
  <si>
    <t>TS15943</t>
  </si>
  <si>
    <t>TS16871</t>
  </si>
  <si>
    <t>TS3216</t>
  </si>
  <si>
    <t>TS8133</t>
  </si>
  <si>
    <t>TS11858</t>
  </si>
  <si>
    <t>TS11666</t>
  </si>
  <si>
    <t>TS12906</t>
  </si>
  <si>
    <t>TS18483</t>
  </si>
  <si>
    <t>TS8579</t>
  </si>
  <si>
    <t>TS11906</t>
  </si>
  <si>
    <t>TS11905</t>
  </si>
  <si>
    <t>TS17775</t>
  </si>
  <si>
    <t>TS11921</t>
  </si>
  <si>
    <t>TS17609</t>
  </si>
  <si>
    <t>TS19670</t>
  </si>
  <si>
    <t>TS21306</t>
  </si>
  <si>
    <t>TS21172</t>
  </si>
  <si>
    <t>N&amp;C TURISM SRL</t>
  </si>
  <si>
    <t>SPRING</t>
  </si>
  <si>
    <t>LEA 110 kV Miercurea Sibiului – Petresti.</t>
  </si>
  <si>
    <t>SOLAR GRID SRL</t>
  </si>
  <si>
    <t>PACLITA</t>
  </si>
  <si>
    <t>Derivatiei 20 kV din LE 20 kV PT207 catre PT76, (alimentare din Statia 110 / 20 kV Barabant, prin PA 1 Alba)</t>
  </si>
  <si>
    <t>SIBIL CONINVEST S.R.L.</t>
  </si>
  <si>
    <t>TALMACIU</t>
  </si>
  <si>
    <t xml:space="preserve"> LES 20 kV existent PCT 29 - PT 30 Talmaciu.</t>
  </si>
  <si>
    <t>DONCA ENERGY SRL</t>
  </si>
  <si>
    <t>LEA 20 kV ST PREJMER-ST ZIZIN</t>
  </si>
  <si>
    <t>NRE SIBIU SHOPPING CITY SRL</t>
  </si>
  <si>
    <t>PT 336 Sibiu</t>
  </si>
  <si>
    <t>HYPERION SOARE OLT SRL</t>
  </si>
  <si>
    <t>LEA 110 kV Orlat - Miercurea</t>
  </si>
  <si>
    <t>REENERGY SOLARFUN SRL</t>
  </si>
  <si>
    <t>SINCAI</t>
  </si>
  <si>
    <t>LEA 20 kV SAULIA din Statia 110 / 20 kV Raciu</t>
  </si>
  <si>
    <t>PERIOADA PROBE</t>
  </si>
  <si>
    <t>TS2734</t>
  </si>
  <si>
    <t>TS5092</t>
  </si>
  <si>
    <t>TS5554</t>
  </si>
  <si>
    <t>TS5696</t>
  </si>
  <si>
    <t>TS5025</t>
  </si>
  <si>
    <t>TS8328</t>
  </si>
  <si>
    <t>TS4775</t>
  </si>
  <si>
    <t>TS20759</t>
  </si>
  <si>
    <t>TS12303</t>
  </si>
  <si>
    <t>TS4251</t>
  </si>
  <si>
    <t>TS14141</t>
  </si>
  <si>
    <t>CTPARK TAU SRL</t>
  </si>
  <si>
    <t>distribuitorul LES 20 kV intre PT 76T si PT 80T</t>
  </si>
  <si>
    <t>TS16207</t>
  </si>
  <si>
    <t>EMOBILITY CHARGING SRL</t>
  </si>
  <si>
    <t>LEA 20 kV PA Vestem – Talmaciu (PT4 Vestem) si LEA 20 kV PA Vestem - Vestem</t>
  </si>
  <si>
    <t>STATII DE INCARCARE MASINI ELECTRICE</t>
  </si>
  <si>
    <t>FEPER S.A. BUCURESTI</t>
  </si>
  <si>
    <t xml:space="preserve"> Statia 110/20 kV Predeal</t>
  </si>
  <si>
    <t>COMPANIA APA BRASOV SA</t>
  </si>
  <si>
    <t>HARMAN</t>
  </si>
  <si>
    <t>Statia 110/20/6 kV Pompe Olt</t>
  </si>
  <si>
    <t>ERTEX INTERNATIONAL SRL</t>
  </si>
  <si>
    <t>CODLEA</t>
  </si>
  <si>
    <t>LES 20 KV ST CODLEA -PCT 96 ERTEX</t>
  </si>
  <si>
    <t>CTPARK BRASOV SRL</t>
  </si>
  <si>
    <t>celulele J16 si J18 din Statia 110/20 kV Stupini;</t>
  </si>
  <si>
    <t>MN16050</t>
  </si>
  <si>
    <t>MN5255</t>
  </si>
  <si>
    <t>SUN PEONY S.R.L.</t>
  </si>
  <si>
    <t>ZAVOAIA</t>
  </si>
  <si>
    <t>LEA 20 kV SRPA 81-82 din statia 110/20 kV Dudesti</t>
  </si>
  <si>
    <t>VIBRANTZ PERFORMANCE PIGMENTS ROMANIA SRL</t>
  </si>
  <si>
    <t>LEA 20 kV Doicești alimentată din Stația 110/20 kV Pucioasa</t>
  </si>
  <si>
    <t>TN26274</t>
  </si>
  <si>
    <t>BATTILANI MASSIMO</t>
  </si>
  <si>
    <t>LEA 20 kV Cariera Birtz</t>
  </si>
  <si>
    <t>DB5 LIGHT THREE S.R.L.</t>
  </si>
  <si>
    <t>LEA 20 KV JIBOU - HUEDI</t>
  </si>
  <si>
    <t>PARCURI INDUSTRIALE MARAMURES SA</t>
  </si>
  <si>
    <t>FARCASA</t>
  </si>
  <si>
    <t>Statia de transformare Somcuta 110/20 kV</t>
  </si>
  <si>
    <t>SOMCUTA MARE</t>
  </si>
  <si>
    <t>la Statia de transformare Somcuta 110/20 kV</t>
  </si>
  <si>
    <t>SC SGROM TWENTY THREES SRL</t>
  </si>
  <si>
    <t>PARC FOTOVOLTAICA SALCEA 2,750MW,  LOC. SALCEA, JUD. SUCEAVA, NC 31478, 38604, 38567, 37295, 37292,</t>
  </si>
  <si>
    <t>Statia Bularga , jud. Iași</t>
  </si>
  <si>
    <t>MONSSON S.R.L.</t>
  </si>
  <si>
    <t>CENTRALA ELECTRICA GENERATOARE DIN SURSE REGENERABILE_5MW</t>
  </si>
  <si>
    <t>la 20kV - LEA 20kV 8001( st. 18) alimentată din stația 110/20kV Gălbiori</t>
  </si>
  <si>
    <t xml:space="preserve">	
A20 8001 GALBIORI- GALBIORI CT</t>
  </si>
  <si>
    <t>Solutia de racordare existenta: PC 20kV nr. 1652 racordat radial la LEA 20kV 8001( st. 18) alimentată din stația 110/20kV Gălbiori. Lucrari pe tarif de racordare: -inlocuirea TC existente in compartimentul de utilizare cu TC -uri( compatibile cu tipul celule existente in comp. de utilizare ), cl. 0,5s ,raport de transformare 400/5A -inlocuire transformatoare de măsură de tensiune existente, cl. 0,5 cu transformatoare de măsură cu același raport de transformare si clasa precizie 0,2. Lucrari prin grija utilizatorului : 1. In compartimentul utilizator al PC 1652,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2. Montarea unui Punct de Conexiune nou, ce se va racorda în Punctul de conexiune 1652 existent compartiment utilizator , printr-un cablu 20kV. Punctul de Conexiune nou va fi echipat cu 5 celule 20kV echipate cu întrerupător, având următoarele funcții: - Celulă de racordare in Punctul de Conexiune existent 1562 comp utilizare - Celulă de plecare spre Bateria de Stocare, care se racordează în noul PC printr-un transformator JT/20kV 6MVA - Celulă de plecare spre turbina eoliană nouă - 2 celule plecare spre instalațiile fotovoltaice, care se racordeaza în noul PC prin 2 transformatoare 0,8/20kV 3150kVA -LES 20kV intre PC 20kV nou proiectat si CEF in lungime de cca 1km Instalatia de AUTOMATIZARE PENTRU LIMITAREA INJECȚIEI ÎN REȚEA LA 5MW “Solutia de racordare la retea a locului de producere si stocare actualizat implica utilizarea aceluiasi punct de conexiune existent 1652-compartiment utilizare, prin celula de linie 20 kV existenta (la care se racordeaza in prezent cele doua turbine existente) in care, printr-un LES 20 kV de sub 1 km. se va racorda un nou punct de conexiune 20 kV proiectat ce va deservii cele 3 noi surse de energie (fotovoltaic, Eolian si IS).” Pentru funcționarea corespunzătoare a unei astfel de centrale de producere cu instalație de stocare, în celula de plecare spre rețea a punctului de conexiune va fi instalat și un terminal numeric de protecție cu funcție de putere maximă, care – ca măsură suplimentară de siguranță – va declanșa întreruptorul celulei de fiecare dată când puterea activă va atinge pragul de 5 MW. Funcția de putere poate fi configurată cu 2 trepte, astfel încât prima treaptă va semnaliza doar apropierea de pragul de declanșare (opțional poate transmite o semnalizare și sistemului PPCS), iar treapta a doua va conduce la declanșare. Odată cu modificarea unor elemente tehnice ale locului de producere prin instalarea unor noi elemente de producție și stocare, mai precis prin înlocuirea celor două turbine eoliene existente de 2,5 MW cu o singură turbină eoliană de 6 MW, prin instalarea unui nou parc fotovoltaic de 5 MW și prin adăugarea unei instalații de stocare de 5 MW / 4 h, sistemul PPCS existent va trebui să fie reconfigurat ca să poată gestiona funcționarea noului loc de producere și stocare Gălbiori astfel încât puterea activă evacuată în rețea să nu depășească în nicio circumstanță valoarea de 5 MW. Prin mărirea capacității de producție a centralei de producere Gălbiori și prin apariția unei noi instalații de stocare, în ciuda caracterului variabil al surselor de energie regenerabilă utilizate se va putea controla funcționarea centralei astfel încât să genereze putere în bandă. Prin asigurarea unei instalații de stocare suficient de mari (5 MW putere de încărcare/descărcare și 20 MWh capacitate de stocare), surplusul de producție din energie regenerabilă (eoliană, fotovoltaică sau mixtă) poate fi încărcat în aceasta și poate fi evacuat atunci când există un deficit de producție. Funcționarea procesului de producție al locului actualizat de producere și stocare va fi implementată în continuare de sistemul de control al centralei PPCS, cu precizarea că o parte din funcționalitate va trebui asigurată printr-o componentă software și hardware separată de tip EMS (Energy Management System) care va putea fi fie o parte integrantă a sistemului PPCS, sau, după caz, va fi o componentă separată de sistemul PPCS, dar care se va coordona cu sistemul PPCS al centralei. Sistemul EMS va comanda încărcarea instalației de stocare când va exista surplus de producție față de valoarea de putere considerată pentru funcționarea în bandă și respectiv va comanda descărcarea instalației de stocare când va exista un deficit de producție față de valoarea de putere considerată pentru funcționarea în bandă.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 Beneficiarul a precizat ca punerea in functiune a centralei se va realiza etapizat astfel: 1.,,Etapa I - Dec. 2023 – Instalatia fotovoltaica (Pa = 5MW) 2.,,Etapa II- Iun. 2024 – Instalatia de Stocare 5MWx4h = 20MWh 3.,,Etapa III- Iun. 2025 – Turbina eoliana;</t>
  </si>
  <si>
    <t>BIOCHEM ORGANICS SRL</t>
  </si>
  <si>
    <t>Centru Colectare Produse Agricole</t>
  </si>
  <si>
    <t>SOCIETATEA NATIONALA AEROPORTUL INTERNATIONAL MIHAIL KOGALNICEANU-CONSTANTA S.A.</t>
  </si>
  <si>
    <t>Dezvoltare terminal si parcare</t>
  </si>
  <si>
    <t>ORGANIZATIA UTILIZATORILOR DE APA PTR. IRIGATII IVANESTI SRPP II</t>
  </si>
  <si>
    <t>STATIE PUNERE SUB PRESIUNE SRPP II</t>
  </si>
  <si>
    <t>RO005E514109981</t>
  </si>
  <si>
    <t>1.501,2</t>
  </si>
  <si>
    <t>RO005E522525600 / 1</t>
  </si>
  <si>
    <t>RO005E522545433/1</t>
  </si>
  <si>
    <t>RO005E514221560 / 1</t>
  </si>
  <si>
    <t>UNIVERSITATEA DE VEST TIMISOARA</t>
  </si>
  <si>
    <t>CAMIN STUDENTESC</t>
  </si>
  <si>
    <t>Alimentarea noului consumator se va face dintr-un PC 20kV in anvelopa de beton pusa la dispozitie de catre beneficiar, cu masura MT, racordat LES 20kV nr. 3 DUMBRAVITA intre T 21734 si T 51742, cu realizarea urmatoarelor lucrari: Se intercepteaza LES 20kV nr. 3 DUMBRAVITA intre T 21734 si T 51742 prin 2 seturi de mansoane (cf. DJ 4387 RO); Se va poza (in domeniul public) un cablu de medie tensiune tripolar cu elice vizibila pentru montare subterana, izolat in polietilena reticulara de grosime redusa, Al 3x1x185 mmp, cu ecran in tub de aluminiu sub invelis de PVC sau PE (cf. DC 4385 RO), in lungime de 2x500m (din care 3m rezerva la manson, 10m in punctul de conexiune, 285m taiere in drum asfalt, 115m foraj asfalt,100m spatiu verde) pana la punctul de conexiune 20kV proiectat. -Cablul se va poza in sapatura deschisa la o adincime de 0.8-1 m, protejat in tub de polietilena reticulara, acoperit cu un strat de nisip de 20 cm masurat de la partea superioara a tubului, semnalizat cu benzi avertizoare cf. DS4235RO si DS4247RO. Echipare compartiment racordare pus la dispozitie de beneficiar: -,, 2 buc celule modulare de linie de 24kV, 630A, 16 kA(1s), cu separator de sarcina in SF6 si CLP, conform DY803/2-LE ed.3 PT; Compartimentul Enel trebuie sa permita o dezvoltare ulteriora cu inca o celula de line; -,,1 buc celula de masura cu separator de sarcina, conform DY803M/316-UTM ed.2, cu doua TT 20/0,1 kV, conform DMI031015RO, clasa de precizie 0,5 si 2 buc TC de 400/5A, conform DM031052RO, clasa de precizie 0,5S; Ralizarea grupului de masura a energiei electrice pe MT, prin montarea unui contor electronic trifazat 2x100V, 5A, clasa de precizie 0,5S, cu curba de sarcina, cu interfata seriala RS232, cu sistem de teletransmise, in montaj indirect (TT 20/0,1 kV conform DMI031015RO, clasa precizie 0,5, TC 400/5A conform DM031052RO, clasa precizie 0,5S si cordon de conectare grup de masurare cinform DMI031011RO). Contorul va fi astfel amplasat incat sa fie posibila citirea lui din exteriorul punctului de conexiune atat de catre consummator cat si de distribuitor; -,,Rezistente in celulele MT – 2 buc si termohigrostat in PC 20 kV – 3 buc; PC 20 kV va fi astfel amplasat astfel incat accesul in PC 20 kV sa fie direct din domeniul public. Lucrari finantate de beneficiar, realizate prin grija lui, ce devin proprietatea acestuia: 1) Anvelopa PC de 20 kV realizata cu 2 compartimente cu acces separate (compartiment de racordare pentru acces personal Enel si compartiment utilizator pt acces utilizator). Compartimentul de racordare va fi cu actionarea echipantelor din interior si va avea caracteristici minime echivalente cu cele prevazute in Norma Tehnica Enel Ed. 3; 2) LES 20 kV cat mai scurta posibil (l≤20m), cu cablu de cupru de sctiune minima 95 mmp, intre celula de masura din compartimentul de racordare si celula cu intrerupator din compartimentul utilizatorului; 3) Celula de sosire in compartimentul utilizatorului va fi cu intrerupator general automat debrosabil (intrerupator automat + separator). Intrerupatorul va fi obligatoriu prevazut cu sistem de protectie generala maximala de current in trei trepte (la scurcircuit si la suprasarcina) si protectie homopolara de curent in doua trepte, contra punerilor la pamant monofazate respective bifazate, cu reglajul corelat cu celelalte protectii din instalatiile E-Distributie Banat SA 4) Instalatia de iluminat interior, prize si instalatia de legare la pamant a cladirii punctului de conexiune 5) LES 20 kV intre punctul de conexiune si postul trafo montat de beneficiar 6) Trafo 20/0.4kV 7) Realizare instalatiei de legare la pamant pentru noul PC, Rp, 4 ohmi; Masurarea energiei electrice se va face la MT, cu contor electronic trifazat 2x100V, 5A&lt;(&gt;,&lt;)&gt; clasa de precizie 0,5S, cu curba de sarcina, cu interfata RS232, cu sistem de teletransmisie, in montaj indirect (TT 20/0,1 kV conform DMI031015RO, clasa precizie 0.5, TC 400/5A conform DM031052RO, clasa precizie 0.5S si cordon de conectare grup de masurare cinform DMI031011RO). Delimitarea intre instalatiile distribuitorului si cele ale consumatorului este la capetele terminale de racordare a LES 20kV plecare din compartimentul de racordare ale noului punct de conexiune. Traseele retelelor electrice si amplasamentul PC se vor stabili in cadrul proiectului tehnic de catre proiectantul de specialitate, conform avizelor obtinute si de comun acord cu beneficiarul lucrarii, astfel incat sa permita accesul pentru mentenanta si inlocuirea instalatiilor electrice defecte in timp util. Proiectul tehnic se va aviza in Comisia Tehnica de Avizare a Retele Electrice Banat SA – Zoan Retea MT/jt Timisoara. Materialele si echipamentele care se utilizeaza la realizarea instaltiei sa fie noi, omologate sau certificate, dupa caz, daca acest lucru este prevazut in specificatiile tehnice unificate, in conformitate cu procedurile aplicabile in Enel Romania. Celelalte materiale si echipamente, pentru care nu sunt elaborate specificatii tehnice unificate, trebuie sa fie noi, compatibile cu starea tehnica a instalatiei, sa indeplineasca cerintele specific de fiabilitate si siguranta.</t>
  </si>
  <si>
    <t>Imobil de regim de inaltime S+P+5E+Er/S+P+8E+Er</t>
  </si>
  <si>
    <t>Consta într-un PTanvelopa 20/0,4kV, racordat in cablu 20KV, LES 20KV 12 CETATE INTRE STATIA CETATE si T52103, cu realizarea urmatoarelor lucrari: -Se intercepteaza cablu 20KV, LES 20KV 12 CETATE INTRE STATIA CETATE si T52103 prin 2 seturi de mansoane (cf. GSCC004 REV.03); -Se va poza (in domeniul public) un cablu de medie tensiune tripolar cu elice vizibila pentru montare subterana, izolat in polietilena reticulara de grosime redusa, Al 3x1x185 mmp, cu ecran in tub de aluminiu sub invelis de PVC sau PE (cf. GSC001 REV.05), in lungime de 2x176m (din care 116m zona asfaltata, 3m rezerva la manson, 10m in postul de transformare, restul in zona verde) pana la postul de transformare 20/0,4kV proiectat. -Cablul se va poza in sapatura deschisa la o adincime de 0.8-1 m, protejat in tub de polietilena reticulara, acoperit cu un strat de nisip de 20 cm masurat de la partea superioara a tubului, semnalizat cu benzi avertizoare cf. DS4235RO si DS4247RO. - post detransformare (PT) in anvelopa, 20/0,4 kV-2x400kVA, cu gabarit pentru trafo de 2x630 kVA, (cf. DG 2092RO), echipat cu: - 2 buc celula linie 24 kV, 630A, Isc=16 kA, cu separator de sarcina in SF6 (cf. DY 803/2), telecontrolate; PT trebuie sa permita o dezvoltare ulterioara cu inca o celula de linie; - 2 buc. celula trafo cu separator de sarcina in SF6 si sigurante (cf. DY 803/3); - 2 buc. transformator 20/0,4 kV-400kVA cu pierderi reduse (cf. GST 001RO); - tablou JT: pe trafo 1 se vor monta 2 tablouri jt in care se vor racorda apartamentele, 1 SAD si spatiile comune de la corpul A, pompa incendiu si statiile de incarcare electrice iar pe trafo 2 se va monta 1 tablou jt in care se vor racorda apartamentele corp B si C, 4 sad-uri si 2 spatii comune, tablou cu doua iesiri (cf.DY3009RO) echipat cu intrerupatore tetrapolare automate JT, 250A(cf.DY3101RO)-5 buc.; - instalatie completa de iluminat interior/exterior si prize, tablou electric pentru servicii auxiliare, instalatie de iluminat si o priza bipolara cu întrerupator 16 A - 230 V cu siguranta automata; - montare echipamente de telecontrol cf. specificatiilor Enel ( UP standard pentru PT cf. DX1215RO, modul GSM cf. DX1226RO, antena cf. DN760RO, acumulatori cf. DY815RO) - rezistente in celulele MT (FT 170 MAT ED.01) – 4buc. si termohigrostat in PT (FT169 MAT-ED.01) – 4buc.; - PT va fi amplasat astfel incat accesul in PT sa fie direct din domeniul public; - legatura electrica intre bornele trafo si tabloul JT se va realiza cu cablu unipolar de Cu cu sectiunea de 240 mmp (cf. GSC001 REV.05), lungime 3x(4x8)m; - montare firida de distributie din poliester armat cu fibra de sticla, cu separatoare cu MPR, cu actionare pol cu pol si bare de cupru stanat, piulita fixata in bara, sistem de fixare cu coliere a cablurilor, cu soclu incastrat in beton, amplasate in domeniu public, in zona verde si prevazut cu o priza de pamant de maxim 4 ohmi –E2+6(echipata E2+4)- 2buc., E2+6(echipata E2+2)- 1buc; - legatura electrica intre intrerupatorul tetrapolar automat JT, 250A din postul de transformare (PT) proiectat si firida de distributie stradala se va realiza cu cablu tetrapolar cu elice vizibila cu conductoare Al 3x150+95Nmmp , izolate cu cauciuc sub manta de PVC (cf. DC4146RO GSC001 REV.05), lungime totala de 310m, protejat in tub (cf. DS 4237 RO) pe toata lungimea, prevazut in PT cu adaptori pentru scurtcircuitoare; - montarea tabloului de distributie si contorizare tip TDC (cf. FT-264_MAT) in sistem radial, amplasate pe soclu; - compartimentul de alimentare al TDC va fi echipat cu unul sau doua separatoare de 80A, (cf. FT-135_MAT) cate un separator 80A pentru fiecare grup de 12 contoare, prevazut cu adaptori pentru scurtcircuitoare; -tabloul vor fi de tip TDC(20MF)-2buc,TDC(17MF+1TF)-1buc ,TDC(18MF)-1buc,TDC(19MF)-1buc,TDC(2TF)-2buc,T DC(10TF)-1buc; - TDC se vor echipa cu intrerupatoare automate bipolare fixe de 40A, intrerupatoare automate tetrapolare fixe de 40A; - BMPTi 160A, TC 250/5A cls. 0.5s FT 133- 1buc; BMPTi 80A, TC 250/5A cls. 0.5s FT 133-3buc - legatura electrica intre firida de distributie stradala si TDC, se va realiza cu cablu JT Al 3x50+25Cmmp (cf. DC 4126RO GSCC014), lungime totala de 220m,( protejat in tub (cf.DS 4237RO) pe toata lungimea; - legatura electrica intre intrerupatorul tetrapolar automat JT, 250A din postul de transformare (PT) proiectat si BMPTi 160A, se va realiza cu cablu JT Al 3x95+35Cmmp (cf. DC 4126RO GSCC014), lungime totala de 25m,( protejat in tub (cf.DS 4237RO) pe toata lungimea; - TDC, BMPTi proiectate se vor lega la prize de pamant de potential maxim 4 ohmi, realizata prin grija beneficiarului. - In cazul in care instalatia de racordare si/sau deviere ocupa/traverseaza terenuri private se vor constitui/recunoaste drepturile reale de superficie/uz si servitute, dupa caz, in favoarea Enel, aferente imobilelor afectate de instalatia de racordare/capacitatile deviate. - Materialele si echipamentele care se utilizeaza la realizarea instalatiei trebuie sa fie noi si conforme cu cerintele din specificatiile tehnice unificate ENEL. Celelalte materiale si echipamente pentru care nu sunt elaborate specificatii tehnice unificate, trebuie sa fie noi, compatibile cu starea tehnica a instalatiei, sa indeplineasca cerintele specifice de fiabilitate si siguranta.</t>
  </si>
  <si>
    <t>AFI Arad</t>
  </si>
  <si>
    <t>Strip mall - etapa 3</t>
  </si>
  <si>
    <t>Beneficiarul solicita diminuarea valorii puterii avizate conform ATR 09649749 / 25.08.2022, de la 3820.00kW la 2184.00kW. Nu sunt necesare lucrari in instalatia de racordare existenta.</t>
  </si>
  <si>
    <t>UM 01249 ARAD</t>
  </si>
  <si>
    <t>MURESEL</t>
  </si>
  <si>
    <t>I. Lucrări pe tarif de racordare: Constă într-un PC anvelopa 20kV pus la dispozitie de catre beneficiar, cu masura MT racordat la LES 20kV 32M – MUREȘEL între PT 3448 și PT 3450, cu realizarea urmatoarelor lucrari: - Realizare LES 20kV în lungime de cca. 2x90m, cu cablu de Al 2x(3x185 mmp), conform GSC001 REV05, montat în tub între PT 3448 – PT 3450, în vederea racordării la LES 20kV existentă; Echiparea compartimentului de racordare din noul PC 20kV alimentat din LES 20kV proiectată, cu: - 2 buc. celule de linie de 24kV, 630A, 16 kA(1s), cu separator de sarcină în SF6 şi CLP, conform DY803/2-LE ed.3 (trebuie sa permita o dezvoltare ulterioara cu montare echipamente MT); - 1 buc. celulă de măsură cu separator de sarcină, conform DY803/4-UTM ed.3, echipată cu două TT 20/0,1 kV, conform DMI031015 RO, cls.0,5 şi două TC 50/5A conform DM031052 RO, cls.0,5S; - 1 buc. tablou pentru servicii auxiliare conform DY3016 RO ed.2, rezistenţe în celulele MT şi termo-higrostat în PC, care vor fi alimentate de la reţeaua de j.t. a clientului; - controlul incalzirii in compartimentul de racordare va fi realizat cu ajutorul unui termo-higrostat avind alimentarea cu e.e. din TSI; - Realizarea grupului de măsurare a energiei electrice pe MT, prin montarea unui contor electronic trifazat 2x100V, 5A, cu curbă de sarcină, cu sistem de teletransmisie, în montaj indirect (TT 20/0,1kV conform DMI031015 RO, cls.0.5, TC 50/5A conform DM031052 RO, cls.0,5S şi cordon de conectare grup de măsurare conform DMI031011 RO). Contorul se va pune la dispozitie de catre operatorul de distributie si va fi astfel amplasat încât să fie posibilă citirea lui din exteriorul PC atât de către client cît şi de distribuitor - Dezafectarea branșamentului j.t. din PT 3450 și demontarea grupului de măsură; II. Lucrări finanţate de beneficiar, realizate prin grija lui: - Clădirea punctului de conexiune cu două compartimente, unul pentru instalaţiile electrice din gestiunea Retele Electrice Banat şi unul pentru instalaţiile electrice ale utilizatorului. Compartimentul de racordare va fi cu exploatare din interior şi cu acces direct din exterior, va avea caracteristici minime echivalente cu cele prevăzute în prescripţiile Retele Electrice Banat DG10061RO, DG2061RO ed.2 şi DG2092RO şi un gabarit care să permită montarea de celule de linie. Asigurarea izolării postului, a măsurilor de PSI, a accesului în instalatii şi protecţiei faţă de eventualele inundaţii sau acumulări de gaze, vor fi în responsabilitatea proiectantului, constructorului și proprietarului părţii de construcţie a punctului de conexiune. PC va avea acces în compartimentul de racordare direct din exterior. - LES 20kV cît mai scurtă posibil (max.20m), cu cablu de cupru de secţiune min.95 mmp, între celula de măsură din compartimentul de racordare şi celula cu înterupător din compartimentul utilizatorului; - Celulă sosire echipată cu un separator tripolar şi a unui întrerupător automat în compartimentul utilizatorului. Intrerupătorul va fi obligatoriu prevăzut cu sistem de protecţie generală maximală de curent şi împotriva defectelor de punere la pămînt, cu reglajul corelat cu celelalte protecţii din instalaţiile Retele Electrice Banat; - Instalaţia iluminat interior, prize şi instalaţia de legare la pământ a clădirii PC - Realizarea instalaţiei de utilizare Punctul de alimentare 20 kV se va amplasa la limita de proprietate și va avea acces în compartimentul de racordare direct din exterior prin realizarea de către clienta unei căi de acces. Traseele reţelelor electrice şi amplasamentul PC proiectat, se vor stabili în cadrul proiectului tehnic de către proiectantul de specialitate, conform avizelor obţinute şi de comun acord cu clientul, astfel încît să permită accesul pentru mentenanţă şi înlocuirea instalaţiilor electrice defecte în timp util. Proiectul tehnic se va aviza în CTE a Retele Electrice Banat. Se respectă distanțele de siguranță conform Ordin ANRE 239 “Normă tehnică privind delimitarea zonelor de protecţie şi de siguranţă aferente capacităţilor energetice”</t>
  </si>
  <si>
    <t>BISALTA SRL</t>
  </si>
  <si>
    <t>CEE Bisalta Ciuchici</t>
  </si>
  <si>
    <t>LEA 110KV ORAVITA-MOLDOVA NOUA 2</t>
  </si>
  <si>
    <t>Conform lucrarii: L. 2267/2022 revizia 3 - elaborata de  SC QMB Energ SRL si avizata de Retele Electrice Banat SA (fost E-Distributie Banat SA) cu documentul Aviz CTE nr. 70/03/06.09.2023,  respectiv la CNTEE Transelectrica SA cu aviz CTES nr. 103/2023, Varianta 1 din studiu de solutie pentru care utilizatorul a optat in scris prin adresa din data de 10.04.2023, tinand seama de situatia energetica din zona precum si de datele solicitate de utilizator racordarea se va realiza prin Stație de interconexiune intrare-ieșire amplasata în apropierea liniei existente LEA 110kV Oravita – Moldova Noua 2 intre stiplii 50 – 51, pe un teren pus la dispoziție de Beneficiarul parcului eolian la care se va racorda noua stație de transformare aferentă CEE Bisalta Ciuchici 110/33kV. Staţie de transformare de 110/33kV- 63 MVA, amplasată pe terenul beneficiarului parcului şi racordată la SEN prin realizarea unui racord LES 110 kV simplu circuit, cu realizarea urmatoarelor lucrari : I. Lucrari pe tarif de racordare conform Ordin ANRE nr. 59/2013 cu completarile si  modificarile ulterioare:  -Plantare 1 stilp 110 kV de tip ITNTr110264 - realizarea unei noi staţii de conexiuni, intrare-ieșire de 110 kV integrata in sistemul de telecontrol existent al Operatorului de Distributie (OD) amplasată pe terenul pus la dispoziţie de beneficiarul parcului şi racordată la SEN în buclă între staţia Oravița şi Moldova Nouă. Staţia de conexiuni 110 kV va fi amplasata langa LEA 110 kV Oravita – Moldova Noua circuitul 2. Prin realizarea noi statii de conexiuni vor rezulta urmatoarel linii: LEA110 kV Oravita – Ciuchici (15 ,4km) si LEA110 kV Ciuchici –Moldova Noua (29,1 km) Statia de conexiune intrare-iesire va fi prevăzuta cu: - doua celule 110 kV echipate complet, fiecare cu cate un întrerupător cu comanda unitripolara si RAR monofazat; - separator 110 kV de by-pass in amonte de celulele de linie sosire din LEA; - bară colectoare 110 kV simplă sectionata cu doua separatoare; - celula de 110 kV plecare spre utilizator echipata cu separator 110 kV și grup de măsură; contorul se va achizitiona si monta de catre OD; - protecții adecvate liniilor în celulele de linie plecare spre stațiile adiacente, inclusiv protectie diferentiala pe LEA 110 kV Ciuchici – Oravita; - servicii interne c.c. şi c.a.: serviciile interne de c.c. se vor asigura printr-o stație de energie. Serviciile de c.a. 0,4 kV se vor asigura din instalațiile Utilizatorului printr-un ATR distinct dintr-o retea de medie tensiune. cu rezervare prin grup electrogen.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 Retele Electrice Banat. Dispozitivul general se montează la o distanta de maxim 50 m fata de separatorul de linie aferent celulei de masura ce asigura delimitarea dintre instalatia de racordare si cea de utilizare. În vederea asigurării căii de comunicație pentru protecția diferențială si integrarea in sistemul de telecontrol, se va monta un cablu de tip OPGW între st. 110kV Ciuchici și stația adiacentă 110kV Oravița. Echiparea statiei de conexiuniva fi urmatoarea:  - celula LEA 110kV – 2 buc.    ▪ 3 DRV ZnO 123kV    ▪ 3 x TT 110/ √ 3//0,1/ √ 3//0,1/ √ 3//0,1kV    ▪ 1 separator tripolar linie cu două CLP 123kV, 1600A    ▪ 3 x TC 110kV 2x300/5/5/5A    ▪ 1 întrerupător tripolar 145kV, 2000A    ▪ 1 separator bare tripolar cu un CLP, 123kV, 1600A ; -  celula by-pass 110kV – 1 celula.    ▪ 1 separator tripolar de linie cu CLP 123kV, 1600A  - Sectionarea barei de 110 kV    ▪  2 separatoare tripolare de bare cu două CLP 123kV, 1600A  -  celula masura – 1 celula.    ▪ 3 CT 123kV    ▪ 3 x TT 110/ √ 3//0,1/ √ 3//0,1/ √ 3//0,1kV    ▪ 1 separator tripolar linie cu două CLP 123kV, 1600A    ▪ 3 x TC 110kV 2x200/5/5/5A    ▪ 1 separator bare tripolar cu un CLP, 123kV, 1600A Toate echipamentele de circuite primare și secundare vor fi conform specificatiilor tehnice Retele Electrice Banat SA. De asemenea în noua stație 110kV se va monta un container pentru echipamentele de protecţii, servicii proprii, telecontrol şi securizare în care se vor monta următoarele echipamente omologate conform specificatiilor tehnice Retele Electrice Banat SA :- dulap protecţie linie DQ 7010     • LEA Oravița-St Ciuchici: protecție diferențială longitudinală, prot. distanță; bloc de măsură - în conforimtate cu specificațiile unificate E-Distribuție  - dulap BA 110Vcc – conf. specificației unificate  Retele Electrice Banat SA  - dulap Staţie energie STE – conf. specificației unificate  Retele Electrice Banat SA  - dulap servicii proprii SP c.a.+c.c.– conf. specificației unificate Retele Electrice Banat SA  - dulap invertoare 2x1500 W  - dulap telecontrol – TPT  - dulap teletransmisii – TC  - dulap securizare staţie II. Lucrari ce se realizeaza prin grija beneficiarului : Această variantă presupune realizarea unui racord LES 110 kV simplu circuit, în lungime de traseu cca 1,5 km, cu cablu monofazat cu conductoare de aluminiu de 500 mmp cu izolaţie de polietilenă reticulată, pozat în canal umplut cu nisip pentru răcire, în lungime de 1,5 km, si ADSS in vederea asigurarii conditiilor de functionare al protectiei diferentiale al LES 110 kV CEF. Pentru racordul LES 110kV se vor prevedea protecții diferențiale longitudinale ce se vor monta în dulapurile de protecții (proiectate) din stația 110/33 kV – 63 MVA CEE Bisalta Ciuchici si statia 110 kV intrare-iesire instalatia de utilizare (dispozitivul general). La o distanta mai mica de 50 m de St. 110kV intrare-iesire se va monta: Celula DG CEE 110kV – 1 celula.  • 3 CT 123kV  • 3 x TT 110/ √ 3//0,1/ √ 3//0,1/ √ 3//0,1kV  • 1 separator tripolar linie cu două CLP 123kV, 1600A  • 1 întrerupător 145k, 2000A  • 3 x TC 110kV 2x150/5/5/5A  • 1 separator bare tripolar cu un CLP, 123kV, 1600A  • Protectia diferentiala aferenta LES 110 kV CEF         Stația 110/33kV - 63 MVA În vederea posibilitătii evacuării noii puteri instalate în centrala CEF este necesar realizarea unei stații de transformare de 110/33kV în imediata apropierea a centralei.           Staţia 110/33 kV - 63 MVA va fi echipată cu o celulă de transformator cu intreruptor, transformator de 110/33 kV- 63 MVA şi conexiunea de 33 kV care va avea o cameră cu dulapurile de protecţii comandă si măsură aferente celulei de 110 kV, servicii proprii, baterii de acumulatoare si dulap pentru telecontrol si transmisii date, iar pe 33 kV cu celula transformator, măsură, servicii proprii şi linii. Arhitectura sistemului de circuite secundare va fi de tip distribuit. Pentru elementele de 110 kV se vor prevedea protecţiile cerute de reglementările în vigoare. Pe partea de circuite secundare funcţiile de control-protecţie se vor realiza cu echipamente în tehnică digitală.</t>
  </si>
  <si>
    <t>6.2. Realizarea lucrărilor de întărire pentru respectarea criteriului cu N elemente in functiune in RET: -Trecerea la 400 kV a LEA 220 kV Resita Timisoara (cu plan PIF 2026 conform Plan dezvoltare RET) Realizarea lucrărilor de întărire pentru respectarea criteriului cu N-1 elemente in functiune in RED 110 kV din zona REB, 6.3 Realizarea lucrărilor de întărire pentru respectarea criteriului cu N-1 elemente in functiune in RED 110 kV din zona REB, : - reconductorarea LEA 110 kV cu conductor 185 mmp cu capacitate marita de transport I=850A in lungime de 357,24 km Cost =90 442 821,91 lei – aferente instalatiilor Retele Electrice Banat SA Lucrarile de intarire necesare racordarii CEE 56,09 MW Ciuchici nu sunt incluse in Planul de investitii al Retele Electrice Banat SA 6.4. Realizarea lucrărilor de întărire pentru respectarea criteriului cu N-1 elemente in functiune in RET: Cost OTS= 46 411 482,11 lei – aferent instalatiilor Transelectrica SA Evaluarea lucrarilor de intarire Tariful specific pentru calculul componentei Ti a tarifului de racordare se notează i8 și se stabilește utilizând următoarea formula : i8 = iLE110 + iST400/110 [lei/MVA] iLE110 = 231.000 lei/MVA, iST 400/110 = 283.000 lei/MVA. i8=231.000+283.000= 514.000 lei/MVA Componenta TI a tarifului de racordare este egala cu valoarea minima dintre: a) valoarea (Ti)ss a lucrarilor de intarire necesare pentru crearea conditiilor tehnice in vederea evacuarii in retea a puterii aprobate pentru locul de producere/locul de consum si de producere in cauza, stabilita pe baza de deviz general ; b) valoarea (Ti)calcul = Sevac * i unde: ,,Sevac - puterea aprobata pentru evacuare in retea la locul de producere sau la locul de consum si de producere respectiv [MVA]; ,,i - tarif specific [lei/MVA] – i8 TI = Sevac x i = 61,26 x 514.000 = 31.487.640 lei fara TVA Durata realizare pentru lucrarile de intarire necesare in RED este de : 11 bucx10luni*22zile+15 zile/km*357,24km=7779 zile lucratoare Nu este inclus timpul pentru obtinerea avizelor si acordurilor proprietarilor. Costul lucrarilor estimate pe baza de deviz general necesare pentru racordarea CEF Bisalta Ciuchici aferente criteriului cu N-1 elemente in functiune este de 136 854 304.02 lei (val fara TVA) Estimarea acestor costuri defalcate intre OT (Transelectrica) si OD (E Distributie Banat) este urmatoarea : ,,46 411 482,11 lei – aferenta instalatiilor CNTEE Transelectrica SA ,,90 442 821,91 lei – aferenta instalatiilor E Distributie Banat Ti=min(Tiss;Tidev)= 31.487.640 lei fara TVA Limitarea Operationala Utilizatorul a optat pentru aplicarea prevederilor ord. 81/2022 cu referire la limitarea operationala tinand cont de contingentele la care au rezultat suprasarcini in RED/RET. Automatizarea de limitare operationala isi propune ca in conditiile in care apare o informatie de deconectare a unui element de retea, care conform rezultatelor calculului de circulatii de putere, are ca efect posibilitatea de aparitie a suprasarcinilor pe anumite elemente de retea, sa fie deconectata intreaga putere a CEE Bisalta Ciuchici, instantaneu. Astfel in momentul in care, unul din elementele de retea care pot genera suprasarcini, primeste o comanda de declansare, aceasta comanda este multiplicata si dirijata printr-un RTU spre un router si apoi printr-un modem GSM catre CEE Bisalta Ciuchici. In statia 110/MT kV Ciuchici, semnalul este receptionat printr-un modem GSM si un ruter si apoi este transmis la un RTU care-l transforma in comanda de declansare a intrerupatorului de 110 kV al transformatorului 110/MT al statiei centralei. Centrala va ramane deconectata pana la disparitia cauzei care a generat deconectarea ei. Reconectarea centralei se va realiza prin comanda operativa de la dispecer. Modul de echipare si reglaj al automatizarii si a cailor de transmisie, se vor stabili la faza PTE a proiectului, faza care se va aviza la operatorul de retea si astfel pot fi solictate scenarii suplimentare privind realizarea acesteia. Solutia propusa necesita un abonament de date la un operator de telefonie mobila abonament de tip APN cu IP fix (static). Costul abonamentului va fi suportat integral de catre beneficiar. Costurile mentenantei echipamentului vor fi suportate integral de beneficiar; Pierderea comunicatiei sau orice eroarea de comunicatie conduce la deconectarea intrerupatorului din statia de transformare a centralei electrice. Utilizatorul nu poate solicita si primi de la operatorul de rețea despăgubiri pentru energia electrică ce nu a fost produsă și livrată în rețea pe perioada limitării.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In situatia in care comunicatia prin GSM (minim 4G) nu va asigura timpii de deconectare conform normativelor in vigoare de la ladata PIF a centralei, calea de comunicatie se va asigura prin fibra optica ale carei costuri de instalare si mentenanta se vor asigura de catre beneficiarul CEE Bisalta Ciuchici. Avand in vedere ca beneficiarul CEE Bisalta Ciuchici a optat pentru deconectarea puterii produse, automatica de limitare operationala se va realiza:      - pentru toate lucrarile de intarire necesare pentru respectarea citeriului N-1 elemente in functie in RED/RET;      - pentru eliminarea suprasarcinilor in vederea respectarea criteriului N-1 elemente in functie se vor folosi echipamente pentru limitarea/deconectarea puterii evacuate din CEE Bisalta Ciuchici pentru elementele de retea din „Contingenta periculoasa” descrise în „TABELUL 1” Tabelul 1 Echipamentele de automatizare vor fi montate in: -Statia 110/6 kV Anina -Statia 110/20/6 kV Moldova Noua -Statia 110/20 kV Oravita -Statia 110 kV Bisalta Ciuchici -Statia 110/20 kV Ponor -Statia 110/20/6 kV Balta Sarata -Statia 110 CFR Caransebes -Statia 110/20/6 kV Ciudanovita -Statia 110/20 kV Cozla -Statia 110/20 kV Sf.Elena -Statia 110 kV CFR Poarta -Statia 110/20 kV Crusovat -Statia 110/20 kV Toplet -Statia 110/20 kV Armenis Statiile OTS -Statia 220/110 kV Iaz -Statia 400/220/110 kV Resita Valoarea pe baza de DG a acestei automatizari (conform DG automatizare deconectare CEE Bisalta Ciuchici) este de 1 267 200.70 lei (val fara TVA) Estimarea acestor costuri defalcate intre OT (Transelectrica) si OD (E Distributie Banat) este urmatoarea : - 240 768,13 lei – aferenta instalatiilor Transelectrica SA - 1 026 432,56 lei – aferenta instalatiilor E Distributie Banat Costurile totale ale sistemului de automatizare pentru implementarea limitarii operationale se vor modifica in conformitate cu valorile din Proiectul tehnic de executie avizat atat de catre OD cat si de OTS, si vor fi suportate in totalitate de catre beneficiarul CEE Bisalta Ciuchici. Astfel valoarea componentei T(I) care se va considera la calculul tarifului de racordare este : T(I) = min (Ti_limitare_op; Ti) = min (1.267.200,7; 31.487.640 ) = 1.267.200,7 lei fara TVA. Timpii de executie estimati pentru lucrarile necesare in instalatiile E-Distributie Banat necesare realizarii limitarii operationale este de 900 zile lucratoare, de la momentul realizarii platii integrale a componentei Ti. Timpii de realizare a lucrarilor din instalatiile Transelectrica nu sunt inclusi in acest termen. </t>
  </si>
  <si>
    <t>GIBE ENERGY SRL</t>
  </si>
  <si>
    <t>CEF Bacia</t>
  </si>
  <si>
    <t>LEA 110KV SIMERIA-CALAN</t>
  </si>
  <si>
    <t>SGROM FOURTEEN SRL</t>
  </si>
  <si>
    <t>Parc fotovoltaic Cristur</t>
  </si>
  <si>
    <t>A20 BARCEA-SIMERIA DV</t>
  </si>
  <si>
    <t>S.C. KOSSI SONNENERGIE S.R.L.</t>
  </si>
  <si>
    <t>A20 MANASTIUR-FAGET TM</t>
  </si>
  <si>
    <t>RO001E131429916/1</t>
  </si>
  <si>
    <t>RO001E142264824/2</t>
  </si>
  <si>
    <t>RO001E131374803/1</t>
  </si>
  <si>
    <t>RO001E131394399/2</t>
  </si>
  <si>
    <t>RO001E131374410/4</t>
  </si>
  <si>
    <t>AG PLAN DEVELOPER S.R.L.</t>
  </si>
  <si>
    <t>CEF Plataresti</t>
  </si>
  <si>
    <t>Conform aviz CTES nr. 364/2023 si aviz CTE 29/1/24.04.2023, faza studiu de solutie si anume: Solutia 1 ? Racordarea parcului fotovoltaic CEF Plataresti radial in statia 110/20kV GLINA pe bara B 110kV utilizand un pas de celula existent Lucrarile pe tarif de racordare : - Montare celula 110kV noua plecare spre utilizator in pasul de celula liber din statia 110/20kV Glina , echipat? complet cu întrerup?tor ?i grup de m?sur? (contorul ?i montajul de c?tre OD); ?,,? Celula nou proiectat? va fi integrat? în sistemul existent de circuite secundare, servicii interne ?i telecontrol; ? În camera de comand? a sta?iei de transformare 110/20 kV Glina existent?, se va amplasa un dulap dedicat pentru protec?ie ?i control pentru celula LES 110 kV CEF Pl?t?re?ti, dulap care va fi echipat cu protec?ie de baz?, inclusiv protec?ie diferen?ial? de linie, ?i protec?ie de rezerv?; ? Completare ?i adaptare instala?ie de legare la p?mânt ?i protec?ie la supratensiuni atmosferice; ? Extindere instala?ie iluminat exterior dupa caz; ? Complet?ri ale dulapurilorde servicii interne c.c. ?i c.a. cu întrerup?toare pentru circuitele de alimentare ale celulei; ? Cabluri noi j.t conform cerin?elor SCADA; ? In camera de comand? se va monta un dulap pentru m?sur?, analizorul de calitate a energiei electrice. Echipamentul trebuie s? asigure în principal cerin?ele tehnice din specifica?iile E-Distributie; Sta?ia 110/20 kV Glina este integrat? în sistemul de telecontrolat prin OPGW existent pe LEA 110 kV Pope?ti-Leordeni ? Glina; Integrarea celulei LES 110 kV CEF Pl?t?re?ti nou proiectate în sistemul de telecontrol se va realiza prin racordarea la TPT existent, servicii auxiliare c.a. ?i c.c. existente în sta?ie. Se vor realiza toate lucr?rile necesare în vederea integr?rii noii celule (parametrizarea RTU local, aplica?ii locale, servere, aplica?ii trepte dispecer ?i utilizatori, inclusiv teste); Se va actualiza schema de selec?ie tensiuni, implementat? la nivelul sta?iei Glina, prin integrarea terminalelor numerice aferente noii celule de racord a CEF Pl?t?re?ti; Pentru m?sur?, va fi montat un contor electronic trifazat de energie electric? activ? ?i reactiv?, 5 A, cl 0,2s pentru energie activ? ?i 1 pentru energie reactiv?, dublu sens, curb? de sarcin?, în montaj indirect, interfa?? de comunica?ie RS 232 ?i modem GSM sub capac, pentru integrare în sistemul de telegestiune implementat la nivelul EDM. Achizi?ia ?i montarea contorului de decontare se vor face prin grija Operatorului de Distribu?ie; Lucr?ri prin grija utilizatorului ? LES 110kV în lungime de 14,1km, intre sta?ia 110/20kV Glina si sta?ia de transformare 20/110kV CEF Plataresti (produc?tor) pentru racordul statiei de transformare 20/110kV CEF Plataresti in statia existenta 110/20kV GLINA:; ? Statie de transformare 110/20kV CEF Plataresti 1x63MVA complet echipata Pentru realizarea protec?iei diferen?iale de linie între celula LES 110 kV CEF Pl?t?re?ti nou proiectat? ?i celula linie-trafo din sta?ia de transformare 110/20 kV CEF Pl?t?re?ti nou proiectat? pe amplasamentul CEF, se va folosi o pereche de fibre din cablul FO care va fi pozat pe traseu comun cu LES 110 kV (aproximativ 14,1 km) -Consumatorii de curent continuu ai sta?iei de transformare nou proiectate vor fi alimenta?i din DSIcc din Camera de Comand?; -Consumatorii de curent alternativ ai servicilor interne se vor alimenta din DSIca, care va fi alimentat astfel: - Alimentarea de baz?, prin intermediul transformatorului TFN-SA 20/0,4 kV, din înf??urarea de joas? tensiune auxiliar?, racordat la bara 20 kV a sta?iei de transformare, prin celula TFN-SA; - Alimentarea de rezerv?, prin intermediul grupului electrogen 0,4 kV; - Se va realiza AAR 0,4 kV între alimentarea de baz? ?i cea de rezerv? - Lucr?ri în interiorul parcului fotovoltaic ?i pozare cabluri 20kV si anume: ?,,? montare aproximativ 75700 panouri fotovoltaice cu puteri de 655 W; ?,,? se vor monta 152 invertoare Pn invertoare 320 MW; ?,,? se vor monta 22 transformatoare 0,8/20kV Pmax-T=2,5 MVA pentru a putea injecta energie în re?eaua de 20 kV a parcului; ?,,? transformatoarele se vor grupa ?i se vor conecta în celulele 20kV din Camera de Conexiuni din noua sta?ie de transformare 110/20kV CEF Plataresti. - realizare cale de comunicatie de la instalatiile de monitorizare si instalatiile de reglaj secundar ale noii centrale pana la interfata cu Transelectrica; - montare analizor pentru monitorizarea calitatii energiei electrice; Necesitatea instalarii echipamentelor auxiliare suplimentare de compensare a puterii reactive în punctul de racordare/delimitare, dup? caz, se va eviden?ia prin studiul de putere reactiv? la faza PTE a instalatiei de utilizare (îndeplinirea cerin?elor diagramei U-Q/Pmax se va realiza considerând un factor de putere cos?=0,9 inductiv/capacitiv).</t>
  </si>
  <si>
    <t>14622930</t>
  </si>
  <si>
    <t>VULCAN VALUE CENTRE</t>
  </si>
  <si>
    <t>CEF VULCAN VALUE CENTER</t>
  </si>
  <si>
    <t>S20 T4808-VULCAN CEL 15 BUC</t>
  </si>
  <si>
    <t>Varianta unica – transformarea locului de consum in loc de consum si producere prin instalatia de racordare Lucrari pe tarif de racordare: Echipare punct de conexiune medie tensiune – PC4808 pentru transmiterea informatiilor aferente CEF catre SCADA EDM, in punctul de conexiune PC4808 se vor monta urmatoarele echipamente: Unitatea Periferica - Dispozitiv capabil să telecontroleze 16 aparate de comutare, in locul celei existente pentru 8 aparate. Lucrari prin grija utilizatorului: Racordul centralei fotovoltaice se va realiza in tablourile electrice generale existente ale beneficiarului aflate în posturile de transformare PTCz Galerie &amp; Small Strip si PT BIG STRIP. In fiecare tablou JT-CEF este prevazut pe legatura cu tabloul general unde se racordeaza, un intreruptor motorizat impreuna cu un releu multifunctional care va realiza comanda (open/close) a motorului intreruptorului. Aceste intrerupatoare vor avea rol de dispozitiv de interfata, DI, si vor fi declansate prin intermediul releului multifunctional, prin urmatoarele protectii, conform ord. ANRE 132/2020: −protectie maxima tensiune, valoare mediata 10 minute*: 1,1*Un/600+3 secunde; −protectie maxima tensiune: 1,15*Un/temporizata; −protectie minima tensiune : 0,85*Un/ temporizata; −protectie maxima frecventa: 52 Hz/ temporizata; −protectie minima frecventa: 47,5 Hz/ temporizata. Valorile de reglaj ale dispozitivelor de interfata vor avea reglajele prevazute in Ord 132/2020. In cazul defectiunilor releului atasat fiecarui dispozitiv de interfata sau in cazul lipsei alimentarii acestuia va fi declansat intrerupatorul de interfata. In cazul refuzului de declansare a intrerupatorului de interfata va declansa intrerupatorul adiacent din amonte (spre reteaua de distributie).Invertoarele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 in vederea montarii unui contor electronic pus la dispozitie de OD. Datele fiecarui punct de racord, se vor centraliza intr-un PLC master instalat in T-CEF-uri. PLC-ul master va fi interconectat cu un PLC(T-COM) instalat in PC4808 pentru a transmite informatiile despre P, Q, U, f si pozitii dispozitive de interfata. De la PLC (T-COM) catre Unitatea Periferica din PT, se vor folosi ieșirile analogice 4-20mA ale acestuia. Conversia, însumarea si scalarea semnalelor de putere activa/reactiva, se va face in softul din PLC. In PC4808 , compartiment utilizator se va monta un analizor calitatea energie clasa A, (certificate PSL) pentru monitorizare permanenta calitate energie 20kV, si un traductor de tensiune si frecventa tip MC2UP, pentru transmitere in SCADA OD informatia de tensiune 20kV. Traductorul tip MCUP vafi prevazut cu iesiri 4-20mA, direct proportionale cu tensiunea, prin intermediul carora se va face transmiterea informatiei de tensiune catre catre UP nou prevazuta. Traductorul, analizorul si PLC-ul vor fi montate intr-un dulap nou T-COM, montat in PC4808 compartiment utilizator. Pentru preluarea in sistemul SCADA OD, se vor transmite de la instalatia de producere energie electrica urmatoarele informatii: −Putere active, P; −Putere reactiva, Q, −Tensiune, U, −Frecventa, f, −Pozitie dispozitive de interfata, DI, sub forma de contact liber de potential. Toate aceste informatii vor fi transmise catre SCADA OD, in unitatea periferica, UP nou prevazuta.</t>
  </si>
  <si>
    <t>17428652</t>
  </si>
  <si>
    <t>S.C. TURQUOISE ENERGY INVESTMENT S.R.L.</t>
  </si>
  <si>
    <t>Construire Parc Fotovoltaic</t>
  </si>
  <si>
    <t>A20 PORCINE 1-POP LEORDENI IF</t>
  </si>
  <si>
    <t>Conform aviz CTE nr.  72/2/19.10.2023, faza studiu de solutie si anume: Varianta unica ?? racordare intrare-iesire in LEA 20 kV Porcine 1 din statia Pope?ti-Leordeni Lucrari pe tarif de racordare: - racord intrare-iesire in LEA 20 kV Porcine1 intre Sep 5396 si stalpul cu Sep 6835, derivatie PT 5698 Lucrari pe tarif de racordare: ,,realizare racord intrare - iesire in LEA 20 kV Porcine 1, intre Sep 5396 si stalpul cu Sep 6835, derivatie PT 5698 prin plantarea a doi stapli speciali echipati cu coronament semiorizontal terminal,lanturi duble de intindere compozit, STEPnv 24 kV in montaj vertical, DRV ZnO 24kV, CT exterior si Rp? 4? ; -realizarea legaturilor electrice intre stalpi existenti si stalpi noi proiectati; -LES 20kV proiectata intre stalpii proiectati si PC 20kV ,realizata cu cablu de medie tensiune tripolar, ARE4H5EX, noi, cu elice vizibila, izolatie XLPE, sectiune 3x(1x185 mm2) Al si accesorii performante in lungime 150 m ; -punct de conexiune 20 kV in anvelopa de beton cu doua compartimente; Echiparea compartimentului de racordare al punctului de conexiuni 20 kV, cu: ? 2 celule de linie motorizate 24 kV, 630A, 16 kA cu separator de sarcina in SF6 si CLP conf. specificatiei OD; ? loc pentru înc? o celul? de linie; ? 1 celula de masura conf. specificatiei OD cu separator si grup de masura format din dou? transformatoare de tensiune 20/0,1 kV, clasa de precizie 0,2 ?i dou?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OD cat si de catre beneficiar. ? integrarea in telecontrol a celulelor de linie si masura din PC 20kV proiectat prin montarea de RGDAT-2 buc , UP 2020 LITE-1 buc, baterii acumulatori -2 buc, TSA-1 buc, Router Rugged pt comunicatii 4G ? CISCO IR1101, Swich-uri rugged CISCO IE-4000-8S4G-E, dulap pentru echipamente de telecomunicatii FT-045_TLC-M_ed02 ? TIP B si accesoriile de conectica: Patch-cord ftp cat. 6e (lungime 10 m) Lucrari ce se realizeaza prin grija beneficiarului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-LES 20 kV de Cu, 95 mmp, L? 20m între celula de m?sur? din compartimentul de racordare ?i celula cu înterup?tor din compartimentul utilizatorului ; -Dispozitivul general -celula sosire cu intrerupator automat si separator in compartimentul utilizatorului (DG) cu urmatoarele protectii: Sistemul de protectie general (SPG) asociat dispozitivului general cuprinde: ?,,protec?ie maximal? de curent cel pu?in pe doua faze, cu trei trepte. Prima treapta se folose?te împotriva suprasarcinii, a doua pentru a permite o functionare temporizata ?i a treia pentru a permite o interven?ie rapid?; ?,,protec?ie homopolar? direc?ional? cu dou? trepte (o treapta pentru punerile la pamant simple, ?i a doua treapta pentru duble puneri la pamant); ?,,protectie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 Sistemul de protectie SPI asociat DI contine relee de frecven??, de tensiune ?i eventual de tensiune homopolar?. Sistemul de protectie de interfata (SPI) asociat dispozitivului de interfata cuprinde: ?,,functie protectie de tensiune minima /maxima in 2 trepte; ?,,functie protectie de frecventa minima /maxima in 2 trepte; ?,,functie de protectie de maxima de tensiune mediata la 10 minute. ?,,serviciile interne in compartimentul de racordare se vor asigura din transformatorul monofazat de 4 kVA montat în compartimentul utilizatorului, dup? întrerup?torul general (DG), spre produc?tor.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?,,LES 20kV intre PC 20kV proiectat si centrala Pope?ti-Leordeni in lungime de 0,050 km ?,,Posturi trafo si tablouri jt aferente centralei CEF Turquoise, trafo ? 2000kVA ?,,Asigurare accesului la PC 20kV proiectat pentru OD</t>
  </si>
  <si>
    <t>Retele Electrice Muntenia</t>
  </si>
  <si>
    <t>17864131</t>
  </si>
  <si>
    <t>CREST ENERGY SRL</t>
  </si>
  <si>
    <t>CENTRALA ELECTRICA FOTOVOLTAICA DE</t>
  </si>
  <si>
    <t>S20 UTILITATI-DRAGOMIRESTI IF</t>
  </si>
  <si>
    <t xml:space="preserve">Racordare intrare-ieşire, în linia LES 20 kV Utilităţi racordată la bara 1 staţia 110/20kV Dragomireşti între PTAB 5541* și PC 5021.
Lucrări pe tarif de racordare ,,LES 20kV ,, ,,secţionare LES 20kV Utilităţi în faţa CEF Crest Chiajna, în zona de amplasare PC 20kV proiectat, (în apropierea PC 5021) ,,depozare şi introducere a cablului existent LES 20kV dinspre PTAB 5541* în PC 20kV proiectat ,,pozarea unui cablu nou cu izolaţie XLPE 3x1x185 mmp în lungime de cca 20m între celula de linie cu separator 2925 din PC 5021 şi PC 20kV nou proiectat.
PC 20kV proiectat Punct de conexiuni 20 kV proiectat în anvelopă de beton amplasat în incinta CEF echipat cu: ,,două celule de linie motorizate 24 kV, 630A, 16 kA cu separator de sarcină în SF6 conform specificaţie OD; ,,o celulă de măsură conform specificaţie OD cu separator şi grup de măsură format din două transformatoare de tensiune 20/0,1 kV, clasa de precizie 0,5 şi două transformatoare de curent de 400/5A, clasa de precizie 0,2S şi contor electronic trifazat static (afişaj LCD), In=5(6)A , Un=3x100/57V, clasa de precizie 0,2s dotate cu curbă de sarcină şi interfaţă de comunicaţie RS 232 şi modul comunicaţie GSM amplasat într-o cutie de măsură; cutia de măsură se va amplasa într-o nişă cu posibilitatea vizualizării atât de către OD şi de către beneficiar; Achiziţia şi montarea contorului revin în sarcina Operatorului de Distribuţie. ,,integrarea în telecontrol a celulelor de linie şi măsură din PC 20kV proiectat prin montarea de RGDAT- 2 buc, UP 2020 LITE-1 buc, baterii acumulatori-2 buc, TSA-1 buc, router Rugged pentru comunicaţii 4G - CISCO IR1101, Swich-uri rugged CISCO IE-4000-8S4G-E, dulap pentru echipamente de telecomunicaţii FT- 045_TLC-M - TIP B şi accesoriile de conectică: Patch-cord ftp cat. 6e (lungime 1 m); Patch-cord ftp cat. 6e (lungime 10 m). Tensiunea 0,4 kV necesară telecontrolului va fi asigurată din instalaţiile beneficiarului. Lucrări ce se realizează prin grija beneficiarului: ,,Montare punct de conexiune prevăzut cu două compartimente: unul de racordare, pentru instalațiile aferente operatorului de rețea și unul de utilizare pentru instalațiile electrice ale utilizatorului. Compartimentul de racordare va fi cu acționarea echipamentelor din interior și cu acces direct din exterior, va avea caracteristici minime echivalente cu cele prevăzute în prescripțiile OD și un gabarit care să permită montarea echipamentelor instalației de racordare și a încă unei celule de MT. ,,LES 20 kV de Cu, 95 mmp, L≤ 20m între celula de măsură din compartimentul de racordare şi celula cu înterupător din compartimentul utilizatorului; ,,Dispozitivul general -celula sosire cu întrerupător automat și separator în compartimentul utilizatorului (DG) cu următoarele protecții: protecţie maximală de curent cel puţin pe două faze, cu trei trepte. Prima treaptă se foloseşte împotriva suprasarcinii, a doua pentru a permite ofuncționare temporizată şi a treia pentru a permite o intervenţie rapidă; ,,protecţie homopolară direcţională cu două trepte (o treaptă pentru punerile la pământ simple şi a doua treaptă pentru duble puneri la pământ); ,,protecție maximală de curent direcțională homopolară; ,, Sistemul de protecție general (SPG) asociat dispozitivului general cuprinde: ,,Pentru racordarea producătorului în plus față de DG (dispozitiv general) se va prevedea un dispozitiv, denumit Dispozitiv de Interfaţă (DI) în scopul de a garanta separarea instalaţiei de producere de reţeaua de distribuţie în caz de întrerupere de la reţea. Sistemul de protecție SPI asociat DI conține relee de frecvenţă, de tensiune şi eventual de tensiune homopolară. funcție protecție de tensiune minimă /maximă în 2 trepte; ,,funcție protecție de frecvență minimă /maximă în 2 trepte; ,,functie de protecție de maximă de tensiune mediată la 10 minute. ,, Sistemul de protecție de interfață (SPI) asociat dispozitivului de interfață cuprinde: •,,serviciile interne în compartimentul de racordare se vor asigura din transformatorul monofazat de 4 kVA montat în compartimentul utilizatorului, după întrerupătorul general (DG), spre producător. •,,montare analizor pentru monitorizarea calitatii energiei electrice; În compartimentul utilizator, se vor instala traductoarele de putere activă P, putere reactivă Q, frecvență f și tensiune U montate în compartimentul utilizator. Acestea se vor racorda în circuitele de măsură ale transformatoarelor de curent și de tensiune. Semnalele de ieșire ale traductoarelor, împreună cu cel de poziție al dispozitivului general DG, vor fi disponibile într-un șir de cleme. De la șirul de cleme până la UP 2020 LITE amplasat în compartimentul OD, semnalele vor fi transmise printr-un cablu special ecranat, care va face parte împreună cu traductoarele, din instalatia de utilizare. Lungimea cablului nu trebuie să depășească 20m. ,,LES 20kV între PC 20kV proiectat și centrala CEF Crest Chiajna în lungime de 0,35 km. ,,Posturi trafo și tablouri jt aferente centralei CEF Crest Chiajna, trafo ≤ 2000kVA. ,,Asigurarea accesului la PC 20kV proiectat pentru OD. </t>
  </si>
  <si>
    <t>16919928</t>
  </si>
  <si>
    <t>C.N. ,,ROMARM" - Filiala ,,UZINA MECANICA BUCURESTI" S.A.</t>
  </si>
  <si>
    <t>HALE PRODUCTIE - CNR UMB</t>
  </si>
  <si>
    <t>BALTA ALBA</t>
  </si>
  <si>
    <t>08444811</t>
  </si>
  <si>
    <t>Afi Tech 3</t>
  </si>
  <si>
    <t>17656140</t>
  </si>
  <si>
    <t>AEROCLUBUL ROMANIEI</t>
  </si>
  <si>
    <t>IMOBIL-SPOR PUTERE</t>
  </si>
  <si>
    <t>17671599</t>
  </si>
  <si>
    <t>QUALICAPS ROMANIA SRL</t>
  </si>
  <si>
    <t>Hala productie, depozitare si birouri - spor de putere</t>
  </si>
  <si>
    <t>18545338</t>
  </si>
  <si>
    <t>VLAD EXIM BIG RESIDENCE SRL</t>
  </si>
  <si>
    <t>ANSAMBLU LOCUINTE C1+C2+C3</t>
  </si>
  <si>
    <t>18170498</t>
  </si>
  <si>
    <t>18443159</t>
  </si>
  <si>
    <t>Amplificare statie de transformare Pipera 110/20/1 doua transformatoare 110/20kV, 40 MVA noi si realizarea a doua sectii de bare 20 kV noi.  Valoarea totala a lucarilor descrise mai sus este de 19.045.451,49 RON fara T.V.A._</t>
  </si>
  <si>
    <t xml:space="preserve">SC SILCOTUB SA </t>
  </si>
  <si>
    <t>CEF Silcotub</t>
  </si>
  <si>
    <t>400/110 kV Pelicanu</t>
  </si>
  <si>
    <t>racordare prin două LEA 110 kV în statia Pelicanu</t>
  </si>
  <si>
    <t>81/61065</t>
  </si>
  <si>
    <t>Putere produsa folosita pentru autoconsum</t>
  </si>
  <si>
    <t>CEF Sântana</t>
  </si>
  <si>
    <t>Statie electrica noua MT/110 kV racordată prin LES 110 kV in statia existenta 110 kV Ungheni</t>
  </si>
  <si>
    <t>Genesis Partners SRL</t>
  </si>
  <si>
    <t>1/849</t>
  </si>
  <si>
    <t>09.01.202</t>
  </si>
  <si>
    <t>PREFERATO SRL</t>
  </si>
  <si>
    <t>GHEORGHENI</t>
  </si>
  <si>
    <t>LEA 20 kV Oras II, LEA 20 KV ORAS II GHEORGHENI</t>
  </si>
  <si>
    <t>LEA 110 kV Ungheni - Reghin</t>
  </si>
  <si>
    <t>TS20494</t>
  </si>
  <si>
    <t>TS20590</t>
  </si>
  <si>
    <t>TS20495</t>
  </si>
  <si>
    <t>TS19916</t>
  </si>
  <si>
    <t>TS20528</t>
  </si>
  <si>
    <t>TRUE ENERGY MANAGEMENT SRL</t>
  </si>
  <si>
    <t>la barele 110 kV din Statia 110/20/6 kV Fagaras</t>
  </si>
  <si>
    <t>TS20347</t>
  </si>
  <si>
    <t>SSAB-AG SRL</t>
  </si>
  <si>
    <t>ZARNESTI</t>
  </si>
  <si>
    <t>Statia 110/20/6 kV Tohan, celula 20kV Q10K,</t>
  </si>
  <si>
    <t>MN16177</t>
  </si>
  <si>
    <t>MN16213</t>
  </si>
  <si>
    <t>MATIAS AGRINVEST SRL</t>
  </si>
  <si>
    <t>TINTESTI</t>
  </si>
  <si>
    <t>LEA 20kV Stalpu intre PT 9235 si R32 alimentata din statia 110/20 kV Maxenu</t>
  </si>
  <si>
    <t>BLUE SAND INVESTMENT SRL</t>
  </si>
  <si>
    <t>PAULESTI</t>
  </si>
  <si>
    <t>Punctul de conexiune Movila Vulpii, PA PC 6154 MOVILA VULPII</t>
  </si>
  <si>
    <t>ALPINEW S.R.L.</t>
  </si>
  <si>
    <t>ROSIORI</t>
  </si>
  <si>
    <t>LEA 20 kV SRPA 94</t>
  </si>
  <si>
    <t>CRISANA PRO CONSTRUCT SA</t>
  </si>
  <si>
    <t>LEA 20kV Salonta - Tămașda alimentata din Statia de Transformare 110/20 kV Salonta</t>
  </si>
  <si>
    <t>AUTO SOLINVEST SRL</t>
  </si>
  <si>
    <t>Distribuitorul 20 kV Poiana - Mihai Viteazu, in zona din apropierea stalpului nr. 30 al LEA 110(20) kV Campia Turzii -</t>
  </si>
  <si>
    <t>SC SOMPLAST SA</t>
  </si>
  <si>
    <t>NASAUD</t>
  </si>
  <si>
    <t>Statia 110/20 kV Nasaud, celulele de 20 kV Mase Plastice 1 si Mase Plastice 2</t>
  </si>
  <si>
    <t>SC FERMA DE ELECTRONI SRL</t>
  </si>
  <si>
    <t>PARC FOTOVOLTAIC ZORLENI 4,9MW, NC 71305, LOC. ZORLENI, COM. ZORLENI, JUD. VASLUI</t>
  </si>
  <si>
    <t>1005417850</t>
  </si>
  <si>
    <t>SC ELECTRIC POWER PRODUCTION SRL</t>
  </si>
  <si>
    <t>PARC FOTOVOLTAIC 2,4MW, CF 60359, LOC. TUFESTII DE SUS, COM. SCANTEIA, JUD. IASI</t>
  </si>
  <si>
    <t>NEGRESTI</t>
  </si>
  <si>
    <t>SC ZEN AGRICULTURE SRL</t>
  </si>
  <si>
    <t>PARC FOTOVOLTAIC CIOCANI 5MW, NC 70883, 70873, LOC. CIOCANI, COM. CIOCANI, JUD. VASLUI</t>
  </si>
  <si>
    <t>CRANG</t>
  </si>
  <si>
    <t>racord LES MT in STATIA CRANG</t>
  </si>
  <si>
    <t>SPITALUL JUDETEAN DE URGENTA BACAU</t>
  </si>
  <si>
    <t>1190kW - St. 110/20/6kV Letea; 206kW din PT21, St. 110/6kV Margineni; 300kW din PT17, St. 110/6kV Margineni;</t>
  </si>
  <si>
    <t>spor putere de la 1216kW la 1690kW</t>
  </si>
  <si>
    <t>CMC AGROINVEST SRL</t>
  </si>
  <si>
    <t>HALA CRESTERE SUINE, COMUNA VERESTI, JUDETUL SUCEAVA</t>
  </si>
  <si>
    <t>110/20 kV VERESTI</t>
  </si>
  <si>
    <t>spor putere de la 350 kW al 1050 kW</t>
  </si>
  <si>
    <t>AGENTIA NATIONALA DE IMBUNATATIRI FUNCIARE-FILIALA TERITORIALA DE IMBUNATATIRI FUNCIARE BOTOSANI</t>
  </si>
  <si>
    <t>SRP 1 MANOLEASA, EXTRAVILAN COMUNA MANOLEASA</t>
  </si>
  <si>
    <t>110/20 kV RIPICENI</t>
  </si>
  <si>
    <t>SC BERMAS SA</t>
  </si>
  <si>
    <t>FABRICA DE BERE SI MALT, LOC. SCHEIA, STR. HUMORULUI, NR. 61, JUD SUCEAVA</t>
  </si>
  <si>
    <t>110/20 kV Rulmentul</t>
  </si>
  <si>
    <t>Statia Bacau Sud, jud. Bacau</t>
  </si>
  <si>
    <t>Modernizare LEA 110 kV Bacau Sud - UH Racaciuni - Siscani, stalp 7 din racord 110 kV UH Racaciuni, Jud. Bacau</t>
  </si>
  <si>
    <t>Mai 2024</t>
  </si>
  <si>
    <t>Statia Bacovia, jud. Bacau</t>
  </si>
  <si>
    <t>Inlocuire TT si TC la celula 110 kV Trafo 1 din statia Bacovia , jud. Bacau</t>
  </si>
  <si>
    <t>Iulie 2024</t>
  </si>
  <si>
    <t>Statia Buhusi, jud. Bacau</t>
  </si>
  <si>
    <t>Inlocuire TT si TC la celula LEA 110 kV Costisa din statia Buhusi , jud. Bacau</t>
  </si>
  <si>
    <t>Inlocuire TT si TC la celula LEA 110 kV Racova din statia Buhusi , jud. Bacau</t>
  </si>
  <si>
    <t>Inlocuire TT si TC la celula 110 kV Trafo 4 din statia Buhusi , jud. Bacau</t>
  </si>
  <si>
    <t>Inlocuire TT si TC la celula 110 kV Trafo 1 din statia Buhusi , jud. Bacau</t>
  </si>
  <si>
    <t>Mai, Iunie 2024</t>
  </si>
  <si>
    <t>Modernizare LEA 110 kV Darmanesti - Comanesti, stalp 53, Jud. Bacau</t>
  </si>
  <si>
    <t>Statia Gheraesti, jud. Bacau</t>
  </si>
  <si>
    <t>Modernizare LEA 110 kV Gheraiesti - Bacovia, stalp 8, Jud. Bacau</t>
  </si>
  <si>
    <t>Statia Moinesti , jud. Bacau</t>
  </si>
  <si>
    <t>Statia ONESTI Centru, jud. Bacau</t>
  </si>
  <si>
    <r>
      <t xml:space="preserve">Cresterea capacitatii retelelor electrice de distributie din municipiul Onesti si introducerea tensiunii 110 kV in Statia ONESTI Centru, jud. Bacau </t>
    </r>
    <r>
      <rPr>
        <b/>
        <sz val="12"/>
        <rFont val="Times New Roman"/>
        <family val="1"/>
      </rPr>
      <t>_Celula 110 kV (circuite primare)</t>
    </r>
  </si>
  <si>
    <t>Decembrie 2024</t>
  </si>
  <si>
    <r>
      <t xml:space="preserve">Solutia tehnica este de a realizata cea de-a doua statie 110 kV in municipiul Onesti, prin introducerea tensiunii de 110 kV in statia Onesti - Centru, concomitent cu desfiintarea tensiunii de 35 kV si cresterea sigurantei in alimentarea consumatorilor prin modernizarea instalatiilor de distributie in zona astfel:
</t>
    </r>
    <r>
      <rPr>
        <b/>
        <sz val="11"/>
        <color theme="1"/>
        <rFont val="Calibri"/>
        <family val="2"/>
        <scheme val="minor"/>
      </rPr>
      <t>LEA 110 kV de racord</t>
    </r>
    <r>
      <rPr>
        <sz val="11"/>
        <color theme="1"/>
        <rFont val="Calibri"/>
        <family val="2"/>
        <scheme val="minor"/>
      </rPr>
      <t xml:space="preserve">
Pentru alimentarea pe 110 kV a staţiei Oneşti - Centru se va construi o LEA 110 kV dublu circuit nouă, racordată la stâlpul 67 al LEA 110 kV d.c. Gutinaş - Aroma Rise – T1 Cauciuc şi LEA 110 kV Gutinaş - Bioc 5 CET 2 Oneşti. Linia 110 kV nouă proiectată va avea o lungime de aproximativ 1.300 m (7 stalpi), iar traseul acesteia va traversa râul Trotuş şi C.F. electrificată Oneşti - Comăneşti. 
</t>
    </r>
    <r>
      <rPr>
        <b/>
        <sz val="11"/>
        <color theme="1"/>
        <rFont val="Calibri"/>
        <family val="2"/>
        <scheme val="minor"/>
      </rPr>
      <t xml:space="preserve">Statia Onesti-Centru </t>
    </r>
    <r>
      <rPr>
        <sz val="11"/>
        <color theme="1"/>
        <rFont val="Calibri"/>
        <family val="2"/>
        <scheme val="minor"/>
      </rPr>
      <t xml:space="preserve">
Pe partea de 110 kV se vor executa urmatoarele lucrari: 
-echiparea staţiei 110 kV Oneşti - Centru cu două celule bloc linie - trafo 110 Kv, fără bare colectoare 110 kV; 
-montarea a două transformatoare 110/20 kV, 25 MVA, pentru injecţia de putere în bareie 20 kV existente ale staţiei şi pentru asigurarea rezervării trafo în caz de indisponibilitae sau defect; 
-integrarea în SCADA Delgaz Grid a staţiei Oneşti - Centru. 
Pe partea de 20 kV se vor executa urmatoarele lucrari:
-echiparea staţiei interioare 20 kV cu celule noi. 
-montarea a două grupuri de tratare a neutrului 20 kV, TSI+BS, 100 A; 
-montarea unei baterii de condensatoare 1,2 MVAr. 
</t>
    </r>
    <r>
      <rPr>
        <b/>
        <sz val="11"/>
        <color theme="1"/>
        <rFont val="Calibri"/>
        <family val="2"/>
        <scheme val="minor"/>
      </rPr>
      <t xml:space="preserve">Statia Oneşti 35/20/6 kV </t>
    </r>
    <r>
      <rPr>
        <sz val="11"/>
        <color theme="1"/>
        <rFont val="Calibri"/>
        <family val="2"/>
        <scheme val="minor"/>
      </rPr>
      <t xml:space="preserve">
Se vor executa urmatoarele lucrari: 
-desfiinţarea treptelor de tensiune de 6 kV si 35 kV; 
-demontarea echipamentelor şi a construcţiilor existente; 
-montarea unui container 20 kV, cu celulele aferente şi preluarea plecarilor existente prin LES; Containerul este configurat cu bara simplă secţionată prin cupla Iongitudinală, cu spaţiu pentru extindere ulterioară cu un număr de 2 celule; 
-amplasarea pe teritoriul staţiei a 3 stâlpii terminali în vederea realizări trecerii din LEA 20 kV în LES 20 kV; 
-realizarea întăririi zidului de sprijin pe Iatura vestică şi refacerea îngrădirilor. 
-integrarea în sistemul SCADA Delgaz Grid a staţiei Onesti 35/20/6 kV, care devine Onesti 20/6 kV. 
</t>
    </r>
    <r>
      <rPr>
        <b/>
        <sz val="11"/>
        <color theme="1"/>
        <rFont val="Calibri"/>
        <family val="2"/>
        <scheme val="minor"/>
      </rPr>
      <t>Bucla de 20 kV a municipiului Oneşti</t>
    </r>
    <r>
      <rPr>
        <sz val="11"/>
        <color theme="1"/>
        <rFont val="Calibri"/>
        <family val="2"/>
        <scheme val="minor"/>
      </rPr>
      <t xml:space="preserve"> 
Se vor executa urmatoarele lucrari:
- construcţia unui tronson de LES 20 kV cu cabluri tip NA2XS(FL)2Y 3 x 1 x 150 mmp, cu lungimea de 700 m, între PT 57 şi PTCz 76 Oneşti şi înlocuirea celulelor în cele două posturi; 
- realizarea unui LES 20 kV cu cabluri tip NA2XS2Y 2 x (3 x 1 x 150 mmp), în Iungime de aproximativ 3.700 m, între staţiile Oneşti - Centru si Oneşti 35 kV; 
- pozarea unui cablu de fibră optică single-mode pe aceelaşi traseu, pentru asigurarea unei rezerve a căii de comunicaţie SCADA a staţiilor Oneşti - Centru şi Oneşti 35 kV. CabIuI cu fibra optica se va racorda în cutii terminale tip ODF, instalate în rack-uri de comunicaţii, în camere de comandă ale celor doua staţii.</t>
    </r>
  </si>
  <si>
    <r>
      <t xml:space="preserve">Cresterea capacitatii retelelor electrice de distributie din municipiul Onesti si introducerea tensiunii 110 kV in Statia ONESTI Centru, jud. Bacau </t>
    </r>
    <r>
      <rPr>
        <b/>
        <sz val="12"/>
        <rFont val="Times New Roman"/>
        <family val="1"/>
      </rPr>
      <t>_Dulap comanda protectie LEA si trafo 110 kV</t>
    </r>
  </si>
  <si>
    <r>
      <t>Cresterea capacitatii retelelor electrice de distributie din municipiul Onesti si introducerea tensiunii 110 kV in Statia ONESTI Centru, jud. Bacau -</t>
    </r>
    <r>
      <rPr>
        <b/>
        <sz val="12"/>
        <rFont val="Times New Roman"/>
        <family val="1"/>
      </rPr>
      <t>Transformator de putere IT/MT</t>
    </r>
  </si>
  <si>
    <r>
      <t xml:space="preserve">Cresterea capacitatii retelelor electrice de distributie din municipiul Onesti si introducerea tensiunii 110 kV in Statia ONESTI Centru, jud. Bacau </t>
    </r>
    <r>
      <rPr>
        <b/>
        <sz val="12"/>
        <rFont val="Times New Roman"/>
        <family val="1"/>
      </rPr>
      <t>_Dulap automatizare AAR + DAF-U</t>
    </r>
  </si>
  <si>
    <r>
      <t xml:space="preserve">Cresterea capacitatii retelelor electrice de distributie din municipiul Onesti si introducerea tensiunii 110 kV in Statia ONESTI Centru, jud. Bacau </t>
    </r>
    <r>
      <rPr>
        <b/>
        <sz val="12"/>
        <rFont val="Times New Roman"/>
        <family val="1"/>
      </rPr>
      <t>_Dulap Contorizare</t>
    </r>
  </si>
  <si>
    <r>
      <t xml:space="preserve">Cresterea capacitatii retelelor electrice de distributie din municipiul Onesti si introducerea tensiunii 110 kV in Statia ONESTI Centru, jud. Bacau </t>
    </r>
    <r>
      <rPr>
        <b/>
        <sz val="12"/>
        <rFont val="Times New Roman"/>
        <family val="1"/>
      </rPr>
      <t>_Dulap SCADA</t>
    </r>
  </si>
  <si>
    <r>
      <t xml:space="preserve">Cresterea capacitatii retelelor electrice de distributie din municipiul Onesti si introducerea tensiunii 110 kV in Statia ONESTI Centru, jud. Bacau </t>
    </r>
    <r>
      <rPr>
        <b/>
        <sz val="12"/>
        <rFont val="Times New Roman"/>
        <family val="1"/>
      </rPr>
      <t>_Celule MT statie (noi)</t>
    </r>
  </si>
  <si>
    <r>
      <t>Cresterea capacitatii retelelor electrice de distributie din municipiul Onesti si introducerea tensiunii 110 kV in Statia ONESTI Centru, jud. Bacau _</t>
    </r>
    <r>
      <rPr>
        <b/>
        <sz val="12"/>
        <rFont val="Times New Roman"/>
        <family val="1"/>
      </rPr>
      <t>Bobina de stingere</t>
    </r>
  </si>
  <si>
    <r>
      <t>Cresterea capacitatii retelelor electrice de distributie din municipiul Onesti si introducerea tensiunii 110 kV in Statia ONESTI Centru, jud. Bacau _</t>
    </r>
    <r>
      <rPr>
        <b/>
        <sz val="12"/>
        <rFont val="Times New Roman"/>
        <family val="1"/>
      </rPr>
      <t>Transformator servicii interne</t>
    </r>
  </si>
  <si>
    <r>
      <t xml:space="preserve">Cresterea capacitatii retelelor electrice de distributie din municipiul Onesti si introducerea tensiunii 110 kV in Statia ONESTI Centru, jud. Bacau </t>
    </r>
    <r>
      <rPr>
        <b/>
        <sz val="12"/>
        <rFont val="Times New Roman"/>
        <family val="1"/>
      </rPr>
      <t>_Dulap tratare neutru</t>
    </r>
  </si>
  <si>
    <r>
      <t xml:space="preserve">Cresterea capacitatii retelelor electrice de distributie din municipiul Onesti si introducerea tensiunii 110 kV in Statia ONESTI Centru, jud. Bacau </t>
    </r>
    <r>
      <rPr>
        <b/>
        <sz val="12"/>
        <rFont val="Times New Roman"/>
        <family val="1"/>
      </rPr>
      <t>_Dulap Servicii interne CA si CC</t>
    </r>
  </si>
  <si>
    <r>
      <t xml:space="preserve">Cresterea capacitatii retelelor electrice de distributie din municipiul Onesti si introducerea tensiunii 110 kV in Statia ONESTI Centru, jud. Bacau </t>
    </r>
    <r>
      <rPr>
        <b/>
        <sz val="12"/>
        <rFont val="Times New Roman"/>
        <family val="1"/>
      </rPr>
      <t>_Baterie condensatoare</t>
    </r>
  </si>
  <si>
    <r>
      <t xml:space="preserve">Cresterea capacitatii retelelor electrice de distributie din municipiul Onesti si introducerea tensiunii 110 kV in Statia ONESTI Centru, jud. Bacau </t>
    </r>
    <r>
      <rPr>
        <b/>
        <sz val="12"/>
        <rFont val="Times New Roman"/>
        <family val="1"/>
      </rPr>
      <t>_Baterie de acumulatoare</t>
    </r>
  </si>
  <si>
    <r>
      <t xml:space="preserve">Cresterea capacitatii retelelor electrice de distributie din municipiul Onesti si introducerea tensiunii 110 kV in Statia ONESTI Centru, jud. Bacau </t>
    </r>
    <r>
      <rPr>
        <b/>
        <sz val="12"/>
        <rFont val="Times New Roman"/>
        <family val="1"/>
      </rPr>
      <t>_Redresor automat</t>
    </r>
  </si>
  <si>
    <r>
      <t xml:space="preserve">Cresterea capacitatii retelelor electrice de distributie din municipiul Onesti si introducerea tensiunii 110 kV in Statia ONESTI Centru, jud. Bacau </t>
    </r>
    <r>
      <rPr>
        <b/>
        <sz val="12"/>
        <rFont val="Times New Roman"/>
        <family val="1"/>
      </rPr>
      <t>_Sistem protectie supratensiuni</t>
    </r>
  </si>
  <si>
    <r>
      <t xml:space="preserve">Cresterea capacitatii retelelor electrice de distributie din municipiul Onesti si introducerea tensiunii 110 kV in Statia ONESTI Centru, jud. Bacau </t>
    </r>
    <r>
      <rPr>
        <b/>
        <sz val="12"/>
        <rFont val="Times New Roman"/>
        <family val="1"/>
      </rPr>
      <t>_LEA 110 kV 1.3 Km</t>
    </r>
  </si>
  <si>
    <t>Statia Onesti, jud. Bacau</t>
  </si>
  <si>
    <t>Inlocuire TT si TC la celula LEA 110 kV Gutinas-Targu Trotus din statia Onesti , jud. Bacau</t>
  </si>
  <si>
    <t>Inlocuire TT si TC la celula LEA 110 kV Gutinas din statia Onesti , jud. Bacau</t>
  </si>
  <si>
    <t>Statia Partizanu, jud. Bacau</t>
  </si>
  <si>
    <t>Inlocuire TT si TC la celula 110 kV Trafo 2 din statia Partizanu , jud. Bacau</t>
  </si>
  <si>
    <t>Inlocuire TT si TC la celula 110 kV Trafo 1 din statia Partizanu , jud. Bacau</t>
  </si>
  <si>
    <t>Statia Targu Ocna, jud. Bacau</t>
  </si>
  <si>
    <t>Inlocuire TT si TC la celula LEA 110 kV Darmanesti din statia Targu Ocna , jud. Bacau</t>
  </si>
  <si>
    <t>Inlocuire TT si TC la celula LEA 110 kV Targu Trotus din statia Targu Ocna , jud. Bacau</t>
  </si>
  <si>
    <t>Statia Abator, jud. Botosani</t>
  </si>
  <si>
    <t>Inlocuire TT si TC la celula 110 kV Trafo din statia Abator , jud. Botosani</t>
  </si>
  <si>
    <t>Statia Blocuri, jud. Botosani</t>
  </si>
  <si>
    <t>Inlocuire TT si TC la celula 110 kV Trafo 1 din statia Blocuri , jud. Botosani</t>
  </si>
  <si>
    <t>Inlocuire TT si TC la celula 110 kV Trafo 2 din statia Blocuri , jud. Botosani</t>
  </si>
  <si>
    <t>Statia Botosani, jud. Botosani</t>
  </si>
  <si>
    <t>Inlocuire TT si TC la celula 110 kV Masura M 2 din statia Botoșani , jud. Botosani</t>
  </si>
  <si>
    <t>Iunie 2024</t>
  </si>
  <si>
    <t>Inlocuire TT si TC la celula 110 kV Cupla CTV din statia Botoșani , jud. Botosani</t>
  </si>
  <si>
    <t>Inlocuire TT si TC la celula 110 kV Trafo 1 din statia Botoșani , jud. Botosani</t>
  </si>
  <si>
    <t>Inlocuire TT si TC la celula 110 kV Trafo 2 din statia Botoșani , jud. Botosani</t>
  </si>
  <si>
    <t>Inlocuire TT si TC la celula 110 kV Trafo 3 din statia Botoșani , jud. Botosani</t>
  </si>
  <si>
    <t>Inlocuire TT si TC la celula Trafo 4 din statia Botoșani , jud. Botosani</t>
  </si>
  <si>
    <t>Inlocuire TT si TC la celula 110 kV Masura M 1 din statia Botoșani , jud. Botosani</t>
  </si>
  <si>
    <t>Statia Catamarasti, jud. Botosani</t>
  </si>
  <si>
    <t>Inlocuire TT si TC la celula 110 kV Trafo 1 din statia Catamarasti , jud. Botosani</t>
  </si>
  <si>
    <t>Inlocuire TT si TC la celula 110 kV Trafo 2 din statia Catamarasti , jud. Botosani</t>
  </si>
  <si>
    <t>Inlocuire TT si TC la celula 110 kV Cupla CTV din statia Catamarasti , jud. Botosani</t>
  </si>
  <si>
    <t>Inlocuire TT si TC la celula 110 kV Masura M 1 din statia Catamarasti , jud. Botosani</t>
  </si>
  <si>
    <t>Inlocuire TT si TC la celula 111 kV Masura M 2 din statia Catamarasti , jud. Botosani</t>
  </si>
  <si>
    <t>Statia Darabani, jud. Botosani</t>
  </si>
  <si>
    <t>Inlocuire TT si TC la celula LEA 110 kV Dorohoi din statia Darabani , jud. Botosani</t>
  </si>
  <si>
    <t>Inlocuire TT si TC la celula LEA 110 kV Saveni din statia Darabani , jud. Botosani</t>
  </si>
  <si>
    <t>Statia Hudum, jud. Botosani</t>
  </si>
  <si>
    <t>Modernizare LEA 110 kV Hudum – Trusesti – Inlocuire stalp nr. 82, Jud. Botosani</t>
  </si>
  <si>
    <t>Statia Ripiceni, jud. Botosani</t>
  </si>
  <si>
    <t>Inlocuire TT si TC la celula LEA 110 kV Mitoc din statia Ripiceni , jud. Botosani</t>
  </si>
  <si>
    <t>Inlocuire TT si TC la celula LEA 110 kV Stanca din statia Ripiceni , jud. Botosani</t>
  </si>
  <si>
    <t>Modernizare LEA 110 kV Ripiceni - Mitoc – Inlocuire stalpi nr. 78, 113, 115, 117 112, 114, 116, 118, 119, Jud. Botosani (calamitati)</t>
  </si>
  <si>
    <t>Statia B-4, jud. Iasi</t>
  </si>
  <si>
    <t>Inlocuire TT si TC la celula LEA 110 kV GALATA din statia B-4 , jud. Iasi</t>
  </si>
  <si>
    <t>August 2024</t>
  </si>
  <si>
    <t>Inlocuire TT si TC la celula LEA 110 kV CENTRU din statia B-4 , jud. Iasi</t>
  </si>
  <si>
    <t>Statia Bularga, jud. Iasi</t>
  </si>
  <si>
    <t>Statia Fai, jud. Iasi</t>
  </si>
  <si>
    <t>Modernizare LEA 110kV FAI – BREAZU dc FAI – Vladeni, inlocuire stp.nr. 16, Jud. Iasi</t>
  </si>
  <si>
    <t>Statia Galata, jud. Iasi</t>
  </si>
  <si>
    <t>Statia Podu Iloaiei, jud. Iasi</t>
  </si>
  <si>
    <t>Inlocuire TT si TC la celula LEA 110 kV FAI din statia Podu Iloaiei , jud. Iasi</t>
  </si>
  <si>
    <t>Inlocuire TT si TC la celula LEA 110 kV TG. FRUMOS din statia Podu Iloaiei , jud. Iasi</t>
  </si>
  <si>
    <t>Statia Roman Nord, jud. Iasi</t>
  </si>
  <si>
    <t>Modernizare LEA 110kV ROMAN NORD–RAZBOIENI dc RAZBOIENI–DELPHI, inlocuire stp. nr. (180/76), Jud. Iasi</t>
  </si>
  <si>
    <t>Statia Tatarasi, jud. Iasi</t>
  </si>
  <si>
    <t>Statia Tg. Frumos, jud. Iasi</t>
  </si>
  <si>
    <t>Inlocuire TT si TC la celula LEA 110 kV BELCESTI din statia Tg. Frumos , jud. Iasi</t>
  </si>
  <si>
    <t>Statia Tutora, jud. Iasi</t>
  </si>
  <si>
    <t>Modernizare LEA 110kV TUTORA - SCULENI, inlocuire stp. nr. 88, Jud. Iasi</t>
  </si>
  <si>
    <t>Statia Ulei, jud. Iasi</t>
  </si>
  <si>
    <t>Inlocuire TT si TC la celula 110 kV Trafo 2 - 25 MVA din statia Ulei , jud. Iasi</t>
  </si>
  <si>
    <t>Inlocuire TT si TC la celula 110 kV Trafo 1 - 25 MVA din statia Ulei , jud. Iasi</t>
  </si>
  <si>
    <t>Statia Vatra, jud. Iasi</t>
  </si>
  <si>
    <t>Inlocuire TT si TC la celula LEA 110 kV TG. FRUMOS din statia Vatra , jud. Iasi</t>
  </si>
  <si>
    <t>Inlocuire TT si TC la celula LEA 110 kV PASCANI din statia Vatra , jud. Iasi</t>
  </si>
  <si>
    <t>Statia Cariera, jud Neamt</t>
  </si>
  <si>
    <t>Inlocuire TT si TC la celula 110 kV TRAFO 2 din statia Cariera , jud. Neamt</t>
  </si>
  <si>
    <t>Statia Dodeni, jud Neamt</t>
  </si>
  <si>
    <t>Inlocuire TT si TC la celula 110 kV TRAFO din statia Dodeni , jud. Neamt</t>
  </si>
  <si>
    <t>Inlocuire TT si TC la celula LEA 110 kV Stejaru-Ciment din statia Dodeni , jud. Neamt</t>
  </si>
  <si>
    <t>Statia Izvoare, jud Neamt</t>
  </si>
  <si>
    <t>Inlocuire TT si TC la celula LEA 110 kV PAL din statia Izvoare , jud. Neamt</t>
  </si>
  <si>
    <t>Inlocuire TT si TC la celula 110 kV TRAFO 1 din statia Izvoare , jud. Neamt</t>
  </si>
  <si>
    <t>Inlocuire TT si TC la celula 110 kV TRAFO 2 din statia Izvoare , jud. Neamt</t>
  </si>
  <si>
    <t>Inlocuire TT si TC la celula LEA 110 kV Gara din statia Izvoare , jud. Neamt</t>
  </si>
  <si>
    <t>Statia Pal, jud Neamt</t>
  </si>
  <si>
    <t>Inlocuire TT si TC la celula 110 kV TRAFO din statia PAL , jud. Neamt</t>
  </si>
  <si>
    <t>Statia Piatra Neamt Gara, jud Neamt</t>
  </si>
  <si>
    <t>Inlocuire TT si TC la celula 110 kV TRAFO din statia Piatra Neamt Gara , jud. Neamt</t>
  </si>
  <si>
    <t>Inlocuire TT si TC la celula LEA 110 kV Izvoare din statia Piatra Neamt Gara , jud. Neamt</t>
  </si>
  <si>
    <t>Statia Poiana Teiului, jud Neamt</t>
  </si>
  <si>
    <t>Inlocuire TT si TC la celula 110 kV TRAFO 1 din statia Poiana Teiului , jud. Neamt</t>
  </si>
  <si>
    <t>Inlocuire TT si TC la celula LEA 110 kV Barnar din statia Poiana Teiului , jud. Neamt</t>
  </si>
  <si>
    <t>Inlocuire TT si TC la celula LEA 110 kV Stejaru din statia Poiana Teiului , jud. Neamt</t>
  </si>
  <si>
    <t>Statia Roman Oras, jud Neamt</t>
  </si>
  <si>
    <t>Inlocuire TT si TC la celula 110 kV TRAFO 1 din statia Roman Oras , jud. Neamt</t>
  </si>
  <si>
    <t>Inlocuire TT si TC la celula 110 kV TRAFO 2 din statia Roman Oras , jud. Neamt</t>
  </si>
  <si>
    <t>Statia Roman Sud, jud Neamt</t>
  </si>
  <si>
    <t>Inlocuire TT si TC la celula 110 kV TRAFO din statia Roman Sud , jud. Neamt</t>
  </si>
  <si>
    <t>Statia Roman Vest, jud Neamt</t>
  </si>
  <si>
    <t>Inlocuire TT si TC la celula 110 kV TRAFO din statia Roman Vest , jud. Neamt</t>
  </si>
  <si>
    <t>Statia Roznov, jud Neamt</t>
  </si>
  <si>
    <t>Martie 2024</t>
  </si>
  <si>
    <t>Statia Sarata, jud Neamt</t>
  </si>
  <si>
    <t>Inlocuire TT si TC la celula 110 kV TRAFO 1 din statia Sarata , jud. Neamt</t>
  </si>
  <si>
    <t>Inlocuire TT si TC la celula 110 kV TRAFO 2 din statia Sarata , jud. Neamt</t>
  </si>
  <si>
    <t>Inlocuire TT si TC la celula 110 kV Masura 2 din statia Sarata , jud. Neamt</t>
  </si>
  <si>
    <t>Statia Tupilati, jud Neamt</t>
  </si>
  <si>
    <t>Inlocuire TT si TC la celula 110 kV TRAFO din statia Tupilati , jud. Neamt</t>
  </si>
  <si>
    <t>Inlocuire TT si TC la celula LEA 110 kV Roman Laminor din statia Tupilati , jud. Neamt</t>
  </si>
  <si>
    <t>Statia Bucecea, jud Suceava
Statia Siret, jud Suceava
Statia Dorohoi, jud Suceava</t>
  </si>
  <si>
    <r>
      <t xml:space="preserve">Modernizare ST 110/20 kV Bucecea, Siret, Dorohoi in scopul preluarii ee produse din surse regenerabile-SP </t>
    </r>
    <r>
      <rPr>
        <b/>
        <sz val="12"/>
        <rFont val="Times New Roman"/>
        <family val="1"/>
      </rPr>
      <t>_Celula 110 kV (circuite primare)</t>
    </r>
  </si>
  <si>
    <t>SV</t>
  </si>
  <si>
    <r>
      <rPr>
        <b/>
        <sz val="11"/>
        <color theme="1"/>
        <rFont val="Calibri"/>
        <family val="2"/>
        <scheme val="minor"/>
      </rPr>
      <t xml:space="preserve"> 1. Modernizare celule 110 kV</t>
    </r>
    <r>
      <rPr>
        <sz val="11"/>
        <color theme="1"/>
        <rFont val="Calibri"/>
        <family val="2"/>
        <scheme val="minor"/>
      </rPr>
      <t xml:space="preserve">
- inlocuire echipamente primare 110 kV
- modernizare protectii si automatizari aferente celulelor de 110kV
- modernizare servicii interne de c.c. si c.a.
- lucrari ce vizeaza reamplasarea dulapurilor de automatizare a bobinelor de stingere, a regulatoarelor
de tensiune aferente trafo 110
kV/MT
- montare dulap pentru amplasarea contorilor pentru partea de 110 kV si realizarea circuitelor aferente
- modernizare sistem de protectie la STA
- montare dulap contoare 110 kV
- integrare in SCADA instalatii modernizate
- completare si upgradare echipamente in dulap SCADA existent
- modernizare servicii interne de curent continuu si curent alternativ
- montarea celei de-a doua baterii de acumulatoare
</t>
    </r>
    <r>
      <rPr>
        <b/>
        <sz val="11"/>
        <color theme="1"/>
        <rFont val="Calibri"/>
        <family val="2"/>
        <scheme val="minor"/>
      </rPr>
      <t>2. Modernizare circuite 20 kV</t>
    </r>
    <r>
      <rPr>
        <sz val="11"/>
        <color theme="1"/>
        <rFont val="Calibri"/>
        <family val="2"/>
        <scheme val="minor"/>
      </rPr>
      <t xml:space="preserve">
- modernizare grupuri de tratare neutru
- modernizare celule 20 kV prin inlocuire intreruptoare si transformatoare de curent
- montare dulap automatizari AAR-MT si DASF
- montare dulapuri sistem modernizat de tratare a neutrului retelelor de 20 kV
- integrare in SCADA instalatii modernizate
Instalatiile proiectate se vor amplasa in incinta statiilor de transformare 110/20 kV Siret, Bucecea si
Dorohoi. Echipamentele primare 110 kV, cutiile de cleme si echipamentele aferente tratarii neutrului
vor fi amplasate in exterior.
Celulele 20 kV modernizate, echipamentele de circuite secundare si echipamentele aferente serviciilor
proprii de curent alternativ si continuu vor fi amplasate in cladirile existente, in spatiile destinate:
- camera de comanda;
- sali de conexiuni ;
- camera acumulatoare.</t>
    </r>
  </si>
  <si>
    <r>
      <t xml:space="preserve">Modernizare ST 110/20 kV Bucecea, Siret, Dorohoi in scopul preluarii ee produse din surse regenerabile-SP </t>
    </r>
    <r>
      <rPr>
        <b/>
        <sz val="12"/>
        <rFont val="Times New Roman"/>
        <family val="1"/>
      </rPr>
      <t>_Dulap comanda protectie LEA si trafo 110 kV</t>
    </r>
  </si>
  <si>
    <r>
      <t xml:space="preserve">Modernizare ST 110/20 kV Bucecea, Siret, Dorohoi in scopul preluarii ee produse din surse regenerabile-SP </t>
    </r>
    <r>
      <rPr>
        <b/>
        <sz val="12"/>
        <rFont val="Times New Roman"/>
        <family val="1"/>
      </rPr>
      <t>_Transformator de putere IT/MT</t>
    </r>
  </si>
  <si>
    <r>
      <t xml:space="preserve">Modernizare ST 110/20 kV Bucecea, Siret, Dorohoi in scopul preluarii ee produse din surse regenerabile-SP </t>
    </r>
    <r>
      <rPr>
        <b/>
        <sz val="12"/>
        <rFont val="Times New Roman"/>
        <family val="1"/>
      </rPr>
      <t>_Dulap automatizare AAR + DAF-U</t>
    </r>
  </si>
  <si>
    <r>
      <t xml:space="preserve">Modernizare ST 110/20 kV Bucecea, Siret, Dorohoi in scopul preluarii ee produse din surse regenerabile-SP </t>
    </r>
    <r>
      <rPr>
        <b/>
        <sz val="12"/>
        <rFont val="Times New Roman"/>
        <family val="1"/>
      </rPr>
      <t>_Dulap Contorizare</t>
    </r>
  </si>
  <si>
    <r>
      <t xml:space="preserve">Modernizare ST 110/20 kV Bucecea, Siret, Dorohoi in scopul preluarii ee produse din surse regenerabile-SP </t>
    </r>
    <r>
      <rPr>
        <b/>
        <sz val="12"/>
        <rFont val="Times New Roman"/>
        <family val="1"/>
      </rPr>
      <t>_Dulap SCADA</t>
    </r>
  </si>
  <si>
    <r>
      <t xml:space="preserve">Modernizare ST 110/20 kV Bucecea, Siret, Dorohoi in scopul preluarii ee produse din surse regenerabile-SP </t>
    </r>
    <r>
      <rPr>
        <b/>
        <sz val="12"/>
        <rFont val="Times New Roman"/>
        <family val="1"/>
      </rPr>
      <t>_Celule MT statie (noi)</t>
    </r>
  </si>
  <si>
    <r>
      <t xml:space="preserve">Modernizare ST 110/20 kV Bucecea, Siret, Dorohoi in scopul preluarii ee produse din surse regenerabile-SP </t>
    </r>
    <r>
      <rPr>
        <b/>
        <sz val="12"/>
        <rFont val="Times New Roman"/>
        <family val="1"/>
      </rPr>
      <t>_Celule MT statie (modernizare)</t>
    </r>
  </si>
  <si>
    <r>
      <t>Modernizare ST 110/20 kV Bucecea, Siret, Dorohoi in scopul preluarii ee produse din surse regenerabile-SP _</t>
    </r>
    <r>
      <rPr>
        <b/>
        <sz val="12"/>
        <rFont val="Times New Roman"/>
        <family val="1"/>
      </rPr>
      <t>Bobina de stingere</t>
    </r>
  </si>
  <si>
    <r>
      <t xml:space="preserve">Modernizare ST 110/20 kV Bucecea, Siret, Dorohoi in scopul preluarii ee produse din surse regenerabile-SP </t>
    </r>
    <r>
      <rPr>
        <b/>
        <sz val="12"/>
        <rFont val="Times New Roman"/>
        <family val="1"/>
      </rPr>
      <t>_Transformator servicii interne</t>
    </r>
  </si>
  <si>
    <r>
      <t xml:space="preserve">Modernizare ST 110/20 kV Bucecea, Siret, Dorohoi in scopul preluarii ee produse din surse regenerabile-SP </t>
    </r>
    <r>
      <rPr>
        <b/>
        <sz val="12"/>
        <rFont val="Times New Roman"/>
        <family val="1"/>
      </rPr>
      <t>_Dulap tratare neutru</t>
    </r>
  </si>
  <si>
    <r>
      <t xml:space="preserve">Modernizare ST 110/20 kV Bucecea, Siret, Dorohoi in scopul preluarii ee produse din surse regenerabile-SP </t>
    </r>
    <r>
      <rPr>
        <b/>
        <sz val="12"/>
        <rFont val="Times New Roman"/>
        <family val="1"/>
      </rPr>
      <t>_Dulap Servicii interne CA si CC</t>
    </r>
  </si>
  <si>
    <r>
      <t xml:space="preserve">Modernizare ST 110/20 kV Bucecea, Siret, Dorohoi in scopul preluarii ee produse din surse regenerabile-SP </t>
    </r>
    <r>
      <rPr>
        <b/>
        <sz val="12"/>
        <rFont val="Times New Roman"/>
        <family val="1"/>
      </rPr>
      <t>_Baterie de acumulatoare</t>
    </r>
  </si>
  <si>
    <r>
      <t>Modernizare ST 110/20 kV Bucecea, Siret, Dorohoi in scopul preluarii ee produse din surse regenerabile-SP _</t>
    </r>
    <r>
      <rPr>
        <b/>
        <sz val="12"/>
        <rFont val="Times New Roman"/>
        <family val="1"/>
      </rPr>
      <t>Sistem protectie supratensiuni</t>
    </r>
  </si>
  <si>
    <r>
      <t>Modernizare ST 110/20 kV Bucecea, Siret, Dorohoi in scopul preluarii ee produse din surse regenerabile-SP</t>
    </r>
    <r>
      <rPr>
        <b/>
        <sz val="12"/>
        <rFont val="Times New Roman"/>
        <family val="1"/>
      </rPr>
      <t xml:space="preserve"> _Celula 110 kV (circuite primare)</t>
    </r>
  </si>
  <si>
    <r>
      <t>Modernizare ST 110/20 kV Bucecea, Siret, Dorohoi in scopul preluarii ee produse din surse regenerabile-SP _</t>
    </r>
    <r>
      <rPr>
        <b/>
        <sz val="12"/>
        <rFont val="Times New Roman"/>
        <family val="1"/>
      </rPr>
      <t>Dulap comanda protectie LEA si trafo 110 kV</t>
    </r>
  </si>
  <si>
    <t>Statia Burdujeni, jud Suceava</t>
  </si>
  <si>
    <t>Inlocuire TT si TC la celula 110 kV TRAFO 1 din statia Burdujeni , jud. Suceava</t>
  </si>
  <si>
    <t>Inlocuire TT si TC la celula 110 kV TRAFO 2 din statia Burdujeni , jud. Suceava</t>
  </si>
  <si>
    <t>Statia Campulung, jud Suceava</t>
  </si>
  <si>
    <t>Modernizarea cel. 110 kV TRAFO 1 din statia 110/20 kV Campulung, judetul Suceava prin inlocuirea I 110 kV</t>
  </si>
  <si>
    <t>Octombrie 2024</t>
  </si>
  <si>
    <t>Statia Dolhasca, jud Suceava</t>
  </si>
  <si>
    <t>Mai, Iulie 2024</t>
  </si>
  <si>
    <t>Statia Falticeni, jud Suceava</t>
  </si>
  <si>
    <t>Statia Gura Humorului, jud Suceava</t>
  </si>
  <si>
    <t>Inlocuire TT si TC la celula LEA 110 kV SUCEAVA din statia Gura Humorului , jud. Suceava</t>
  </si>
  <si>
    <t>Inlocuire TT si TC la celula LEA 110 kV FRASIN din statia Gura Humorului , jud. Suceava</t>
  </si>
  <si>
    <t>Inlocuire TT si TC la celula 110 kV TRAFO 1 din statia Gura Humorului , jud. Suceava</t>
  </si>
  <si>
    <t>Inlocuire TT si TC la celula 110 kV TRAFO 2 din statia Gura Humorului , jud. Suceava</t>
  </si>
  <si>
    <t>Statia Mirauti, jud Suceava</t>
  </si>
  <si>
    <t>Inlocuire TT si TC la celula 110 kV TRAFO 1 din statia Mirauti , jud. Suceava</t>
  </si>
  <si>
    <t>Inlocuire TT si TC la celula 110 kV TRAFO 2 din statia Mirauti , jud. Suceava</t>
  </si>
  <si>
    <t>Statia Pal-Falticeni, jud Suceava</t>
  </si>
  <si>
    <t>Inlocuire TT si TC la celula 110 kV TRAFO 2 din statia Pal-Falticeni , jud. Suceava</t>
  </si>
  <si>
    <t>Statia Radauti, jud Suceava</t>
  </si>
  <si>
    <t>Inlocuire TT si TC la celula LEA 110 kV EGGER din statia Radauti , jud. Suceava</t>
  </si>
  <si>
    <t>Statia Tricotaje, jud Suceava</t>
  </si>
  <si>
    <t>Inlocuire TT si TC la celula 110 kV TRAFO 1 din statia Tricotaje , jud. Suceava</t>
  </si>
  <si>
    <t>Inlocuire TT si TC la celula 110 kV TRAFO 2 din statia Tricotaje , jud. Suceava</t>
  </si>
  <si>
    <t>Modernizarea cel. 110 kV TRAFO 1 din statia 110/20 kV Tricotaje, judetul Suceava prin inlocuirea I 110 kV</t>
  </si>
  <si>
    <t>Statia Vicov, jud Suceava
Statia Radauti, jud Suceava
Statia EGGER, jud Suceava</t>
  </si>
  <si>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_Celula 110 kV (circuite primare)</t>
    </r>
  </si>
  <si>
    <r>
      <rPr>
        <b/>
        <sz val="11"/>
        <color theme="1"/>
        <rFont val="Calibri"/>
        <family val="2"/>
        <scheme val="minor"/>
      </rPr>
      <t>Modernizare celule 110 kV si integrare SCADA</t>
    </r>
    <r>
      <rPr>
        <sz val="11"/>
        <color theme="1"/>
        <rFont val="Calibri"/>
        <family val="2"/>
        <scheme val="minor"/>
      </rPr>
      <t xml:space="preserve">
Vor fi realizate urmatoarele lucrari:
-	Inlocuirea echipamentelor primare 110 kV( celula de linie si celula de transformator T1);
-	Montare echipamente primare 110 Kv ( celula de linie , celula de transformator T2 si celula sectionare);
-	Modernizarea protectiilor si a automatizarilor aferente celulelor de 110kV;
-	Modernizarea serviciilor interne de c.c. si c.a.;
-	Montare dulapuri de automatizare a bobinelor de stingere, a regulatoarelor de tensiune aferente trafo 110 kV/MT, functie de noua structura si configuratie a sistemului de protectie;
-	Montarea unui dulap pentru amplasarea contorilor pentru partea de 110 kV si realizarea circuitelor aferente;
-	Montare dulap contoare 110 kV;
-	Integrare in SCADA a instalatiilor modernizate;
-	Completare si upgradare echipamente in dulap SCADA existent;
-	Montarea celei de-a doua baterii de condensatoare
</t>
    </r>
    <r>
      <rPr>
        <b/>
        <sz val="11"/>
        <color theme="1"/>
        <rFont val="Calibri"/>
        <family val="2"/>
        <scheme val="minor"/>
      </rPr>
      <t>Modernizare circuite 20 kV si integrare in SCADA</t>
    </r>
    <r>
      <rPr>
        <sz val="11"/>
        <color theme="1"/>
        <rFont val="Calibri"/>
        <family val="2"/>
        <scheme val="minor"/>
      </rPr>
      <t xml:space="preserve">
-	Modernizare grupuri de tratare neutru; 
-	Modernizare celule 20 kV prin inlocuirea intreruptoarelor si a transformatoarelor de current;
-	Montare celule noi de 20kV: de transformator , de cupla transversala, de baterie condensatoare si de linie.
-	Modernizare automatizare DRRI-110 kV;
-	Montare dulap automatizari AAR-MT si DASF;
-	Montare dulapuri sistem modernizat de tratare a neutrului retelelor de 20 kV;
-	Integrare in SCADA a instalatiilor modernizate;
Lucrari la instalatia de iluminat si forta din interior
Lucrari la instalatia de iluminat de siguranta
Lucrari la instalatia de legare la pamant si paratrasnete
Lucrari la instalatia de iluminat exterioara
</t>
    </r>
    <r>
      <rPr>
        <b/>
        <sz val="11"/>
        <color theme="1"/>
        <rFont val="Calibri"/>
        <family val="2"/>
        <scheme val="minor"/>
      </rPr>
      <t xml:space="preserve">LEA 110 kV RADAUTI  - VICOV </t>
    </r>
    <r>
      <rPr>
        <sz val="11"/>
        <color theme="1"/>
        <rFont val="Calibri"/>
        <family val="2"/>
        <scheme val="minor"/>
      </rPr>
      <t xml:space="preserve">
         Este necesara echiparea  celui de-al doilea circuit a LEA 110 kV Radauti- Vicov , folosind consolele existente,  ca urmare a modificarii schemei de conexiuni pe partea de 110 kV a statiei 110/20 kV Vicov, intre stalpii nr.27 si stalpul nr. 104 ,terminal, aflat in apropierea  statiei Vicov, in lungime de 17 km.   Se va realiza o conexiune intrare -iesire a statiei Vicov cu statiile Radauti si Egger, prin LEA 110 kV Radauti- Vicov si LEA 110 kV Egger – Vicov. Circuitul nr. 2 se va echipa cu conductoare active OL-AL 185 mmp, lanturi de sustinere si intindere , simple sau duble , compozite.
       Se va reface inscriptionarea liniei  LEA 110 kV Radauti- Vicov si LEA 110 kV Egger – Vicov. 
       Se vor masura prizele de pamant la stalpii LEA 110 kV existenti si se vor completa astfel incat  valoarea prizei sa fie mai mica sau egala cu 10  Ω.</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</si>
  <si>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_Dulap comanda protectie LEA si trafo 110 kV</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</si>
  <si>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_Dulap automatizare AAR + DAF-U</t>
    </r>
  </si>
  <si>
    <r>
      <t>Poiect FS Statii-Modernizare statie 110/20 kV Vicov, echipare circuit nr. 2 a LEA 110 kV Radauti – Vicov in vederea buclarii statiei 110/20 kV Vicov cu statiile 110 kV Radauti si EGGER din jud. Suceava-SP</t>
    </r>
    <r>
      <rPr>
        <b/>
        <sz val="12"/>
        <rFont val="Times New Roman"/>
        <family val="1"/>
      </rPr>
      <t xml:space="preserve"> _Celule MT statie (noi)</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</si>
  <si>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_Bobina de stingere</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</si>
  <si>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_Transformator servicii interne</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</si>
  <si>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_Dulap tratare neutru</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</si>
  <si>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_Dulap Servicii interne CA si CC</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</si>
  <si>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_Baterie condensatoare</t>
    </r>
  </si>
  <si>
    <r>
      <t xml:space="preserve">Poiect FS Statii-Modernizare statie 110/20 kV Vicov, echipare circuit nr. 2 a LEA 110 kV Radauti – Vicov in vederea buclarii statiei 110/20 kV Vicov cu statiile 110 kV Radauti si EGGER din jud. Suceava-SP </t>
    </r>
    <r>
      <rPr>
        <b/>
        <sz val="12"/>
        <rFont val="Times New Roman"/>
        <family val="1"/>
      </rPr>
      <t>_Redresor automat</t>
    </r>
  </si>
  <si>
    <t>Statie Barlad, jud. Vaslui</t>
  </si>
  <si>
    <t>Modernizare LEA 110 kV DC Barlad-Crang circ.1 si 2, stalpii de beton armat numarul 9, 16, 20 fisurati cu risc HSE, judetul Vaslui</t>
  </si>
  <si>
    <t>Statie Munteni, jud. Vaslui</t>
  </si>
  <si>
    <t>Modernizare LEA 110 kV DC Munteni-Husi circ.1 si Munteni-Vutcani-Husi, judetul Vaslui  - 18 stalpi - etapa 1</t>
  </si>
  <si>
    <t>Obs</t>
  </si>
  <si>
    <t>TINMAR ENERGY SA</t>
  </si>
  <si>
    <t>CEF Romos</t>
  </si>
  <si>
    <t>I M ORASTIE 110/20KV</t>
  </si>
  <si>
    <t>RETELE ELECTRICE BANAT</t>
  </si>
  <si>
    <t>Construire parc fotovoltaic si racordare la SEN</t>
  </si>
  <si>
    <t>A20 BINIS-BOCSA RE</t>
  </si>
  <si>
    <t>VEROFIN MANAGEMENT</t>
  </si>
  <si>
    <t>Centrala Electrica Fotovoltaica Bujac 1</t>
  </si>
  <si>
    <t>S20 PARC IND 1-BUJAC AR</t>
  </si>
  <si>
    <t>CONSTRUIRE PARC FOTOVOLTAIC CU PUTERE INSTALATA DE MAX.5MW SI IMPREJMUIRE</t>
  </si>
  <si>
    <t>A20 INTEGRATA-SINNICOLAU MARE TM</t>
  </si>
  <si>
    <t>PECICA SOLAR SRL</t>
  </si>
  <si>
    <t>Construire parc fotovoltaic, imprejmuire si racordare la SEN</t>
  </si>
  <si>
    <t>A20 UZINA DE APA-PECICA AR</t>
  </si>
  <si>
    <t>SC. HANTIG ELECTRICSERVICE SRL</t>
  </si>
  <si>
    <t>PARC FOTOVOLTAIC CONECTAT LA SEN</t>
  </si>
  <si>
    <t>A20 DETA-DETA TM</t>
  </si>
  <si>
    <t>Lucrari de intarire comune (generale) determinate asigurarii conditiilor tehnice in vederea evacuarii puterii aprobate pentru CEF 4,328 MW Partos: Realizarea lucrărilor de întărire cu caracter general pentru respectarea criteriului cu N elemente in functiune in RED 110 kV: - amplificare transformator T2 110/20 kV de la 10 MVA la 16 MVA - montare rezistor 15 A pe bara B1B. Evaluarea lucrarilor de intarire Valoarea estimata a lucrarilor enuntate la pct.3.2 pe baza de indici conform art. 41 si 43 din Ordinul ANRE 11/2014 este de: T(I)=Sn x i Varianta 2 Art. 41. — În situația în care punctul de racordare este la medie tensiune, într-o linie electrică aeriană, tariful specific pentru calculul componentei TI a tarifului de racordare se notează i5 și se stabilește utilizând următoarea formulă: i5 = iMTA + iST110/MT [lei/MVA]. i5 = iMTA + iST110/MT [lei/MVA].=97.000+432.000=529.000[lei/MVA] Varianta 2: Sevacuata = 4,809 MVA Rezulta T(I)=Sn x I5 = 2.543.961 lei fara TVA a) Valoarea Ti calculata pe baza de deviz general aferenta lucrarilor de intarire din instalatiile OD necesare la criteriul cu N elemente in functiune: (Ti)SS = 168.423,27+ 2.770.503,77 =2.938.927,04lei fara TVA (in variantele 2 si 3) Varianta 2 Ti= min(T(I) si (Ti)SS)= 2.543.961 lei fara TVA </t>
  </si>
  <si>
    <t>.</t>
  </si>
  <si>
    <t>SMTL SOLAR ANINA</t>
  </si>
  <si>
    <t>PONOR 110/20KV</t>
  </si>
  <si>
    <t>Realizarea lucrărilor de întărire cu caracter gene criteriului cu N-1 elemente in functiune in RED 110 kV: - Reconductorare LEA 110 kV CIUCHICI 56MW -ORAVITA – 8 km (Imin=850 A) - Reconductorare LEA 110 kV POENI 46MW -ORAVITA- 6 km (Imin=1000A) - Reconductorare LEA 110 kV ORAVITA-CIUDANOVITA – 32,63 km(Imin=850 A) - Reconductorare LEA 110 kV CIUDANOVITA-RESITA – 31,72 (Imin=850 A) - Reconductorare LEA 110 kV CARANSEBES-BALTA SARATA – 9,16 km (Imin=850 A) - Reconductorare LEA 110 kV SF.ELENA-MOLDOVA NOUA – 4,65 km (Imin=850 A) - Reconductorare LEA 110 kV RESITA -ORAVITA – 57,97 km (Imin=1000A) - Reconductorare LEA 110 kV PONOR-ANINA – 8,62 km (Imin=1000A) - Reconductorare LEA 110 kV ANINA-RESITA – 34,24 km (Imin=1000A) TOTAL = 192,99 km Beneficiarul centralei Anina doreste punerea in functiune conform cererii de racordare si a optat pentru prevederile ord. 81/2022 cu referire la limitarea operationala a puterii tinand cont de contingentele la care au rezultat suprasarcini in RED/RET Element de retea declansat ,,Element de retea in suprasarcina ,,Fara CEF 6,1MW [%] ,,Cu CEF 6,1MW [%] ,,Putere maxim debitata de CEF Anina ,, POENI 46MW-ORAVITA ,,CIUCHICI 56MW -ORAVITA ,,142,5 ,,143,8 ,,0 ,, CIUCHICI56MW-ORAVITA ,,POENI 46MW -ORAVITA ,,128,6 ,,129,7 ,,0 ,, RESITA-ORAVITA ,,ORAVITA-CIUDANOVITA ,,136,9 ,,138,1 ,,0 ,, RESITA-ORAVITA ,,CIUDANOVITA-RESITA ,,136,2 ,,137,4 ,,0 ,, MOLDOVA NOUA-PONOR ,,CARANSEBES-BALTA SARATA ,,114,4 ,,115,5 ,,0 ,, CARANSEBES-BALTA SARATA ,,SF.ELENA-MOLDOVA NOUA ,,115,1 ,,115,1 ,,0 ,, CIUDANOVITA-RESITA ,,RESITA -ORAVITA ,,140,6 ,,141,7 ,,0 ,, CARANSEBES-BALTA SARATA ,,PONOR-ANINA ,,98,30 ,,102,6 ,,0 ,, CARANSEBES-BALTA SARATA ,,ANINA-RESITA ,,97,80 ,,102,1 ,,0 ,, Echipamentele aferente sistemului de automatizare pentru limitarea operaționala se vor instala in urmatoarele statii: Statia OTS : -Statia 400/220/110 kV Resita Statii OD: -Statia 110/20 kV Oravita -Statia 110/20/6 kV Moldova Noua -Statia 110/20 kV Ponor -Statia 110/20 kV Balta Sarata -Statia 110 kV CFR Caransebes -Statia 110/20/6 kV Ciudanovita -Statia de conexiune Poieni (46 MW) -Statia de conexiune Ciuchici (56 MW) Modul de realizare a limitarilor operationale Pentru implementarea limitarii operationale sunt necesare urmatoarele lucrari si echipamente: Lucrari in statia 400/220/110kV Resita -OTS In statia 110kV/20kV Resita se va instala un RTU la care se conecteaza pe intrarile digitale pozitiile urmatoarelor intreruptoatre: - interuptor 110kV la LEA 110kV Resita - Oravita - interuptor 110kV la LEA 110kV Resita - Ciudanovita La deconectarea intreruptoarelor monitorizate, se va transmite din RTU, prin sistemul de comunicatii existent si in care se va integra si noul RTU, un pachet de date catre DET si catre SCADA din CEF Anina. In mod similar se va transmite un pachet de date corespunzator reconectarii intreruptoarului. Lucrari in statia 110/20/kV Oravita In statia 110kV/20kVOravita se va instala un RTU la care se conecteaza pe intrarile digitale pozitiile urmatoarelor intreruptoatre: - interuptor 110kV la LEA 110kV Poieni 46MW - interuptor 110kV la LEA 110kV Ciuchici 56MW - interuptor 110kV la LEA 110kV Resita 5A La deconectarea intreruptoarelor monitorizate, se va transmite din RTU, prin sistemul de comunicatii existent si in care se va integra si noul RTU, un pachet de date catre DET si catre SCADA din CEF Anina. In mod similar se va transmite un pachet de date corespunzator reconectarii intreruptoarului. Lucrari in statia 110/20/kV Ciudanovita In statia 110kV/20kV Ciudanovita se va instala un RTU la care se conecteaza pe intrarile digitale pozitiile urmatoarelor intreruptoatre: - interuptor 110kV la LEA 110kV Resita 5B La deconectarea intreruptoarelor monitorizate, se va transmite din RTU, prin sistemul de comunicatii existent si in care se va integra si noul RTU, un pachet de date catre DET si catre SCADA din CEF Anina. In mod similar se va transmite un pachet de date corespunzator reconectarii intreruptoarului. Lucrari in statia 110/20/kV Poieni In statia 110kV/20kV Poieni se va instala un RTU la care se conecteaza pe intrarile digitale pozitiile urmatoarelor intreruptoatre: - interuptor 110kV la LEA 110kV Oravita La deconectarea intreruptorului monitorizat, se va transmite din RTU, prin sistemul de comunicatii existent si in care se va integra si noul RTU, un pachet de date catre DET si catre SCADA din CEF Anina. In mod similar se va transmite un pachet de date corespunzator reconectarii intreruptoarului. Lucrari in statia 110/20/kV Ciuchici In statia 110kV/20kV Ciuchici se va instala un RTU la care se conecteaza pe intrarile digitale pozitiile urmatoarelor intreruptoatre: - interuptor 110kV la LEA 110kV Oravita La deconectarea intreruptorului monitorizat, se va transmite din RTU, prin sistemul de comunicatii existent si in care se va integra si noul RTU, un pachet de date catre DET si catre SCADA din CEF Anina. In mod similar se va transmite un pachet de date corespunzator reconectarii intreruptoarului. Lucrari in statia110/20 kV Moldova Noua In statia 220/110kV Moldova Noua se va instala un RTU la care se conecteaza pe intrarile digitale pozitiile urmatoarelor intreruptoatre: - interuptor 110kV la LEA 110kV Ponor La deconectarea intreruptorului monitorizat, se va transmite din RTU, prin sistemul de comunicatii existent si in care se va integra si noul RTU, un pachet de date catre DET si catre SCADA din CEF Anina In mod similar se va transmite un pachet de date corespunzator reconectarii intreruptoarului. Lucrari in statia 110/20/kV CFR Caransebes In statia 110kV/20kV Caransebes se va instala un RTU la care se conecteaza pe intrarile digitale pozitiile urmatoarelor intreruptoatre: - interuptor 110kV la LEA 110kV Balta Sarata La deconectarea intreruptorului monitorizat, se va transmite din RTU, prin sistemul de comunicatii existent si in care se va integra si noul RTU, un pachet de date catre DET si catre SCADA din CEF Anina. In mod similar se va transmite un pachet de date corespunzator reconectarii intreruptoarului. Lucrari in statia 110/20/kV Balta Sarata In statia 110kV/20kV Ciudanovita se va instala un RTU la care se conecteaza pe intrarile digitale pozitiile urmatoarelor intreruptoatre: - interuptor 110kV la LEA 110kV CFR Caransebes La deconectarea intreruptorului monitorizat, se va transmite din RTU, prin sistemul de comunicatii existent si in care se va integra si noul RTU, un pachet de date catre DET si catre SCADA din CEF Anina. In mod similar se va transmite un pachet de date corespunzator reconectarii intreruptoarului. Calea de comunicatie Schimbul de date pentru funcționarea automatizării de limitarea operațională se va realiza prin căi de comunicație directe între sta țiile electrice unde sunt conectate elementele monitorizate si stația de racord a CEF Anina.Comunicatia intre DET si CEF Anina, se va face in mod direct prin canal GSM min 4 G. Pentru aceasta se vor instala in fiecare din statiile nominalizate ale OD si in statia Resita 400/220/110 kV OTS precum si in CEF Anina urmatoarele echipamente4 - Mediaconvertor serial RS232 over Ethernet 10/100 Mbps (2 buc) - Router management cai de comunicatii VPN/MPLS - Router + SIM 4G integrat management 2 cai de comunicatii Se va instala la sediul DET Timisoara - Router management cai de comunicatii VPN/MPLS - Router + SIM 4G integrat management cai de comunicatii In fazele ulterioare de proiectare (Caiet de sarcini, Proiect Tehnic și Detalii de Execuție), în capitolul dedicat soluțiilor tehnice de telecomunicații se va detalia modalitatea de asigurare a căilor de comunicații principală și rezervă pentru transmiterea informațiilor de tip voce/date/EMS/DMS SCADA și a semnalelor primite/transmise de automatica de limitare către OD/OTS de la stația Utilizatorului până în cel mai apropiat nod de comunicație al OTS. Sistemele proprii de achiziție de date și telecomunicații vor fi compatibile, corelate și integrate cu sistemele EMS/DMS SCADA ale OTS și vor fi supuse avizării în cadrul comisiilor tehnice de specialitate OD și respectiv OTS. Lucrari in PC CEF Anina. In CEF Anina semnalele transmise de la statiile in care se monteaza echipamentul pentru limitarea operationala, prin DET/DEN, sunt preluate de catre SCADA CEF Anina, care se va implementa astfel incat la aparitia acestui semnal pe calea de comunicatie sa se deconecteze imediat si cu prioritate intrerupatorul DG din PC 20kV. Puterea debitata se va reduce astfel la 0MW. Este obligatoriu ca beneficiarul sa implementeze un sistem redundant (RTU, alimentare, comunicatie). In situatia in care comunicatia prin GSM (minim 4G) nu va asigura timpii de deconectare conform normativelor in vigoare de la data PIF a centralei, calea de comunicatie se va asigura prin fibra optica ale carei costuri de instalare si mentenanta se vor asigura de catre beneficiarul centralei CEF Anina. DG se va reconecta la receptionarea semnalului de reconectare a interuptorului din statiile care au dus la deconectarea initiala. Utilizatorul va asigura achiziția și montarea echipamentelor de automatizare pentru limitarea operationala, in RET/RED și în instala țiile proprii. Pentru a putea transmite on-line poziția întreruptorului este necesar un abonament de date la un operator de telefonie mobilă, abonament de tip APN cu IP fix (static). Costul abonamentului va fi suportat integral de către Utilizator pentru toate instalațiile montate in RET/RED și în instalațiile proprii. Pierderea comunicatiei sau orice eroarea de comunicatie conduce la deconectarea intrerupatorului din statia de transformare a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t>
  </si>
  <si>
    <t>DM DROGERIE MARKT</t>
  </si>
  <si>
    <t>SPOR PUTERE</t>
  </si>
  <si>
    <t>SPOR DE PUTERE DE LA 1150 kW la 2749 kW Fiind postul abonatului, iar delimitarea fiind pe barele de medie tensiune solutia tehnica pentru sporul de putere solicitat este inlocuirea transformatorilor de curent din celula de masura de la 50/5A la 400/5A, amplificarea postului revenind abonatului</t>
  </si>
  <si>
    <t>Retele Electrice Banat</t>
  </si>
  <si>
    <t>WAREHOUSES DE PAUW ROMANIA S.R.L</t>
  </si>
  <si>
    <t>CONSTRUCTIE MIXTA</t>
  </si>
  <si>
    <t>Fratelia</t>
  </si>
  <si>
    <t>Tinând cont de situația energetică existentă precum și de solicitarea beneficiarului, alimentarea cu energie electrică a obiectivului constă din realizarea unui Punct de Conexiune de 20 kV, cu delimitare si masură la medie tensiune. PC de 20 kV va fi realizat cu 2 compartimente cu acces separat (compartiment de racordare pentru acces personal Rețele Electrice Banat) si compartiment utilizator ptr acces utilizator). Clădirea Punctului de Conexiune va fi pusă la dispoziţie de beneficiar si se va amplasa pe terenul beneficiarului. Pentru realizarea soluţiei de alimentare cu energie electrică prezentate mai sus, sunt necesare următoarele lucrări: 1) Pentru calea 1 de alimentare Punctul de Conexiune se va racorda in Statia 110/20 kV Musicescu la celula nr. 25 bara verde prin intermediul unui LES 20 kV cu sectiunea 185 mmp in lungime de cca. 6,8 km. Punctul de racordare calea de baza: bara 20 kV – celula nr. 25 din stația 110/20 kV Musicescu. Punctul de delimitare: este stabilit la 20 kV, la capetele terminale de racordare ale cablului din celula de masura MT, plecare din compartimentul de racordare spre compartimentul utilizatorului. Punctul de masurare: este stabilit la nivelul de 20 kV, in compartimentul de racordare din noul punctul de conexiune. - pozare LES 20 kV cu cablu tripolar de medie tensiune cu conductoare de Al, cu elice vizibila pentru montare subterană, izolat in polietilena reticulara de grosime redusa, cu ecran in tub de Al, sub invelis de PE, 3x(1x185) mmp (conform DC4385 RO), pozat in tub de protectie (conform DC4235 RO si DS 4247 RO) in lungime de cca. 6,8 km, între celula de linie existentă nr. 25 in Statia 110/20 kV Musicescu si celula de linie nou proiectată din PC 20 kV, ce va fi amplasat pe terenul beneficiarului. 2) Pentru calea 2 de alimentare Punctul de Conexiune se va racorda în LES 7 REAL – 20 kV, alimentată din Statia 110/20/10 kV Fratelia în lungime de cca. 2,5 km. Punctul de racordare calea de baza: LES 7 REAL 20 kV - din statia 110/20/10 kV Fratelia. Punctul de delimitare: este stabilit la 20 kV, la capetele terminale de racordare ale cablului din celula de masura MT, plecare din compartimentul de racordare spre compartimentul utilizatorului. Punctul de măsurare: este stabilit la nivelul de 20 kV, în compartimentul de racordare din noul punctul de conexiune. - se va dezlega LES 7 REAL din celula de linie a PT 12280 si se va manșona în fața postului cu cablul de medie tensiune nou proiectat; - pozare LES 20 kV cu cablu tripolar de medie tensiune cu conductoare de Al, cu elice vizibila pentru montare subterană, izolat in polietilena reticulara de grosime redusă, cu ecran in tub de Al, sub invelis de PE, 2x3x(1x185) mmp (conform DC4385 RO), pozat in tub de protectie (conform DC4235 RO si DS 4247 RO) in lungime de cca. 2,5 km, între set manșon nou proiectat și celula de linie nou proiectată din PC 20 kV nou proiectat, respectiv între celula de linie existentă din PT 12280 și celula de linie nou proiectată din PC 20 kV ce va fi amplasat pe terenul beneficiarului. I. Lucrări finanţate pe baza tarifului de racordare: - LES 20 kV proiectata cu cablu Al 3x185 mmp, în lungime de 11.9 km; canalizare in lungime de l=6900m , cu izolatie XLPE conform DC 4385 RO pozat in tub din polietilena conf. DS 4235 RO , conform plan de situatie anexat. - punct de conexiune 20 kV amplasat intr-o anvelopa (incapere) pusa la dispozitie de beneficiar, (amplasata pe terenul beneficiarului )cu compartiment de racordare si de masura cu acces separat pentru REȚELE ELECTRICE BANAT, echipata cu: •5 buc celula de linia motorizata 24 kV, 630A, 16 kA cu separator de sarcina in SF6 conf. DY803/3-LE ed 03; loc pentru extindere; •o bucată celulă de masură conf. DY 803M/316-1UT ed 02 cu separator si grup de masura format din două transformatoare de tensiune 20/0,1 kV, clasa de precizie 0,5 şi doua transformatoare de curent de 400/5A, clasa de precizie 0,5S si contor electronic trifazat static (afisaj LCD) , In=5/20A , Un=3x100/57V, clasa de precizie 0,5 dotate cu curba de sarcina si interfata de comunicatie RS 232 si modul comunicatie GSM amplasat intr-o cutie de masura; cutia de masura se va amplasa intr-o nisa cu posibilitatea vizualizarii atat de catre RETELECTRICE BANAT cât si de către beneficiar. •montare echipamente anticondens: rezistenta MT -6 buc si termohigrostat -6 buc. Legarea la centura interioara de punere la pamant a partilor metalice a utilajelor proiectate, parti care in mod normal nu sunt sub tensiune dar care pot ajunge sub tensiune in mod accidental se va realiza cu banda Ol-Zn 25x4 mmp respectiv cu legaturi elastice de Cu pentru elementele metalice mobile. Priza de Pamant exterioara se va executa prin grija beneficiarului. Compartimentul de racordare trebuie să fie dotat cu o instalaţie de iluminat corespunzătoare şi cu o priză bipolară cu întrerupător 16A-230V cu siguranţă fuzibilă, alimentate de la reţeaua de j.t. a clientului. Instalaţia de racordare conţine echipamentele de manevră şi secţionare ale Retele Electrice Banat. Cabina in care se va monta instalatia de racordare (compatiment de racordare) si masura energiei electrice consumate este pusa la dispozitie de beneficiar. Materialele si echipamentele care se utilizeaza la realizarea instalatiei trebuie sa fie noi, omologate sau certificate, compatibile cu starea tehnica a instalatiei, sa indeplineasca cerintele specifice de fiabilitate si siguranta. II. Lucrări finanţate de beneficiar, realizate prin grija lui, ce devin proprietatea acestuia: - clădirea compartimentata in care se va monta instalatia de racordare si de masurare; - realizare LES 20 kV cat mai scurta posibil, cu cablu de Cu de sectiune minima de 95mmp, intre celula de masura din compartimentul de racordare 20 kV si instalatiile 20 kV aflate in gestiunea consumatorului; - post de transformare 20/0,4 kV echipat in mod obligatoriu cu celula sosire cu intrerupator automat si separator cu protectie la suprasarcina si scurtcircuit cu reglajul corelat cu celelalte protectii din instalatiile RETELE ELECTRICE BANAT; - instalatie de iluminat si o priza 230V in compartimentul de racordare; - realizarea unei prize de Pamant cu Rp&lt;4 ohmi la punctul de conexiune. Traseul instalatiilor electrice existente si proiectate sunt redate in planul de situatie anexat documentatiei. Delimitarea între instalaţiile distribuitorului şi cele ale consumatorului este la capetele terminale de racordare a LES 20 kV plecare din compartimentul de racordare al noului punct de conexiune. Materialele şi echipamentele utilizate la realizarea instalaţiei trebuie să fie noi, omologate sau certificate, după caz, dacă acest lucru este prevăzut în specificaţiile tehnice unificate, în conformitate cu procedurile aplicabile în RETELE ELECTRICE BANAT România. Celelalte materiale şi echipamente, pentru care nu sunt elaborate specificaţii tehnice unificate, trebuie sa fie noi, compatibile cu starea tehnică a instalaţiei, să îndeplinească cerinţele specifice de fiabilitate şi siguranţă. Indicatorii de fiabilitate la nivelul barei de MT din punctul de conexiune sunt: •numar mediu de defecte eliminate prin reparatii si manevre/an : 2 •durata medie a unei restabiliri prin reparatii : 18h •durata maxima a unei restabiliri prin reparatii : 41h</t>
  </si>
  <si>
    <t>MOARA ZUF PRODUCT S.R.L</t>
  </si>
  <si>
    <t>FABRICA PANIFICATIE</t>
  </si>
  <si>
    <t>Fantanele</t>
  </si>
  <si>
    <t>Din LEA 20kV FÂNTÂNELE – Ghioroc zona stalpilor nr. 127-128 prin realizarea urmatoarelor lucrari: - Plantarea în LEA 20kV existentă 1 buc. stâlp tip SC15015 intre stalpii nr.127-128 echipat cu un separator vertical 24kV conform DY595 RO, un set de descărcătoare cu ZnO cu disconector conform DY557 RO ed.2 coronament de întindere, legături duble şi priză de pămînt cu Rp max. 4ohm; - Echipare stalp nr.127 existent tip SE9 cu un separator vertical 24 kV conform DY595 RO, un set de descărcătoare cu ZnO cu disconector conform DY557 RO ed.2, coronament de întindere, legături duble şi priză de pămînt cu Rp max. 4ohm; - Realizare LES 20kV în lungime de cca. 2x250m, cu cabluri de Al 2x(3x185 mmp), conform DC4385 RO ed.2 montate în tub, pozate între stalpul 127 existent tip SE9, stilpul proiectat SC15015 si inseriere PC 20kV proiectat; - Echiparea compartimentului de racordare din noul PC 20kV proiectat, cu: - 2 buc. celule de linie de 24kV, 630A, 16 kA(1s), cu separator de sarcină în SF6 şi CLP, conform DY803/2-LE ed.3 (loc pentru inca o celula modulara de linie sau masura); - 1 buc. celulă de măsură cu separator de sarcină, conform DY803/4-UTM ed.3, echipată cu două TT 20/0,1 kV, conform DMI031015 RO, cls.0,5 şi două TC 50/5A conform DM031052 RO, cls.0,5S; - 1 buc. tablou pentru servicii auxiliare conform DY3016 RO ed.2, rezistenţe în celulele MT şi termo-higrostat în PC, care vor fi alimentate de la reţeaua de j.t. a clientului; - controlul incalzirii in compartimentul de racordare va fi realizat cu ajutorul unui termo-higrostat avind alimentarea cu e.e. din TSI; - Demontarea conductoarelor LEA 20kV între stilpul existent nr.127 si stilpul proiectat, demontarea grupului de măsură din PT 3560 și dezafectarea racordului MT existent de la st.127 pină la PT 3560; II. Lucrari finantate de catre operatorul de distributie: - Realizarea grupului de măsurare a energiei electrice pe MT, prin montarea unui contor electronic trifazat 2x100V, 5A, cu curbă de sarcină, cu sistem de teletransmisie, în montaj indirect (TT 20/0,1kV conform DMI031015 RO, cls.0,5, TC 50/5A conform DM031052 RO, cls.0,5S şi cordon de conectare grup de măsurare conform DMI031011 RO). Contorul va fi astfel amplasat încât să fie posibilă citirea lui din exteriorul PA 20kV atât de către client cît şi de distribuitor. Contorul pentru decontare va fi finanțat de către Rețele Electrice Banat SA; III. Lucrări finanţate de beneficiar, realizate prin grija lui: - Clădirea punctului de conexiune cu două compartimente, unul pentru instalaţiile electrice din gestiunea Retele Electrice Banat şi unul pentru instalaţiile electrice ale utilizatorului. Compartimentul de racordare va fi cu exploatare din interior şi cu acces direct din exterior, va avea caracteristici minime echivalente cu cele prevăzute în prescripţiile Retele Electrice Banat DG10061RO, DG2061RO ed.2 şi DG2092RO şi un gabarit care să permită montarea de celule de linie. Asigurarea izolării postului, a măsurilor de PSI, a accesului în instalatii şi protecţiei faţă de eventualele inundaţii sau acumulări de gaze, vor fi în responsabilitatea proiectantului, constructorului și proprietarului părţii de construcţie a punctului de conexiune. PC va avea acces în compartimentul de racordare direct din exterior; - LES 20kV cît mai scurtă posibil (max.20m), cu cablu de cupru de secţiune min.95 mmp, între celula de măsură din compartimentul de racordare şi celula cu înterupător din compartimentul utilizatorului; - Celulă sosire echipată cu un separator tripolar şi a unui întrerupător automat în compartimentul utilizatorului. Întrerupătorul va fi obligatoriu prevăzut cu sistem de protecţie generală maximală de curent şi împotriva defectelor de punere la pămînt, cu reglajul corelat cu celelalte protecţii din instalaţiile Retele Electrice Banat; - Instalaţia iluminat interior, prize şi instalaţia de legare la pământ a clădirii PC; - Realizarea instalaţiei de utilizare; Punctul de alimentare 20kV se va amplasa la limita de proprietate și va avea acces în compartimentul de racordare direct din exterior. Traseele reţelelor electrice şi amplasamentul PC proiectat, se vor stabili în cadrul proiectului tehnic de către proiectantul de specialitate, conform avizelor obţinute şi de comun acord cu clientul, astfel încît să permită accesul pentru mentenanţă şi înlocuirea instalaţiilor electrice defecte în timp util. Proiectul tehnic se va aviza în comisia CTE a Retele Electrice Banat. Se respectă distanțele de siguranță conform Ordin ANRE 239 “Normă tehnică privind delimitarea zonelor de protecţie şi de siguranţă aferente capacităţilor energetice”</t>
  </si>
  <si>
    <t>TRIO ENERGY PRODUCTION SRL</t>
  </si>
  <si>
    <t>parc fofovoltaic</t>
  </si>
  <si>
    <t>A20 AVICOLA AFUMATI-AFUMATI IF</t>
  </si>
  <si>
    <t>,,Racordare intrare-ie?ire, în linia LEA 20 kV Avicola Afuma?i din sta?ia 110/20kV Afuma?i între separatorul S3188 A si separatorul de derivatie SD 32542. Lucr?ri pe tarif de racordare: LEA 20kV ,, plantare 2 stâlpi speciali în axul LEA 20 kV Avicola Afuma?i echipa?i cu: coronament semiorizontal terminal, lan?uri duble de întindere compozit, STEPnv 24 kV în montaj vertical, DRV ZnO 24kV, CT exterior si Rp? 4?; ,,realizarea leg?turilor electrice între stâlpi existen?i ?i stâlpi noi proiecta?i precum ?i depozare conductor între stâlpii noi proiecta?i. ,,LES 20kV proiectat? între stâlpii proiecta?i ?i PC 20kV,realizat? cu dou? cabluri de medie tensiune tripolar, ARE4H5EX, noi, cu elice vizibil?, izola?ie XLPE, sec?iune 3x(1x185 mm2) Al ?i accesorii performante în lungime 120 m. PC 20kV proiectat Echiparea compartimentului de racordare al punctului de conexiuni 20 kV cu: ,,- 2 celule de linie motorizate 24 kV, 630A, 16 kA cu separator de sarcin? în SF6 ?i CLPconf. specifica?iei OD; loc pentru înc? o celul? de linie; ,,- 1 celul? de m?sur? conf. specifica?iei OD cu separator ?i grup de m?sur? format din dou? transformatoare de tensiune 20/0,1 kV, clasa de precizie 0,2 ?i dou? transformatoare de curent de 400/5A, clasa de precizie 0,2S ?i contor electronic trifazat static (afi?aj LCD), In=5(6)A , Un=3x100/57V, clasa de precizie 0,2s dotate cu curb? de sarcin? ?i interfa?? de comunica?ie RS 232 ?i modul comunica?ie GSM amplasat într-o cutie de m?sur?; cutia de m?sur? se va amplasa într-o ni?? cu posibilitatea vizualiz?rii atât de c?tre OD cât ?i de c?tre beneficiar. ,,- Integrarea în telecontrol a celulelor de linie ?i m?sur? din PC 20kV proiectat prin montarea de RGDAT-2 buc, UP 2020 LITE-1 buc, baterii acumulatori -2 buc, TSA-1 buc, Router Rugged pt comunica?ii 4G ? CISCO IR1101, Swich-uri rugged CISCO IE-4000-8S4G-E, dulap pentru echipamente de telecomunica?ii FT-045_TLC-M_ed02 ? TIP B ?i accesoriile de conectic?: Patch-cord ftp cat. 6e (lungime 10 m). ,, ,, ,,Lucr?ri ce se realizeaz? prin grija beneficiarului: ,,- Montare punct de conexiune prev?zut cu dou? compartimente: unul de racordare, pentru instala?iile aferente operatorului de re?ea ?i unul de utilizare pentru instala?iile electrice ale utilizatorului. ,,- Compartimentul de racordare va fi cu ac?ionarea echipamentelor din interior ?i cu acces direct din exterior, va avea caracteristici minime echivalente cu cele prev?zute în prescrip?iile OD ?i un gabarit care s? permit? montarea echipamentelor instala?iei de racordare ?i a înc? unei celule de MT. ,,- LES 20 kV de Cu, 95 mmp, L? 20m între celula de m?sur? din compartimentul de racordare ?i celula cu înterup?tor din compartimentul utilizatorului; ,,- Dispozitivul general - celula sosire cu întrerup?tor automat ?i separator în compartimentul utilizatorului (DG) cu urm?toarele protec?ii: ,, ,, ,,Sistemul de protec?ie general (SPG) asociat dispozitivului general cuprinde: ,,- protec?ie maximal? de curent cel pu?in pe dou? faze, cu trei trepte. Prima treapt? se folose?te împotriva suprasarcinii, a doua pentru a permite o func?ionare temporizat? ?i a treia pentru a permite o interven?ie rapid?; ,,- protec?ie homopolar? direc?ional? cu dou? trepte (o treapt? pentru punerile la p?mânt simple ?i a doua treapt? pentru duble puneri la p?mânt); ,,- protec?ie maximal? de curent direc?ional? homopolar?. ? Pentru racordarea produc?torului în plus fa?? de DG (dispozitiv general) se va prevedea un dispozitiv, denumit Dispozitiv de Interfa?? (DI) în scopul de a garanta separarea instala?iei de producere de re?eaua de distribu?ie în caz de întrerupere de la re?ea. Sistemul de protec?ie SPI asociat DI con?ine relee de frecven??, de tensiune ?i eventual de tensiune homopolar?. Sistemul de protec?ie de interfa?? (SPI) asociat dispozitivului de interfa?? cuprinde: ?,,func?ie protec?ie de tensiune minim? /maxim? în 2 trepte; ?,,func?ie protec?ie de frecven?? minim? /maxim? în 2 trepte; ?,,functie de protec?ie de maxim? de tensiune mediat? la 10 minute. ,,- serviciile interne în compartimentul de racordare se vor asigura din transformatorul monofazat de 4 kVA montat în compartimentul utilizatorului, dup? întrerup?torul general (DG), spre produc?tor. ,,- montare analizor pentru monitorizarea calitatii energiei electrice. ,, În 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DG,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 LES 20kV între PC 20kV proiectat ?i centrala CEF Trio Energy în lungime de 0,13 km. ,,- Posturi trafo ?i tablouri jt aferente centralei CEF Trio Energy, trafo ? 2000kVA. ,,- Asigurarea accesului la PC 20kV proiectat pentru OD. ,,Beneficiarul are obliga?ia de a se conecta în sistemul TC existent ?i de a asigura m?surarea ?i transmiterea on-line a m?rimilor de proces P, Q, U, f ?i pozi?ie întrerup?tor la OD. ,,</t>
  </si>
  <si>
    <t>17705852</t>
  </si>
  <si>
    <t>HALA DEPOZITARE, PRODUCTIE si SPATII ADMINISTRATIVE P+1E</t>
  </si>
  <si>
    <t>Relete Electrice Muntenia</t>
  </si>
  <si>
    <t>18658104</t>
  </si>
  <si>
    <t>BANEASA DEVELOPMENTS SRL</t>
  </si>
  <si>
    <t>INFRASTRUCTURA IN INCINTA ANS.BANEASA</t>
  </si>
  <si>
    <t>18218518</t>
  </si>
  <si>
    <t>Infrastructura in incinta ans. Baneasa</t>
  </si>
  <si>
    <t>18218645</t>
  </si>
  <si>
    <t>METROREX S.A.</t>
  </si>
  <si>
    <t>STATIA TOKIO-alimentare TMB</t>
  </si>
  <si>
    <t>18268098</t>
  </si>
  <si>
    <t>Corp C1, I.G.S.U.</t>
  </si>
  <si>
    <t>19054758</t>
  </si>
  <si>
    <t>18557402</t>
  </si>
  <si>
    <t>18558217</t>
  </si>
  <si>
    <t>Unitatea Militara 02248 Bucuresti</t>
  </si>
  <si>
    <t>REALIZARE PAVILION ADMINISTRATIV, REtELE UTILITatI sI ACCES RUTIER/ PIETONAL ÎN CAZARMA 389 BUCURE?TI</t>
  </si>
  <si>
    <t>19043904</t>
  </si>
  <si>
    <t>INSTITUTUL NATIONAL DE CERCETARE-DEZVOLT ARE MEDICO-MILITARA ''CA</t>
  </si>
  <si>
    <t>Pav adm, Pav. C25,C26,C32</t>
  </si>
  <si>
    <t>Cotroceni</t>
  </si>
  <si>
    <t>17476714</t>
  </si>
  <si>
    <t>ORAS CHITILA</t>
  </si>
  <si>
    <t>Punct terminal de capat autobuze electrice, oras Chitila</t>
  </si>
  <si>
    <t>18943432</t>
  </si>
  <si>
    <t>ONE PROIECT 15 S.R.L.</t>
  </si>
  <si>
    <t>HALA FORD</t>
  </si>
  <si>
    <t>19153838</t>
  </si>
  <si>
    <t>WIND EVERYDAY SRL</t>
  </si>
  <si>
    <t>FRUMUSITA</t>
  </si>
  <si>
    <t>Statia 110/20 kV Pechea;</t>
  </si>
  <si>
    <t>MN275</t>
  </si>
  <si>
    <t>R.POWER BUCURESTI SRL</t>
  </si>
  <si>
    <t>LIPANESTI</t>
  </si>
  <si>
    <t>LEA 110 kV Baltesti-Valeni</t>
  </si>
  <si>
    <t>NEO CONSTRUCT &amp; INVEST CONCEPT SRL</t>
  </si>
  <si>
    <t>LEA 20 kV Bilciuresti alimentata din statia 110/20 kV Pastarnacu,</t>
  </si>
  <si>
    <t>ADVANCED GREEN ENERGY SRL</t>
  </si>
  <si>
    <t>PUCHENII MARI</t>
  </si>
  <si>
    <t>ST. TATARANI 110/20 KV</t>
  </si>
  <si>
    <t>MN882</t>
  </si>
  <si>
    <t>MYT HOLDCO CLEAN ENERGY SRL</t>
  </si>
  <si>
    <t>TG.BUJOR</t>
  </si>
  <si>
    <t>Statia de transformare 110/20 kV Targu Bujor bara de 110 kV</t>
  </si>
  <si>
    <t>AGRONATURA GREEN ENERGY SRL</t>
  </si>
  <si>
    <t>PODENII NOI</t>
  </si>
  <si>
    <t xml:space="preserve"> statia 110/20 kV Baltesti la barele de 110 kV</t>
  </si>
  <si>
    <t>SOLAR ENERGY INDUSTRY S.R.L.</t>
  </si>
  <si>
    <t>UMBRARESTI</t>
  </si>
  <si>
    <t>Racordarea pe bara de 20 kV in St. 110/20 kV Ivesti</t>
  </si>
  <si>
    <t>LSE PROJECT SRL</t>
  </si>
  <si>
    <t>Stația de Transformare 110 / 20 / 6 kV Brăila Sud</t>
  </si>
  <si>
    <t>PVSR BUCHAREST I SRL</t>
  </si>
  <si>
    <t>VALEA MARE</t>
  </si>
  <si>
    <t>LEA 20 kV Ludesti d.c. cu LEA 20 kV Gaesti 1, statia 110/20 kV Patroaia</t>
  </si>
  <si>
    <t>VULTURU GREEN ENERGY S.R.L.</t>
  </si>
  <si>
    <t>VULTURU</t>
  </si>
  <si>
    <t>LEA 20 KV DESECARI-VADU ROSCA</t>
  </si>
  <si>
    <t>DYNAMIC SELLING GROUP SA</t>
  </si>
  <si>
    <t>110 / 20 kV SPA Dunăre</t>
  </si>
  <si>
    <t>ACTIV MEGAWATT - ENERGY4YOU SRL</t>
  </si>
  <si>
    <t>BRANISTEA</t>
  </si>
  <si>
    <t>LEA 20 kV Branistea din statia Titu 110/20 kV</t>
  </si>
  <si>
    <t>SYNERGY SOLAR SENDRENI SRL</t>
  </si>
  <si>
    <t>LEA 20 KV ABATOR ~ SERBESTI</t>
  </si>
  <si>
    <t>MN1559</t>
  </si>
  <si>
    <t>TEHNOSTRADE SRL</t>
  </si>
  <si>
    <t>PC(RMU) 6012 TEHNOSTRADE</t>
  </si>
  <si>
    <t>MN1249</t>
  </si>
  <si>
    <t>PTM 9370 STATIA CONCASARE UMB (ANV)</t>
  </si>
  <si>
    <t>MN1021</t>
  </si>
  <si>
    <t>LES 20 kV Enachita Vacarescu alimentat din Statia 110/20/6 kV Ploiesti NORD, intre PT 0579 Romgaz si PT 0565 Penes Curcanu si la LES 20 kV PT 593 Eroilor alimentat din Statia 110/20 kV Columbia, intre PT 0594 Eroilor si PT 0435 str. T. Vladimirescu</t>
  </si>
  <si>
    <t>GREOL INVESTMENT SRL</t>
  </si>
  <si>
    <t>LEA 20 KV ST.CAREI 1 - CRAIDOROLT</t>
  </si>
  <si>
    <t>TN751</t>
  </si>
  <si>
    <t>NOVA POWER&amp;GAS</t>
  </si>
  <si>
    <t>Bihor</t>
  </si>
  <si>
    <t>Statia de Transformare 110/20 kV Beius</t>
  </si>
  <si>
    <t>SOLAR ENERGY VALEA IERULUI SRL</t>
  </si>
  <si>
    <t>LEA 110 KV BIHARIA-SACUENI</t>
  </si>
  <si>
    <t>KYNEGETICOS SRL</t>
  </si>
  <si>
    <t>Statia de Transformare 110/20 kV Sacueni,</t>
  </si>
  <si>
    <t>RAZA GREEN PROJECT</t>
  </si>
  <si>
    <t>SC SAPIROIMOB SRL</t>
  </si>
  <si>
    <t>LEA 20 KV JUC APAHIDA</t>
  </si>
  <si>
    <t>SOLAR VERAIO SRL</t>
  </si>
  <si>
    <t>LEA 20 KV VOIVOZI-BORUMLACA 1,</t>
  </si>
  <si>
    <t>NEW OFFICE EBZ SRL</t>
  </si>
  <si>
    <t>LEA 20 kV Beclean-Dej</t>
  </si>
  <si>
    <t>THE EBZ COMPANY S.R.L.</t>
  </si>
  <si>
    <t>LEA 20 kV Beclean - Dej</t>
  </si>
  <si>
    <t>KARARARO STONE SRL</t>
  </si>
  <si>
    <t>LEA 20 kV - Derivatia SMA Sintereag</t>
  </si>
  <si>
    <t>ENERGIA CAREI S.R.L.</t>
  </si>
  <si>
    <t>NOVA POWER &amp; GAS SRL</t>
  </si>
  <si>
    <t>statia 110 KV Campia Turzii</t>
  </si>
  <si>
    <t>2 buc. celule de MT 20 kV existente, puse la dispozitie de catre OD, una in Statia 110/20/10 kV Cluj Sud si una in Statia 110/20/10 kV Alverna, LEA 110 KV CLUJ SUD-ALVERNA,</t>
  </si>
  <si>
    <t>MUNICIPIUL ORADEA-ACTIVITATE ECONOMICA</t>
  </si>
  <si>
    <t>Distribuitorul LES 20 kV National TV alimentat din Statia de Transformare 110/20 kV Oradea Centru</t>
  </si>
  <si>
    <t>Statia 110/20 kV Carei Unio celula 20 kV existenta "Trum 1"</t>
  </si>
  <si>
    <t>Statia 110/20 kV Huedin</t>
  </si>
  <si>
    <t>PLSG GREENOPOLIS INVEST SRL</t>
  </si>
  <si>
    <t>MIHALT</t>
  </si>
  <si>
    <t>LEA 20 kV Blaj derivatia PTA Obreja</t>
  </si>
  <si>
    <t>Linia 20 kV Sanpaul - Parc Industrial din Statia 110 / 20 kV - Sanpaul</t>
  </si>
  <si>
    <t>TS1006</t>
  </si>
  <si>
    <t>GEROMED DELTA SA</t>
  </si>
  <si>
    <t>LEA 20 kV PT 155 a LEA/LES 20 kV Uzina de apă, racordată la Statia 110/20 kV Oltul,</t>
  </si>
  <si>
    <t>BOSCH AUTOMOTIVE SRL</t>
  </si>
  <si>
    <t>celula 20 kV Bosch 2 din Statia 110/20 kV Blaj si la PA1 Bosch</t>
  </si>
  <si>
    <t>DS SMITH PAPER ZARNESTI SRL</t>
  </si>
  <si>
    <t>la sistemul de bare A 110 kV din Statia exterioara 110 kV Tohan</t>
  </si>
  <si>
    <t>Linia 20 kV Vulcan Tohan – Derivatia spre Mina 1 Mai si Holbav</t>
  </si>
  <si>
    <t>anuleaza ATR nr. 7010221228192 / 19.12.2022</t>
  </si>
  <si>
    <t>HELIONWATT NETWORK SRL</t>
  </si>
  <si>
    <t>ROSIA</t>
  </si>
  <si>
    <t>LEA 20 kV, distribuitor PT 344, Statia 110/20 kV Sibiu Sud</t>
  </si>
  <si>
    <t>DORALEX COM SRL</t>
  </si>
  <si>
    <t>LEA 20 kV din Statia 110/20 kV Aiud - distribuitor Ocna Mures</t>
  </si>
  <si>
    <t>SC VIENNA ENERGY FORTA NATURALA SRL</t>
  </si>
  <si>
    <t>SANCEL</t>
  </si>
  <si>
    <t>LEA 110 kV BLAJ - BARABANT</t>
  </si>
  <si>
    <t>DTR DRAXLMAIER TEHNICE ROMANIA SRL</t>
  </si>
  <si>
    <t>Celula 20 kV Q12k Draxlmaier - statia 110/20 kV Codlea,</t>
  </si>
  <si>
    <t>REMETEA</t>
  </si>
  <si>
    <t>PA1 Remetea existent, celula nr. 8, PA 1 20/0,4 KV REMETEA</t>
  </si>
  <si>
    <t>CEF BOLDUR</t>
  </si>
  <si>
    <t>intrare-iesire LEA 220 kV Timisoara - Mintia</t>
  </si>
  <si>
    <t>20/8208</t>
  </si>
  <si>
    <t>21/7453</t>
  </si>
  <si>
    <t>MIKI CONSULT ENGINEERING SRL</t>
  </si>
  <si>
    <t>intrare-iesire LEA 400 kV Bucuresti Sud - Pelicanu</t>
  </si>
  <si>
    <t>LEA 220 kV Timisoara - Mintia</t>
  </si>
  <si>
    <t xml:space="preserve"> LEA 400 kV Bucuresti Sud - Pelicanu</t>
  </si>
  <si>
    <t>CEF Secas</t>
  </si>
  <si>
    <t>25/9512</t>
  </si>
  <si>
    <t>EE SUN PRO PV PP 2 SRL</t>
  </si>
  <si>
    <t>PROSUMATOR 
PMS_EVACUATA=0MW
PMS_ABSORBITA_EXISTENTA=7,150MW</t>
  </si>
  <si>
    <t>TS29</t>
  </si>
  <si>
    <t>TS772</t>
  </si>
  <si>
    <t>MN1965</t>
  </si>
  <si>
    <t>HIDRO JEPI SA</t>
  </si>
  <si>
    <t>BUSTENI</t>
  </si>
  <si>
    <t xml:space="preserve"> St 110/20/6 kV Busteni (IHB 1, IHB 2 existente</t>
  </si>
  <si>
    <t>SC MODERN CALOR SA</t>
  </si>
  <si>
    <t>EXTINDERE CAPACITATE PRODUCTIE EE - ET II, STR. PACEA NR. 43, LOC. BOTOSANI, JUD. BOTOSANI</t>
  </si>
  <si>
    <t>racorduri LES MT in BOTOSANI</t>
  </si>
  <si>
    <t>retehnologizare grupuri existente retrase din exploatare</t>
  </si>
  <si>
    <t>STATIA DE TRANSFORMARE 110/20 kV Mavrodin</t>
  </si>
  <si>
    <t>ARB ARTEX PRETORIO SRL</t>
  </si>
  <si>
    <t>VULCANA PANDELE</t>
  </si>
  <si>
    <t>LEA 110 PUCIOASA_x0002_DOICESTI-ANINOASA-TEI</t>
  </si>
  <si>
    <t>ENERGY SUDEST SRL</t>
  </si>
  <si>
    <t>BERTESTII DE JOS</t>
  </si>
  <si>
    <t>ST. INSURATEI 110/20 KV</t>
  </si>
  <si>
    <t>LITORAL ENERGOINVEST SRL</t>
  </si>
  <si>
    <t>MARASU</t>
  </si>
  <si>
    <t>LEA 20 kV Derivație din LEA 20 kV Zatna – SPP 40 alimentată din Stația de Transformare 110 / 20 kV Zatna</t>
  </si>
  <si>
    <t>ALERION RACARI S.R.L.</t>
  </si>
  <si>
    <t>Bara A 110 kV din statia de transformare 110/20 kV Mavrodin</t>
  </si>
  <si>
    <t>PIETROASELE SOLAR S.R.L.</t>
  </si>
  <si>
    <t>LEA 20 KV ULMENI</t>
  </si>
  <si>
    <t>GREENLIGHT POWER SRL</t>
  </si>
  <si>
    <t>COSTESTII DIN VALE</t>
  </si>
  <si>
    <t>LEA 110 KV Gaesti-Crovu</t>
  </si>
  <si>
    <t>MN2726</t>
  </si>
  <si>
    <t>PVSR BUCHAREST II S.R.L.</t>
  </si>
  <si>
    <t>Statia  IANCA 110/20 kv</t>
  </si>
  <si>
    <t>MN2190</t>
  </si>
  <si>
    <t>VALRAS PROD SRL</t>
  </si>
  <si>
    <t>st. 110/20 kV Columbia, PA PC 6118 MARASESTI</t>
  </si>
  <si>
    <t>CTPARK THETA SRL</t>
  </si>
  <si>
    <t>Interceptare si sectionare LES 20 kV plecare din Statia Ploiesti Crang 110/20 kV - PC Real 6015</t>
  </si>
  <si>
    <t>LEA 20 kV Balta Alba din statia 110/20/6 kV Ramnicu Sarat</t>
  </si>
  <si>
    <t>MN2241</t>
  </si>
  <si>
    <t xml:space="preserve"> LEA 20 kV Pechea-SRP8 Negrea</t>
  </si>
  <si>
    <t>MN2101</t>
  </si>
  <si>
    <t>BESS ENERGY ELEVEN</t>
  </si>
  <si>
    <t>LEA 110 kV Salonta - Chisineu Cris</t>
  </si>
  <si>
    <t>ATLANTIS R.PW. SRL</t>
  </si>
  <si>
    <t>Satu Mare</t>
  </si>
  <si>
    <t>LEA 110 kV Vetis - Abator</t>
  </si>
  <si>
    <t>SOLARIS PARK THRE SRL</t>
  </si>
  <si>
    <t>Statia de Transformare 110/20 kV Marghita prin intermediul unei noi celule de 20 kV montata in Statie</t>
  </si>
  <si>
    <t>SOLARIS PARK TWO SRL</t>
  </si>
  <si>
    <t>LEA 110 kV Marghita - Voivozi</t>
  </si>
  <si>
    <t>NOVASOL GREEN PRODUCTION</t>
  </si>
  <si>
    <t>Statia de Transformare 110/20 kV Biharia</t>
  </si>
  <si>
    <t>LES 20 kV "PCAb TEAM" - "PTAb Oasului 336"</t>
  </si>
  <si>
    <t>DACIA SERVICE CLUJ FELEAC SA</t>
  </si>
  <si>
    <t>LES 20 KV KESZ 2, ST.110/20/10 KV CLUJ-SUD</t>
  </si>
  <si>
    <t>H&amp;T-NPE EAST EUROPE S.R.L.</t>
  </si>
  <si>
    <t>MADARAS</t>
  </si>
  <si>
    <t>LEA 20 KV SALONTA-ORADEA</t>
  </si>
  <si>
    <t>TN5765</t>
  </si>
  <si>
    <t>SC GREENLIGHT CONNECTION SRL</t>
  </si>
  <si>
    <t>HOMOROD</t>
  </si>
  <si>
    <t>LEA 110 kV Hoghiz - Fintinele</t>
  </si>
  <si>
    <t>MUNICIPIUL FAGARAS</t>
  </si>
  <si>
    <t xml:space="preserve">LES 20 kV Fagaras 5 </t>
  </si>
  <si>
    <t>Brasov</t>
  </si>
  <si>
    <t>Statia Parau (proiectata)</t>
  </si>
  <si>
    <t>TS3305</t>
  </si>
  <si>
    <t>SC JOYSONQUIN AUTOMOTIVE SYSTEMS ROMANIA SRL</t>
  </si>
  <si>
    <t>conexiunea 20 kV a PCT 46.20.09 Quin</t>
  </si>
  <si>
    <t>LEA 20 kV Sighisoara - Apold</t>
  </si>
  <si>
    <t>TS4535</t>
  </si>
  <si>
    <t>FIVENINEFIVE RE SRL</t>
  </si>
  <si>
    <t>celula 20 kV PT Fiveninefive din PCT 46.10.02 Flenco existent</t>
  </si>
  <si>
    <t>BATLAS HOLDING KFT-SOSKUT-SUCURSALA HARGHITA</t>
  </si>
  <si>
    <t>TS1619</t>
  </si>
  <si>
    <t>NBHX ROLEM SRL</t>
  </si>
  <si>
    <t>a Celula 20 kV Q8K PA 4 Rolem - statia 110/20 kV Codlea</t>
  </si>
  <si>
    <t>LES 20 kV existent Statia 110 / 20 kV - Dumbrava - PT 384</t>
  </si>
  <si>
    <t>TS12261</t>
  </si>
  <si>
    <t xml:space="preserve">	
Statie de pompare SRP 1 - Cuza Voda</t>
  </si>
  <si>
    <t>Nisipari</t>
  </si>
  <si>
    <t>RETELE ELECTRICE DOBROGEA</t>
  </si>
  <si>
    <t>O.U.A.I.BORDUSANI - BALTA IALOMITEI</t>
  </si>
  <si>
    <t xml:space="preserve">	
SPOR DE PUTERE</t>
  </si>
  <si>
    <t>TOLIL COMPANY SRL</t>
  </si>
  <si>
    <t>Unitati de producere si depozitare nutreturi combinate si materii prime-T63, P628/1/1</t>
  </si>
  <si>
    <t>ALDIS S.R.L.</t>
  </si>
  <si>
    <t>AQUA CULLINAN S.R.L.</t>
  </si>
  <si>
    <t>AEE BLOC DE LOCUINTE</t>
  </si>
  <si>
    <t>SC VGP RENEWABLE ENERGY SRL</t>
  </si>
  <si>
    <t>CEF 2MW</t>
  </si>
  <si>
    <t>S20 NR.4-PADUREA VERDE TM</t>
  </si>
  <si>
    <t>ATLANTIS R.PW SRL</t>
  </si>
  <si>
    <t>GAI 110/20 KV</t>
  </si>
  <si>
    <t>Lucrari de intarire comune (generale) determinate asigurarii conditiilor tehnice in vederea evacuarii puterii aprobate pentru centrala Atlantis R.PW: Realizarea lucrărilor</t>
  </si>
  <si>
    <t>,</t>
  </si>
  <si>
    <t>SOLARIS PARK FOTOVOLTAIC NINE S.R.L</t>
  </si>
  <si>
    <t>CEF MISCA I</t>
  </si>
  <si>
    <t>A20 FRUNZIS-CHISINEU CRIS AR</t>
  </si>
  <si>
    <t>Lucrari de intarire determinate de necesitatea asi tehnice in vederea evacuarii puterii aprobate pentru centrala CEF Misca I: Realizarea lucrărilor de întărire cu caracter</t>
  </si>
  <si>
    <t>BISSI SOLAR GIULVAZ SRL</t>
  </si>
  <si>
    <t>parc fotovoltaic BISSI SOLAR GIULVAZ</t>
  </si>
  <si>
    <t>BANAT SOLAR INVEST ONE S.R.L.</t>
  </si>
  <si>
    <t>Parc fotovoltaic si racordare la SEN-UAT Ortisoara</t>
  </si>
  <si>
    <t>ORTISOARA 110/20 KV</t>
  </si>
  <si>
    <t>Lucrari de intarire determinate de necesitatea asi tehnice in vederea evacuarii puterii aprobate pentru CEF 46,8 MW Ortisoara: Realizarea lucrărilor de întărire cu caracter</t>
  </si>
  <si>
    <t>SC DIANA TURISM SRL DEVA</t>
  </si>
  <si>
    <t>PARC FOTOVOLTAIC - CENTRALA ELECTRICA FOTOVOLTAICA CU PUTERE DE 4.9 MWP CONSTRUIRE SI RACORD LA S.E.N. SI IMPREJMUIRE TEREN</t>
  </si>
  <si>
    <t>A20 DEVA-ILIA DV</t>
  </si>
  <si>
    <t>AGRICONSILIER SRL</t>
  </si>
  <si>
    <t>A20 SEGA-BUJAC AR</t>
  </si>
  <si>
    <t>NEW ENERGY PALTINIS SRL</t>
  </si>
  <si>
    <t>Realizare CEF si racord la SEN</t>
  </si>
  <si>
    <t>CFR CARANSEBES 110KV</t>
  </si>
  <si>
    <t>Lucrari de intarire comune determinate de necesita conditiilor tehnice in vederea evacuarii puterii aprobate inclusiv pentru CEF Paltinis:-Retele Electrice Banat Realizarea lucrărilor de întărire pentru respectarea criteriului cu N elemente in functiune in RET: Lucrari cuprinse in Planul de dezvoltare RET: - Realizare LEA 400kV dc Resita-Pancevo; PIF 2025 - Trecerea la 400kV a LEA 220 kV Portile de Fier-Resita (PIF 2025), Resita-Timisoara (PIF 2026), Resita Sacalaz (PIF 2027), Timisoara - Calea Aradului (PIF2027), Calea Aradului-Arad (PIF2028). - Trecerea la 400kV a statiilor 220/110kV Resita (PIF 2024), Timisoara (PIF2025), Sacalaz (PIF 2027); - Realizarea a doua celule noi 400kV (pentru LEA Timisoara si LEA Calea Aradului) precum si modernizarea statiei 110kV si renuntarea la statia 220kV in statia 400/220/110kV Arad (PIF2026) ,,Realizarea lucrărilor de întărire pentru respectarea criteriului cu N-1 elemente in functiune in RED 110 kV din zona Retele Electrice Banat: -Reconductorarea LEA 110 kV Paltinis -Iaz in lungime de 10,2 km cu OlAl 150 mmp avind Imax=650A -Reconductorarea LEA 110 kV Resita -CFR Caransebes in lungime de 26,4 km cu OlAl 150 mmp avind In=650A -Reconductorarea LEA 110 kV Resita -Ciudanovita in lungime de 31,7 km cu OlAl 185 mmp avind Imax=850A -Reconductorarea LEA 110 kV Oravia -Ciudanovita in lungime de 32,6 km cu OlAl 185 mmp avind Imax=850A -Reconductorarea LEA 110 kV Moldova Noua -Ponor in lungime de 57 km cu OlAl 240 mmp avind Imax=1000A -Reconductorarea LEA 110 kV CEE Ciuchici -Oravita in lungime de 20 km cu OlAl 185 mmp avind Imax=850A -Reconductorarea LEA 110 kV CEE Oravita -Oravita in lungime de 3 km cu OlAl 240 mmp avind Imax=1000A -Reconductorarea LEA 110 kV Oravita -Resita in lungime de 58 km cu OlAl 240 mmp avind Imax=1000A Valoarea totala a lucrarilor de intarire la OD este de 132.577.230 lei + TVA Realizarea lucrărilor de întărire pentru respectarea criteriului cu N-1 elemente in functiune in RET: Lucrari care nu sunt cuprinse in Planul de dezvoltare RET: -Reconductorare LEA 400 kV Porţile de Fier – Urecheşti in lungime de 75 kM cu OlAl 2x450 mmp avind Imax=2050A - Inlocuire AutoTransformator 200 MVA 220/110 kV Resita cu AutoTransformator 250 MVA Valoarea totala a lucrarilor de intarire reteaua OTS este de 126.822.040 + TVA Evaluarea lucrarilor de intarire pentru Solutia B de racordare: Valoarea totala a lucrarilor de intarire retea estimare pe baza de deviz general este de 256.569.612 lei + TVA Estimarea acestor costuri defalcate intre OTS si OD este urmatoarea : - 126.822.040lei + TVA – aferenta instalatiilor Transelectrica SA - 132.577.230 lei + TVA – aferenta instalatiilor Retele Electrice Banat Durata realizare pentru lucrarile de intarire necesare in RED este de : 1 bucx10luni*22zile+15 zile/km*238,9km=3803 zile lucratoare Nu este inclus timpul pentru obtinerea avizelor si acordurilor proprietarilor, respectiv timpii necesari pentru lucrarile din instalatiile OTS. In conformitate cu Ord. ANRE 11/2014 - În situația în care punctul de racordare este la 110 kV, într-o linie electrică sau pe bara de 110 kV a unei stații de transformare 110/MT sau 400/110 kV, tariful specific pentru calculul componentei TI a tarifului de racordare se notează i8 și se stabilește utilizând următoarea formulă: i8 = iLE110 + iST400/110 [lei/MVA]. Componenta iLE110 = 231.000lei/MVA Componenta iST400/110 = 283.000lei/MVA i8 = 231.000 + 283.000 = 514.000 lei/MVA Valoarea lucrarilor de intarire calculata pe baza de indici este 514,000 lei/MVA x 48,872MVA = 25.120.208 lei fara TVA Ti=min(TiSS;Tideviz)= 25.120.208 lei fara TVA </t>
  </si>
  <si>
    <t>HORNBACH CENTRALA SRL</t>
  </si>
  <si>
    <t>Consta într-un PC anvelopa 20kV pus la dispozitie de catre beneficiar, cu masura MT racordat la LEA 20kV (LES) Captare 1 respectiv LES A20 NR.10-VENUS TM-T52171</t>
  </si>
  <si>
    <t>STADION TIMISOARA</t>
  </si>
  <si>
    <t>Ținând cont de situația energetică existentă precum și de solicitarea beneficiarului, alimentarea cu energie electrica a obiectivului consta din realizarea unui Punct de</t>
  </si>
  <si>
    <t>BROMLEY RE S.R.L.</t>
  </si>
  <si>
    <t>JIMBOLIA</t>
  </si>
  <si>
    <t>In PC 20 kV Nr. 1523 existent se va inlocui celula de masura DY803/4 existenta cu 1 buc. celula de masura DY803/4 echipata cu 2xTC 400/5 A cl.0.2S si 2xTT 20/0.1 kV (DY4141/3).</t>
  </si>
  <si>
    <t>ARW 2D&amp;2F</t>
  </si>
  <si>
    <t>Din statia 110/20kV Bujac (alimentarea de baza), respectiv din statia 110/20kV Gai (alimentarea de rezerva) prin realizarea urmatoarelor lucrări I. Lucrari finanţate pe baza tarifului de racordare, conform prevederilor Ordin nr. 59/2013 cu modificările și completările ulterioare: 1). Realizare racord alimentat din statia 110/20kV BUJAC, astfel: - celula 20kV (compatibila REB) complet echipata cu intrerupator 24kV, 630A conform DY696A RO; - canalizare subterană de 20kV cu cablu Al 3x185 mmp cf.DC4385 în lugime de cca. 4,10km, cu traseul de la celula proiectata în staţia BUJAC până la punctul de conexiune de 20kV proiectat în incinta beneficiarului; 2). Realizare racord alimentat din statia 110/20kV GAI, astfel: - celula 20kV de tip inchis (compatibila Bailesti) complet echipata cu intrerupator 24kV, 630A si TC 2x200A si terminal numeric de protectie; - kit bobine anclansare/declansare cu actionare la 110Vcc; - montajul noii celule de 20kV in spatiul disponibil si racordarea la barele statiei GAI; - realizarea de circuite sedundare pentru racordarea la buclele de alimentare de c.a. și c.c., DAS, semnalizare; - legarea la sistemul de telecontrol al statiei (TPT 2020); - probe si verificari; - canalizare subterană de 20kV cu cablu Al 3x185mmp conform DC4385 în lugime de cca. 3,90km cu traseul de la celula proiectata în staţia GAI până la punctul de conexiune de 20kV proiectat în incinta beneficiarului; 3). Montare PC 20kV in anvelopa de beton amplasat in incinta beneficiarului conform planului de situatie anexat, echipat cu: - 2 buc. celule de linie motorizate 24kV, 630A, 16kA(1s) cu separator de sarcina in SF6 şi CLP, conform DY803/2-LE ed.3 pentru sosiri din statia BUJAC respectiv GAI; - 1 buc. celula de masura cf.DY 803/4-UTM cu separator si grup de masura format din două TT de 20/0,1 kV, cls.0,5 conform DMI031015 RO si două TC de 400/5A, conform DM031052 RO, cls.0,2S si contor electronic trifazat static (afisaj LCD), In=5(6)A, Un=3x100/57V, cls.0.5, cu curba de sarcina si modul comunicatie GSM amplasat intr-o cutie de masura; cutia de masura se va amplasa intr-o nisa cu posibilitatea vizualizarii atat de catre Rețele Electrice Banat cat si de catre beneficiar; - montare rezistenţe în celulele MT şi termo-higrostat în PC, care vor fi alimentate de la reţeaua de j.t. a clientului. PC 20kV proiectat va permite o dezvoltare ulterioara cu celule suplimentare, va fi in anvelopa de beton amplasat conform planului de situatie anexat, cu acces din exterior si va fi alcatuit din doua incaperi cu acces separat fiecare: una cu acces numai pentru personalul Rețele Electrice Banat (compartiment de racordare) iar cealalta cu acces pentru utilizator (compartiment utilizator). Incaperea in care se vor monta echipamentele Rețele Electrice Banat va fi pusa la dispozitie de catre beneficiar. Contorul si montarea lui precum si realizare telecontrolului in noul PC 20 kV (RGDAT,UP, modem, TSA si antena) se va suporta si executa de catre Retele Electrice Banat. Tensiunea 0,4 kV necesara telecontrolului va fi asigurata din instalatiile clientului. II. Lucrări finanţate de beneficiar, realizate prin grija lui: 1). Anvelopa de beton compusa din doua incaperi cu acces separat fiecare, o incapere fiind pentru montarea echipamentelor 20kV Rețele Electrice Banat (compartiment racordare). Compartimentul de racordare va fi cu actionarea echipamentelor din interior si cu acces direct din exterior, va avea caracteristici minime echivalente cu cele prevazute in prescriptiile NTE RE Banat si un gabarit care sa permita montarea echipamentelor instalatiei de racordare si a inca unei celule de MT. Asigurarea izolării postului, a măsurilor de PSI, a accesului în instalații şi protecţiei faţă de eventualele inundaţii sau acumulări de gaze, vor fi în responsabilitatea proiectantului, constructorului și proprietarului părţii de construcţie. 2). LES 20kV cat mai scurta posibil (max. 20m), cu cablu de cupru de sectiune minima 95mmp, intre celula de masura din compartimentul de racordare si celula de racord cablu a celulei cu intrerupator din compartimentul utilizatorului; 3). Celula sosire cu intrerupator general automat si separator (intrerupator debrosabil) in compartimentul utilizatorului; intrerupatorul va fi obligatoriu prevazut cu: - protectie generala maximala de curent in trei trepte (la scurtcircuit si suprasarcina); - protectie homopolara de curent in doua trepte, contra punerilor la pamant monofazate, respectiv bifazate, cu reglajul corelat cu celelalte protectii din instalatiile RE Banat Aceste celule vor fi amplasate in compartimentul utilizatorului, amplasat in anvelopa de beton, langa compartimentul cu instalatiile Rețele Electrice Banat. 4). Instalatie de iluminat si o priza 230V in compartimentul de racordare 5). Realizarea unei prize de pamant cu Rp mai mica sau egala cu 4ohm la punctul de conexiune; 6). Asigurarea alimentarii serviciilor interne aferente compartimentului OD; III. Lucrări pe tarif de întărire finanţate de Rețele Electrice Banat SA: 1). Lucrarile necesare pentru trecerea de la tensiunea operativa de 220Vcc la 110Vcc pentru a putea asigura racordarea noilor consumatori la barele de 20kV ale stației GAI: - amenajarea unei camere de protecții noi in care se vor monta noile dulapuri de servicii auxiliare si de protectii (vopsitorii, inlocuire tamplarie, climatizare, pardosea tehnologica, etc.) - amenjarea unei camere de protecții noi in care se vor monta noile dulapuri de servicii auxiliare si de protectii (vopsitorii, inlocuire tamplarie, climatizare, pardosea tehnologica, etc.) - montarea noilor dulapuri: DV 7071 (SP ca+cc) DQ 7078, DQ 1901 Bat, Dulap Invert, DQ 2043, DQ 1974 (2 buc), DQ 1975, DQ 2163, Dulap AAR 20kV; - inlocuirea bobinelor de anclansare si declansare la întrerupătoarele de 110kV si 20kV si a accesoriilor acestora, Dulap TPT 2020 și Dulap TLC; - in stația exterioară se va realiza o cuvă nouă pentru grup de tratare neutru unificat format din TFN/SA-160kVA + BS 300A Ca urmarea racordării noului consumator curentul capacitiv pe barele de 20kV ale statiei GAI este depășit și este necesar înlocuirea sistemului actual de tratare a neutrului. Clientul va trebui să prevadă în instalaţiile proprii aparate de comutaţie interblocate în mod adecvat pentru a evita funcţionarea în paralel, chiar şi accidental, între căile de alimentare. La realizarea schemei interne de distribuţie, consumatorul va adopta soluţii care să respecte cu stricteţe cerinţele impuse de Norma REB ed.3 „Reguli tehnice privind racordarea Consumatorilor şi Producătorilor la reţelele electrice IT şi MT ale societăţiilor de distribuţie de energie electrică REB”, în special paragrafele 8.5.11 - 8.5.14, referitoare la dispozitivul general cu sistemele de protecţie asociate, la limitarea puterilor pe secţiile de bare j.t. şi la limitarea energizării trafo instalate simultan. Traseele rețelelor proiectate se vor stabili în cadrul proiectului tehnic de către proiectantul de specialitate, conform avizelor obţinute şi de comun acord cu beneficiarul lucrării, astfel încît să permită accesul pentru mentenanţă şi înlocuirea instalaţiilor electrice defecte în timp util. Proiectul tehnic se va aviza în CTE a RE Banat. Se respectă distanțele de siguranță conform Ordin ANRE 239/19 Normă tehnică privind delimitarea zonelor de protecţie şi de siguranţă aferente capacităţilor energetice. Pentru respectarea “Standardului de performanţă pentru activitatea de furnizare a energiei electrice/gazelor naturale” (Ordin 83/2021) care impune nivelul garantat al indicatorului de calitate de 4 ore în timpul programului de lucru (care este solicitarea de reluare a furnizării la locul de consum), soluţia de racordare analizată în cadrul studiului de solutie cuprinde două căi de ali</t>
  </si>
  <si>
    <t>UNITATEA MILITARA 01221 TIMISOARA</t>
  </si>
  <si>
    <t>cladire</t>
  </si>
  <si>
    <t>In Postul de transformare Nr. 51782 - 20/0.4 kV- 2x400KVA se vor executa urmatoare lucrari: Se vor inlocui 2 buc. celule linie existente cu 2 buc. celule de linie 24kV 630 A</t>
  </si>
  <si>
    <t>S20 NR.5 VALEO-PADUREA VERDE TM</t>
  </si>
  <si>
    <t>ARKA INDUSTRY HOTEL SRL</t>
  </si>
  <si>
    <t>A20 NR.6 (ITL A2)-LUGOJ TM</t>
  </si>
  <si>
    <t>AFI PARK TIMISOARA BUILDINGS A&amp;B SRL</t>
  </si>
  <si>
    <t>cladire pentru birouri, comert si servicii</t>
  </si>
  <si>
    <t>S20 NR.14-DUMBRAVITA TM</t>
  </si>
  <si>
    <t>MAV GREEN ENERGY PRODUCTION SRL</t>
  </si>
  <si>
    <t>parc fotovoltaic</t>
  </si>
  <si>
    <t>A20 POMPE-ARCUDA GR</t>
  </si>
  <si>
    <t>Conform studiului de solutie, avizat cu CTE nr.75/3/03.11.2023,varianta 1: Racord intrare-iesire ?ntre LEA 20kV Pompe (între separatorul SD 1149 ?i separatorul SD 1155) ?i deriva?ia spre PT 1410 din LEA 20kV Baraj (SD 1365) prin realizarea unei bucle 20kV noi Lucr?ri pe tarif de racordare: Racord 20 kV: ,,Pozare 2 cabluri noi cu izola?ie XLPE 3x1x185 mmp in lungime totala de 0,9km: un cablu pân? la ax LEA 20kV Baraj în zona SD 1365 unde se va monta un stâlp nou tip SC 15015 echipat cu capete consol? de sus?inere capete terminale de exterior ?i desc?rc?tori, set de 3 desc?rc?tori OZn , separator tripolar de exterior cu cu?ite de punere la p?mânt, consol? de întindere ?i priz? de legare la p?mânt cu Rd ? 1 ?, iar cel de-al doilea cablu pân? la ax LEA 20kV Pompe (conductor neizolat Ol-Al 70/12 mmp) la al doilea stâlp special existent ?n vecin?tatea subtravers?rii A1 dinspre separatorul tripolar de exterior 1149 spre separatorul tripolar SS 1155 ce se va echipa cu consol? de sus?inere capete terminale de exterior ?i desc?rc?tori, set de 3 desc?rc?tori OZn , separator tripolar de exterior cu cu?ite de punere la p?mânt, consol? de întindere ?i priz? de legare la p?mânt cu Rd ? 1 ?. PC 20kV proiectat: Punct de conexiuni 20 kV proiectat în anvelop? de beton amplasat în incinta CEF echipat cu: ,,dou? celule de linie motorizate 24 kV, 630A, 16 kA cu separator de sarcin? în SF6 conform specifica?ie OD; ,,celul? de m?sur? conform specifica?ie OD cu separator ?i grup de m?sur? format din dou? transformatoare de tensiune 20/0,1 kV, clasa de precizie 0,5 ?i dou? transformatoare de curent de 400/5A, clasa de precizie 0,2S ?i contor electronic trifazat static (afi?aj LCD), In=5(6)A , Un=3x100/57V, clasa de precizie 0,2s dotate cu curba de sarcin? ?i interfa?? de comunica?ie RS 232 ?i modul comunica?ie GSM amplasat într-o cutie de m?sur?; cutia de m?sur? se va amplasa într-o ni?? cu posibilitatea vizualiz?rii atât de c?tre OD ?i de c?tre beneficiar; Achizi?ia ?i montarea contorului revin în sarcina Operatorului de Distribu?ie. ,,integrarea în telecontrol a celulelor de linie ?i m?sur? din PC 20kV proiectat prin montarea de RGDAT- 2 buc, UP 2020 LITE-1 buc, baterii acumulatori -2 buc, TSA-1 buc, router Rugged pentru comunica?ii 4G - CISCO IR1101, Swich-uri rugged CISCO IE-4000-8S4G-E, dulap pentru echipamente de telecomunica?ii FT- 045_TLC- M - TIP B ?i accesoriile de conectic?: Patch-cord ftp cat. 6e (lungime 1 m); Patch-cord ftp cat. 6e (lungime 10 m). ,,Tensiunea 0,4 kV necesar? telecontrolului va fi asigurat? din instala?iile beneficiarului. Lucr?ri ce se realizeaz? prin grija utilizatorului (comune pentru Varianta 1: ,, ,,- Montare punct de conexiune prev?zut cu dou? compartimente: unul de racordare, pentru instala?iile aferente operatorului de re?ea ?i unul de utilizare pentru instala?iile electrice ale utilizatorului. ,,- Compartimentul de racordare va fi cu ac?ionarea echipamentelor din interior ?i cu acces direct din exterior, va avea caracteristici minime echivalente cu cele prev?zute în prescrip?iile OD ?i un gabarit care s? permit? montarea echipamentelor instala?iei de racordare ?i a înc? unei celule de MT. ,,- LES 20 kV de Cu, 95 mmp, L? 20m între celula de m?sur? din compartimentul de racordare ?i celula cu înterup?tor din compartimentul utilizatorului; ,,- Dispozitivul general - celula sosire cu întrerup?tor automat ?i separator în compartimentul utilizatorului (DG) cu urm?toarele protec?ii: Sistemul de protec?ie general (SPG) asociat dispozitivului general cuprinde: ,,- protec?ie maximal? de curent cel pu?in pe dou? faze, cu trei trepte. Prima treapt? se folose?te împotriva suprasarcinii, a doua pentru a permite o func?ionare temporizat? ?i a treia pentru a permite o interven?ie rapid?; ,,- protec?ie homopolar? direc?ional? cu dou? trepte (o treapt? pentru punerile la p?mânt simple ?i a doua treapt? pentru duble puneri la p?mânt); ,,- protec?ie maximal? de curent direc?ional? homopolar?. ,,- Pentru racordarea produc?torului în plus fa?? de DG (dispozitiv general) se va prevedea un dispozitiv, denumit Dispozitiv de Interfa?? (DI) în scopul de a garanta separarea instala?iei de producere de re?eaua de distribu?ie în caz de întrerupere de la re?ea. Sistemul de protec?ie SPI asociat DI con?ine relee de frecven??, de tensiune ?i eventual de tensiune homopolar?. Sistemul de protec?ie de interfa?? (SPI) asociat dispozitivului de interfa?? cuprinde: ?,,func?ie protec?ie de tensiune minim? /maxim? în 2 trepte; ?,,func?ie protec?ie de frecven?? minim? /maxim? în 2 trepte; ?,,functie de protec?ie de maxim? de tensiune mediat? la 10 minute; -serviciile interne în compartimentul de racordare se vor asigura din transformatorul monofazat de 4 kVA montat în compartimentul utilizatorului, dup? întrerup?torul general (DG), spre produc?tor. -montare analizor pentru monitorizarea calitatii energiei electrice. În 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DG,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 LES 20kV între PC 20kV proiectat ?i centrala CEF MAV GREEN ENERGY în lungime de 1 km. ,,- Posturi trafo ?i tablouri jt aferente centralei CEF MAV GREEN ENERGY, trafo ? 2000kVA. ,,- Instalatie de management centrala pentru limitarea puterii evacuate la 4,5 MW. ,,- Asigurarea accesului la PC 20kV proiectat pentru OD. ,, Beneficiarul are obliga?ia de a se conecta în sistemul TC existent ?i de a asigura m?surarea ?i transmiterea on-line a m?rimilor de proces P, Q, U, f ?i pozi?ie întrerup?tor la OD. Utilizatorul va prevedea in instalatiile de utilizare a un sistem de management al centralei care sa limiteze puterea evacuata in PCC la 4 ,5MW/5MVA. Materialele ?i echipamentele care se utilizeaz? la realizarea lucr?rilor de racordare trebuie s? fie noi, omologate sau certificate, dup? caz, dac? acest lucru este prev?zut în specifica?iile tehnice unificate, în conformitate cu procedurile aplicabile OD. Celelalte materiale ?i echipamente, pentru care nu sunt elaborate specifica?ii tehnice unificate, trebuie s? fie noi, compatibile cu starea tehnic? a instala?iei, s? îndeplineasc? cerin?ele specifice de fiabilitate ?i siguran??. ,,</t>
  </si>
  <si>
    <t>17567749</t>
  </si>
  <si>
    <t>IF-ENERGIE PROJECT SRL</t>
  </si>
  <si>
    <t>centrala fotovoltaica</t>
  </si>
  <si>
    <t>A20 GRADISTEA-CACIULATI IF</t>
  </si>
  <si>
    <t>conform solutiei stabilita in SS avizat cu aviz CTE nr. 82/2/14.12.2023: racord in LEA 20 kV Gradistea in sistem intrare-ie?ire în deriva?ia radiala a LEA 20kV Gr?di?tea din st.110/20kV Caciulati între ST 7505 ?i cap?t (PTA 70478 ? Ocolul Silvic) Lucrari pe tarif de racordare: LEA 20kV - plantare stâlp special în LEA 20 kV Gradistea intre ST 7505 ?i cap?t PTA 70478 ? Ocolul Silvic echipat cu: coronament semiorizontal terminal, lan?uri duble de întindere compozit, STEPnv 24 kV în montaj vertical, DRV ZnO 24kV, CT exterior si Rp? 4?; - realizarea leg?turilor electrice între stâlpul existent ?i stâlpul nou proiectat precum si depozare cablu aerian intre stalpul proiectat si stalpul existent SC 15014 in zona intersectiei DJ200 spre CEF1.2MW - Se va realiza canalizare electrica de aproximativ 30m intre stalpul nou proiectat si punctul de conexiune proiectat - De la PC nou proiectat se va pleca in cablu de medie tensiune XLPE 3x1x185mmp nou proiectat pana la stalpul tip SC15014 existent in zona intersectiei DJ200 spre CEF1.2MW IF Energie Project SRL, pentru reintragirea cablului aerian spre PTA 70478. Traseul total estimat pentru LES MT proiectat este de aproximativ 50ml (10m in PC, 10m in pamant, 10m pe stalpul SC15014 existent si 20m pana la mansonul MT proiectat in cablu aerian pentru reintregirea liniei). PC 20kV proiectat Echiparea compartimentului de racordare al punctului de conexiuni 20 kV cu: - 2 celule de linie motorizate 24 kV, 630A, 16 kA cu separator de sarcin? în SF6 ?i CLP conf. specifica?iei OD; loc pentru înc? o celul? de linie; - 1 celul? de m?sur? conf. specifica?iei OD cu separator ?i grup de m?sur? format din dou? transformatoare de tensiune 20/0,1 kV, clasa de precizie 0,2 ?i dou? transformatoare de curent de 400/5A, clasa de precizie 0,2S ?i contor electronic trifazat static (afi?aj LCD), In=5(6)A , Un=3x100/57V, clasa de precizie 0,2s dotate cu curb? de sarcin? ?i interfa?? de comunica?ie RS 232 ?i modul comunica?ie GSM amplasat într-o cutie de m?sur?; cutia de m?sur? se va amplasa într-o ni?? cu posibilitatea vizualiz?rii atât de c?tre OD cât ?i de c?tre beneficiar. - Integrarea în telecontrol a celulelor de linie ?i m?sur? din PC 20kV proiectat prin montarea de RGDAT-2 buc, UP 2020 LITE-1 buc, baterii acumulatori -2 buc, TSA-1 buc, Router Rugged pt comunica?ii 4G ? CISCO IR1101, Swich-uri rugged CISCO IE-4000-8S4G-E, dulap pentru echipamente de telecomunica?ii FT-045_TLC-M_ed02 ? TIP B ?i accesoriile de conectic?: Patch-cord ftp cat. 6e (lungime 10 m). Lucr?ri ce se realizeaz? prin grija beneficiarului: - Montare punct de conexiune prev?zut cu dou? compartimente: unul de racordare, pentru instala?iile aferente operatorului de re?ea ?i unul de utilizare pentru instala?iile electrice ale utilizatorului. - Compartimentul de racordare va fi cu ac?ionarea echipamentelor din interior ?i cu acces direct din exterior, va avea caracteristici minime echivalente cu cele prev?zute în prescrip?iile OD ?i un gabarit care s? permit? montarea echipamentelor instala?iei de racordare ?i a înc? unei celule de MT. - LES 20 kV de Cu, 95 mmp, L? 20m între celula de m?sur? din compartimentul de racordare ?i celula cu înterup?tor din compartimentul utilizatorului; - Dispozitivul general - celula sosire cu întrerup?tor automat ?i separator în compartimentul utilizatorului (DG) cu urm?toarele protec?ii: Sistemul de protec?ie general (SPG) asociat dispozitivului general cuprinde: · protec?ie maximal? de curent cel pu?in pe dou? faze, cu trei trepte. Prima treapt? se folose?te împotriva suprasarcinii, a doua pentru a permite o func?ionare temporizat? ?i a treia pentru a permite o interven?ie rapid?; · protec?ie homopolar? direc?ional? cu dou? trepte (o treapt? pentru punerile la p?mânt simple ?i a doua treapt? pentru duble puneri la p?mânt); · protec?ie maximal? de curent direc?ional? homopolar?. - Pentru racordarea produc?torului în plus fa?? de DG (dispozitiv general) se va prevedea undispozitiv, denumit Dispozitiv de Interfa?? (DI) în scopul de a garanta separarea instala?iei de producere de re?eaua de distribu?ie în caz de întrerupere de la re?ea. Sistemul de protec?ie SPI asociat DI con?ine relee de frecven??, de tensiune ?i eventual de tensiune homopolar?. Sistemul de protec?ie de interfa?? (SPI) asociat dispozitivului de interfa?? cuprinde: · func?ie protec?ie de tensiune minim? /maxim? în 2 trepte; · func?ie protec?ie de frecven?? minim? /maxim? în 2 trepte; · functie de protec?ie de maxim? de tensiune mediat? la 10 minute. - serviciile interne în compartimentul de racordare se vor asigura din transformatorul monofazat de 4 kVA montat în compartimentul utilizatorului, dup? întrerup?torul general (DG), spre produc?tor. - montare analizor pentru monitorizarea calitatii energiei electrice. În 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DG,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Ø LES 20kV între PC 20kV proiectat ?i centrala CEF1.2MW IF Energie Project SRL în lungime de 0,550 km. Ø Posturi trafo ?i tablouri jt aferente centralei CEF1.2MW IF Energie Project SRL, trafo ? 2000kVA. Ø Asigurarea accesului la PC 20kV proiectat pentru OD. Beneficiarul are obliga?ia de a se conecta în sistemul TC existent ?i de a asigura m?surarea ?i transmiterea on-line a m?rimilor de proces P, Q, U, f ?i pozi?ie întrerup?tor la OD.</t>
  </si>
  <si>
    <t>17705007</t>
  </si>
  <si>
    <t>PIM Solutions SRL</t>
  </si>
  <si>
    <t>Parc Fotovoltaic Afumati 1</t>
  </si>
  <si>
    <t>S20 STEFANESTI-AFUMATI IF</t>
  </si>
  <si>
    <t>Conform aviz CTE nr. 04/7/26.01.2024 - Varianta 1, faza studiu de solutie si anume: Racordare intrare-ie?ire, în linia LEA(LES) 20 kV ?tef?ne?ti din sta?ia 110/20 kV Afuma?i. Lucr?ri pe tarif de racordare: ,,sec?ionare LES 20 kV ?tef?ne?ti, din sta?ia 110/20kV Afuma?i (între PTAB 3952 ?i Celula 13 ? Bara Galben? din Sta?ia 110/20 kV Afuma?i) ?i man?onarea cu LES 20kV cu dou? cabluri de medie tensiune tripolar, ARE4H5EX, noi, cu elice vizibil?, izola?ie XLPE, sec?iune 3x(1x185 mm2) în lungime 2x15m de la pct. de man?onare pân? la PC 20kV proiectat; ,,punct de conexiuni 20 kV proiectat în anvelop? de beton echipat cu: ,,o celul? de linie motorizat? 24 kV, 630A, 16 kA cu separator de sarcin? în SF6; ,,o celul? de linie motorizat? (LE) cu întreruptor ?i separator 24kV ,630A,16kA conform DY 800/116 RO prevazut? pe ramura spre sta?ia 110/20 kV Afuma?i; ,,o celul? de m?sur? conf. specifica?ie OD cu separator ?i grup de m?sur? format din dou? transformatoare de tensiune 20/0,1 kV, clasa de precizie 0,5 ?i dou? transformatoare de curent de 400/5A, clasa de precizie 0,2s ?i contor electronic trifazat static (afi?aj LCD), In=5(6)A , Un=3x100/57V, clasa de precizie 0,2s dotate cu curb? de sarcin? ?i interfa?? de comunica?ie RS 232 ?i modul comunica?ie GSM amplasat într-o cutie de m?sur?; cutia de m?sur? se va amplasa într-o ni?? cu posibilitatea vizualiz?rii atât de c?tre OD cât ?i de c?tre beneficiar. Achizi?ia ?i montarea contorului de revin în sarcina Operatorului de Distribu?ie. ?,,integrarea în telecontrol a celulelor de linie ?i m?sur? din PC 20kV proiectat prin montarea de RGDAT-2 buc, UP 2020 LITE-1 buc, baterii acumulatori -2 buc, TSA-1 buc, router Rugged pentru comunica?ii 4G - CISCO IR1101, Swich-uri rugged CISCO IE-4000-8S4G-E, dulap pentru echipamente de telecomunica?ii FT-045_TLC-M - TIP B ?i accesoriile de conectic?: Patch-cord ftp cat. 6e (lungime 1 m); Patch-cord ftp cat. 6e (lungime 10 m). Tensiunea 0,4 kV necesar? telecontrolului va fi asigurat? din instala?iile beneficiarului. Lucr?ri ce se realizeaz? prin grija beneficiarului ,,Montare punct de conexiune prev?zut cu dou? compartimente: unul de racordare, pentru instala?iile aferente operatorului de re?ea ?i unul de utilizare pentru instala?iile electrice ale utilizatorului (echipamentele montate în compartimentul de racordare ?i integrarea în sistemul de telecontrol vor fi incluse în tariful de racordare). Compartimentul de racordare va fi cu ac?ionarea echipamentelor din interior ?i cu acces direct din exterior, va avea caracteristici minime echivalente cu cele prev?zute în prescrip?iile OD ?i un gabarit care s? permit? montarea echipamentelor instala?iei de racordare ?i a înc? unei celule de MT. ,,LES 20 kV de Cu, 95 mmp, L? 20m între celula de m?sur? din compartimentul de racordare ?i celula cu înterup?tor din compartimentul utilizatorului; ,,Dispozitivul general - celula sosire cu întrerup?tor automat ?i separator în compartimentul utilizatorului (DG) cu urm?toarele protec?ii: ,,Sistemul de protec?ie general (SPG) asociat dispozitivului general cuprinde: ,,protec?ie maximal? de curent cel pu?in pe dou? faze, cu trei trepte. Prima treapt? se folose?te împotriva suprasarcinii, a doua pentru a permite o func?ionare temporizat? ?i a treia pentru a permite o interven?ie rapid?; ,,protec?ie homopolar? direc?ional? cu dou? trepte (o treapt? pentru punerile la p?mânt simple, ?i a doua treapt? pentru duble puneri la p?mânt); ,,protec?ie maximal? de curent direc?ional? homopolar?; Pentru racordarea produc?torului în plus fa?? de DG (dispozitiv general) se va prevedea un dispozitiv, denumit Dispozitiv de Interfa?? (DI) în scopul de a garanta separarea instala?iei de producere de re?eaua de distribu?ie în caz de întrerupere de la re?ea. Sistemul de protec?ie SPI asociat DI con?ine relee de frecven??, de tensiune ?i eventual de tensiune homopolar?. Sistemul de protec?ie de interfa?? (SPI) asociat dispozitivului de interfa?? cuprinde: 1. func?ie protec?ie de tensiune minim?/maxim? în 2 trepte; 2. func?ie protec?ie de frecven?? minim?/maxim? în 2 trepte; 3. func?ie de protec?ie de maxim? de tensiune mediat? la 10 minute. ,,serviciile interne în compartimentul de racordare se vor asigura din transformatorul monofazat de 4 kVA montat în compartimentul utilizatorului, dup? întrerup?torul general (DG), spre produc?tor. ,,montare analizor pentru monitorizarea calit??ii energiei electrice pe durata probelor; În 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DI,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,,instala?ie de legare la pãmânt la PC 20kV proiectat cu R? 1?. ,,LES 20kV între PC 20kV proiectat ?i CEF în lungime de 0,02 km. ,,Posturi de transformare cu puterea unitar? sub 2000 kVA. ,,Asigurarea accesului la PC 20kV proiectat pentru OD. Materialele ?i echipamentele care se utilizeaz? la realizarea lucr?rilor de racordare trebuie s? fie noi, omologate sau certificate, dup? caz, dac? acest lucru este prev?zut în specifica?iile tehnice unificate, în conformitate cu procedurile aplicabile in cadru OD. Celelalte materiale ?i echipamente, pentru care nu sunt elaborate specifica?ii tehnice unificate, trebuie s? fie noi, compatibile cu starea tehnic? a instala?iei, s? îndeplineasc? cerin?ele specifice de fiabilitate ?i siguran??.</t>
  </si>
  <si>
    <t>17587722</t>
  </si>
  <si>
    <t>Hala productie+CEF</t>
  </si>
  <si>
    <t>S20 FRAME-POP LEORDENI IF</t>
  </si>
  <si>
    <t>Se propune realizarea unui post de transformare in anvelopa de beton, de 2X1600 kVA, 20/0,4 kV, conform Norma Tehnica ENEL? Reguli Tehnice de Racordare Utilizatori, cu delimitarea si masura energiei, la medie tensiune, care se va amplasa pe proprietatea clientului. Lucrari pe tarif de racordare: A.,,Montare racord electric subteran 20 kV : Racordarea postului de transformare se realizeaza prin schema intrare-iesire din linia Frame intre ptz 3132 si ptab 4704*&lt;(&gt;,&lt;)&gt; prin montarea unui cablu 20 kV, de Al, XLPE, 3X(1x185 mmp), tip DC 4385 RO, protejate in tub tip DS 4247 pentru pozarea in trotuare si DS 4235 pentru subtraversari, subtraversari, pe un traseu cu o lungime totala de aproximativ L=500m, pentru reintregirea retelei. Pentru continuitatea in alimentare se va poza un cablu din PT nou proiectat in PT existent realizat conf.fs. 18252519 (in care se va mai monta o celula de linie tip DY 803/2 ). B.,,Echipare compartiment racordare in PT nou prefabricat in anvelopa de beton : In compartimentul de racordare din PT proiectat, se va monta instalatia de racordare, la care va avea acces exclusiv personalul autorizat ENEL si va fi echipat cu: -,,2 celule de linie tip DY 803/2 (intrare) -,,1 celule de linie tip DY 800/116 (iesire) -,,1 celula masura, UT, tip DY 803/316 RO; ce se vor integrat in sistemul de telecontrol ENEL si usa va fi prevazuta cu buton de semnalizare. -,,1 celuta de TSI prevazuta cu un transformator de 4kVA, aflat in compartimentul de racordare din care se va alimenta tabloul de servicii interne. Din TSI se va alimenta si instalatia de iluminat PC nou 20kV proiectat si serviciile de telecontrol. Nota: Celulele de LE tip 800/116 proiectate vor fi prevazute cu RGDMI, conform specificatiei tehnice GSTP011 si terminale SMART, conform specificatiei tehice GSCC012. Compartimentul EDM este amplasat in asa fel incat distanta dintre celulele de masurare si celulele de dispozitiv general (DG) sa nu depaseasca 20 m, respectiv sunt amplasate în aceea?i înc?pere dar în compartimente diferite.Celulele vor fi prevazute cu rezistente anticondens. PC proiectat va fi prev?zut cu instalatii de iluminat si instalatii de legare la pamant (formate din centura interioara si priza de pamant exterioara) a carei rezistenta de dispersie rezultanta a sistemului constituit din conductorul de nul (de pe partea de joasa tensiune) si prizele da pamant legate cu aceasta trebuie sa fie &lt; 1Ohm. La centura interioara vor fi legate toate echipamentele montate in PC/PT. Postul de transformare se va integra in sistemul de telecontrol ENEL. Lucrari in afara tarifului de racordare: A. Montare anvelopa de beton (PC) : Se va achizitiona si monta pe terenul utilizatorului, un post de transformare, in anvelopa de beton, conform Norma Tehnica ENEL? Reguli Tehnice de Racordare Utilizatori, ce va apartine utilizatorului si va fi compartimentat astfel: -un compartiment de racordare in care se va monta instalatia de racordare (cuprinsa in lucrarile pe tarif de racordare), la care va avea acces exclusiv ENEL; - un compartiment pentru instalatia de masurare (cuprinsa in lucrarile pe tarif de racordare), la care va avea acces ENEL si utilizatorul; - un compartiment pentru instalatia de utilizare, la care va avea acces utilizatorul. B. Echipare compartiment pentru instalatia de utilizare PC nou : -1 celula cu separator si intrerupator (DG - dispozitiv general) prevazut cu sistem de protectie generala, transformatoare de curent TC 300/5 A pe faze + 1 tor homopolar 100/1 A si bobina de minima tensiune (conform specificatiei - NT ENEL); -1 celula de linie pentru alimentarea PT, echipata cu protectiile aferente. C. Echipare post de transformare utilizator (PT): -1 celula de linie echipata cu protectiile aferente. -2 celule de transformator echipat2 cu protectiile aferente; -2 transformatoare de putere, trifazat, de 2x1600 kVA, 20/0,4 kV; D. Priza de pamant pentru PT-urilor noi : Se va realiza o instalatie de legare la pamant a carei rezistenta de dispersie va fi Rd &lt; 1Ohm.</t>
  </si>
  <si>
    <t>19502178</t>
  </si>
  <si>
    <t>PINUM DOORS &amp; WINDOWS S.R.L.</t>
  </si>
  <si>
    <t>UNITATE DE DEPOZITARE</t>
  </si>
  <si>
    <t>18677337</t>
  </si>
  <si>
    <t>S.C. DREAM FILM PRODUCTION COMPANY S.R.L.</t>
  </si>
  <si>
    <t>19587910</t>
  </si>
  <si>
    <t>LIDIA AXANE</t>
  </si>
  <si>
    <t>19352783</t>
  </si>
  <si>
    <t>ELEMENT DISTRIBUTION CENTER FAZA DOI S.R.L</t>
  </si>
  <si>
    <t>19376734</t>
  </si>
  <si>
    <t>GLOBAL ULTRA PROPERTIES S.R.L.</t>
  </si>
  <si>
    <t>DR.MORARILOR CEL</t>
  </si>
  <si>
    <t>19627017</t>
  </si>
  <si>
    <t>AFI HOME NORTH SRL</t>
  </si>
  <si>
    <t>Bloc C</t>
  </si>
  <si>
    <t>18896337</t>
  </si>
  <si>
    <t>SOFIA RESIDENCE HOME'S SRL</t>
  </si>
  <si>
    <t>19059138</t>
  </si>
  <si>
    <t>AVANGARDE REZIDENTIAL SRL</t>
  </si>
  <si>
    <t>17405750</t>
  </si>
  <si>
    <t>CEF CHEVERESU MARE</t>
  </si>
  <si>
    <t>220/110 kV Timisoara</t>
  </si>
  <si>
    <t>46/17380</t>
  </si>
  <si>
    <t>4P RENEWABLES CHEVERESU SRL</t>
  </si>
  <si>
    <t>racordare prin LES 110 kV in statia 220/110 kV Timisoara</t>
  </si>
  <si>
    <t>45/16461</t>
  </si>
  <si>
    <t>SC DA&amp;CO EXPRESS SRL</t>
  </si>
  <si>
    <t>CENTRALA ELECTRICA FOTOVOLTAICA 1MW , STR. PARAUL FRUMOS, LOC. VALEA BUDULUI, COM. MARGINENI, JUD. BACAU</t>
  </si>
  <si>
    <t>GHERAIESTI</t>
  </si>
  <si>
    <t>SC ELECTRIC POWER STAR SRL</t>
  </si>
  <si>
    <t>CEF ELECTRIC POWER STAR 2,6MW, NC 61542, LOC. TUTORA, COM. TUTORA, JUD. IASI</t>
  </si>
  <si>
    <t>TUTORA</t>
  </si>
  <si>
    <t>SC SANIRAL SRL</t>
  </si>
  <si>
    <t>HALA DEBITARE MATERIAL LEMNOS</t>
  </si>
  <si>
    <t>110/20 kV FALTICENI</t>
  </si>
  <si>
    <t>SC FERMADOR SRL</t>
  </si>
  <si>
    <t>ABATOR PASARI, PODU ILOAIEI, JUD. IASI</t>
  </si>
  <si>
    <t>1,6</t>
  </si>
  <si>
    <t>110/20 kV PODU ILOOAIEI</t>
  </si>
  <si>
    <t>16.04.2024</t>
  </si>
  <si>
    <t>AGENTIA NATIONALA DE IMBUNATATIRI FUNCIARE-FILIALA TERITORIALA DE IMBUNATATIRI FUNCIARE IASI</t>
  </si>
  <si>
    <t>SPA GROPNITA, GROPNITA, JUD. IASI</t>
  </si>
  <si>
    <t>110/20 kV VLADENI</t>
  </si>
  <si>
    <t>MCM PETROL SRL</t>
  </si>
  <si>
    <t>MEREI</t>
  </si>
  <si>
    <t>LEA 20 kV Ulmeni racordata din statiile 110/20 kV Stalpu si 110/20 kV Sahateni</t>
  </si>
  <si>
    <t>LEA 20 kV SRPD 50 302003002 alimentata din Statia 110/20 kV Insurate</t>
  </si>
  <si>
    <t>COSTESTI</t>
  </si>
  <si>
    <t>LEA 20 KV SMEENI 3</t>
  </si>
  <si>
    <t>MN4377</t>
  </si>
  <si>
    <t>SC ENGIE ROMANIA SA</t>
  </si>
  <si>
    <t>LEA 110 KV PLOIESTI NORD_x0002_ARICESTI</t>
  </si>
  <si>
    <t>MN4888</t>
  </si>
  <si>
    <t>GRIVITA</t>
  </si>
  <si>
    <t xml:space="preserve"> LEA 20 kV Liesti-Ivesti</t>
  </si>
  <si>
    <t>TOTALENERGIES RENEWABLES SUPLAC SRL</t>
  </si>
  <si>
    <t>Statia de Transformare 110/20 kV Suplac</t>
  </si>
  <si>
    <t>Maramures</t>
  </si>
  <si>
    <t>TN7616</t>
  </si>
  <si>
    <t>HELIOS GREEN PROJECT SRL</t>
  </si>
  <si>
    <t>LEA 110 KV simplu circuit ORADEA VEST - VOIVOZI</t>
  </si>
  <si>
    <t>MENUMORUT ENERGY PRODUCTION SRL</t>
  </si>
  <si>
    <t>Statia 110/20 kV Biharia</t>
  </si>
  <si>
    <t>SILVER ENERGY SRL</t>
  </si>
  <si>
    <t>LEA 20 kV Beius - Oradea alimentata din Statia 110/20 kV Beius</t>
  </si>
  <si>
    <t>GREENLIGHT RESOURCES SRL</t>
  </si>
  <si>
    <t>Statia de Transformare 110/20 kV CET 2 la sistemul de bare 110 kV printr-o celula de linie de 110 kV nou montata, ST.110/20 KV CET II ORADEA,</t>
  </si>
  <si>
    <t>PA Epurare 10 kV este alimentat in bucla prin celula de 10 kV "Epurare" din Statia de Transformare Cluj Est;, LES 10 KV EST - EPURARE</t>
  </si>
  <si>
    <t>SC TRIATHLON LAND INT SRL</t>
  </si>
  <si>
    <t>RECI</t>
  </si>
  <si>
    <t>barele 110 kV aferente Statiei 110 / 20 kV Sfantu Gheorghe ;</t>
  </si>
  <si>
    <t>NEXTE RO PROJECT BETA SRL</t>
  </si>
  <si>
    <t>PREJMER</t>
  </si>
  <si>
    <t>intrare - iesire pe LEA 110 kV Brasov - Sf. Gheorghe, stalpul nr. 66 existent</t>
  </si>
  <si>
    <t>ASIG ENERGIE VERDE</t>
  </si>
  <si>
    <t>SIBOT</t>
  </si>
  <si>
    <t>LEA 20 KV CUGIR-SEBES</t>
  </si>
  <si>
    <t>SC ARI INVEST SRL</t>
  </si>
  <si>
    <t>Conexiunea 20 kV din Statia 110 / 20 kV Sebes</t>
  </si>
  <si>
    <t>REAL EUROHOUSE SRL</t>
  </si>
  <si>
    <t>Bara 20 kV in Statia 110 / 20 kV - Miercurea Sibiului</t>
  </si>
  <si>
    <t>Racordare in LEA 400 kV Urecheşti - CTE Rovinari G3+G4 printr-o staţie de transformare 400/110 kV echipată cu două transformatoare 400 MVA 400/110 kV</t>
  </si>
  <si>
    <t>CEF Rovinari</t>
  </si>
  <si>
    <t>Complex Energetic Oltenia SA</t>
  </si>
  <si>
    <t>Racordare in LEA 400 kV Urecheşti - CTE Rovinari existenta</t>
  </si>
  <si>
    <t>54/18865</t>
  </si>
  <si>
    <t>55/18863</t>
  </si>
  <si>
    <t>CEF Bohorelu</t>
  </si>
  <si>
    <t>56/18867</t>
  </si>
  <si>
    <t>CEF Pinoasa</t>
  </si>
  <si>
    <t>CEF Turceni</t>
  </si>
  <si>
    <t>LEA 400 kV Tantareni - Turceni</t>
  </si>
  <si>
    <t>racordare in LEA 400 kV Țânțăreni -Turceni circ. G3+G4, înlocuind racordul de la grupul energetic G3</t>
  </si>
  <si>
    <t>64/25111</t>
  </si>
  <si>
    <t>IS Ciumeghiu</t>
  </si>
  <si>
    <t>ELECTRON SOLAR EPSILON SRL</t>
  </si>
  <si>
    <t>racordare intrare-iesire in LEA 400 kV Oradea Sud - Nadab prin realizarea unei statii de conexiuni 400 kV Batar, avand in cadrul instalatiei de utilizare o statie de transformare 400/33 kV Ciumeghiu</t>
  </si>
  <si>
    <t>Staţia/LEA de racord</t>
  </si>
  <si>
    <t>69/25112</t>
  </si>
  <si>
    <t>Retele Electrice</t>
  </si>
  <si>
    <t>Brașov</t>
  </si>
  <si>
    <t>CEF Parau 2</t>
  </si>
  <si>
    <t>76/27152</t>
  </si>
  <si>
    <t>LEA 400 kV Sibiu Sud- Brașov</t>
  </si>
  <si>
    <t>racordare intrare-iesire in LEA 400 kV Sibiu Sud - Brasov prin intermediul unei statii de conexiuni 400 kV Vad</t>
  </si>
  <si>
    <t>HELIOWIN SRL</t>
  </si>
  <si>
    <t>LEA 400 kV Oradea Sud - Nadab</t>
  </si>
  <si>
    <t>SOCIETATEA NATIONALA A SARII SA</t>
  </si>
  <si>
    <t>SALINA CACICA+CE FOTOVOLTAICA, LOC. PARTESTII DE JOS, COM. PARTESTII DE JOS, JUD. SUCEAVA</t>
  </si>
  <si>
    <t>SOLCA</t>
  </si>
  <si>
    <t>JUDETUL NEAMT</t>
  </si>
  <si>
    <t>INFIINTARE UNITATE DE PRODUCERE A ENERGIEI ELECTRICE DIN SURSE REGENERABILE PENTRU AUTOCONSUM - CEF 2,2MW, amplasat DJ208G, NC 52235, LOC. VAD, COM. DRAGOMIRESTI, JUD. NEAMT</t>
  </si>
  <si>
    <t>TUPILATI</t>
  </si>
  <si>
    <t>CENTRU PALEATIVE SI RECUPERARE PEDIATRICA, CORP A SI B, MUN. BACAU, STR. SPIRU HARET, NR. 2, JUD. BACAU</t>
  </si>
  <si>
    <t>110/20Kv Milcov</t>
  </si>
  <si>
    <t>loc de consum nou
 integrarea SCADA a echipamentelor din modul de conexiune in anvelopa de beton MCAv</t>
  </si>
  <si>
    <t>PROINVEST GROUP SRL</t>
  </si>
  <si>
    <t>CLADIRE BIRIURI, CANTINA, SPATIU POLIVALENT, HALA</t>
  </si>
  <si>
    <t>110/20 kV VATRA</t>
  </si>
  <si>
    <t>spor putere de la 920 kW la 2020 kW</t>
  </si>
  <si>
    <t>TINERVIS GROUP SRL</t>
  </si>
  <si>
    <t>AUKERA PROJECT COMPANY ALPHA S.R.L.</t>
  </si>
  <si>
    <t>Bara de 110 kV al Statiei de Transformare 110/20 kV Romanu</t>
  </si>
  <si>
    <t>MN5677</t>
  </si>
  <si>
    <t>INLOCUIESTE 3050210905435</t>
  </si>
  <si>
    <t>ANION ENTREPRYZE SRL</t>
  </si>
  <si>
    <t>MAXINENI</t>
  </si>
  <si>
    <t>LES 20 kV., ST. MAXINENI 110/20 KV</t>
  </si>
  <si>
    <t>ELECTROGETICA SRL</t>
  </si>
  <si>
    <t>PROVITA DE JOS</t>
  </si>
  <si>
    <t>LEA 20kV PIȚIGAIA</t>
  </si>
  <si>
    <t>SOLID ENERGY VIBE SRL</t>
  </si>
  <si>
    <t>LEA 20 kV Schela Porcine</t>
  </si>
  <si>
    <t>, LEA 20 KV DOICESTI</t>
  </si>
  <si>
    <t>MN5463</t>
  </si>
  <si>
    <t>SC AGROCOV SRL</t>
  </si>
  <si>
    <t>LEA 20 kV Racord SPE (Somova)</t>
  </si>
  <si>
    <t>MN6048</t>
  </si>
  <si>
    <t>SC BILFINGER SRL</t>
  </si>
  <si>
    <t>SPA DUNAREA GHIMIA</t>
  </si>
  <si>
    <t>MN5450</t>
  </si>
  <si>
    <t>stației de 110/20 kV Dudești.</t>
  </si>
  <si>
    <t>PURE ENERGY SOUTH SRL</t>
  </si>
  <si>
    <t>TICHILESTI</t>
  </si>
  <si>
    <t>110kV din Statia de transformare 110/20 kV Gropeni</t>
  </si>
  <si>
    <t>IB VOGT CHARLIE SRL</t>
  </si>
  <si>
    <t>ST. BUZAU SUD 110/6 KV</t>
  </si>
  <si>
    <t>QUANTUM PHOTOVOLTAIC SRL</t>
  </si>
  <si>
    <t>MORTENI</t>
  </si>
  <si>
    <t>LEA 20 kV Petresti Derivatia Morteni</t>
  </si>
  <si>
    <t>QUANTUM PHOTOVOLTAIC BUCSANI SRL</t>
  </si>
  <si>
    <t>BUCSANI</t>
  </si>
  <si>
    <t>LEA 20 KV COMISANI</t>
  </si>
  <si>
    <t>QUANTUM PHOTOVOLTAIC BALENI SRL</t>
  </si>
  <si>
    <t>BALENI</t>
  </si>
  <si>
    <t>LEA 20 kV Finta din statia de transformare 110/20 kV Pastarnacu</t>
  </si>
  <si>
    <t>LEA 20 kV Cornatel - din statia 110/20 kV Mavrodin</t>
  </si>
  <si>
    <t>CUANTIC MAJOR SRL</t>
  </si>
  <si>
    <t>VIDRA</t>
  </si>
  <si>
    <t>STATIA DE TRANSFORMARE 110/20 KV VIDRA,</t>
  </si>
  <si>
    <t>TERBORG SOLAR ENERGY SRL</t>
  </si>
  <si>
    <t>DRAGOMIRESTI</t>
  </si>
  <si>
    <t>LEA 20kV Rancaciov</t>
  </si>
  <si>
    <t>BUTIMANU POWER STATION S.R.L.</t>
  </si>
  <si>
    <t>ST. BUTIMANU 110/20/6 kV</t>
  </si>
  <si>
    <t>st Focsani Nord</t>
  </si>
  <si>
    <t>MN7441</t>
  </si>
  <si>
    <t>FILSAM PROD SRL</t>
  </si>
  <si>
    <t>FILIPESTII DE TARG</t>
  </si>
  <si>
    <t>LEA 20 kV Moreni 2,</t>
  </si>
  <si>
    <t>ARTEMA PLAST SRL</t>
  </si>
  <si>
    <t>LEA 20 kV Lipanesti</t>
  </si>
  <si>
    <t>SUNPRO OILS S.R.L.</t>
  </si>
  <si>
    <t>LEA 20 kV SPA Dunăre – Ghimia - alimentata din statia 110/20 kV SPA Dunare</t>
  </si>
  <si>
    <t>COMCRIS ENERGY SRL</t>
  </si>
  <si>
    <t>Salaj</t>
  </si>
  <si>
    <t>TN8672</t>
  </si>
  <si>
    <t>S.C. 4P RENEWABLES BIHARIA SRL</t>
  </si>
  <si>
    <t>110 kV, la STATIA DE TRANSFORMARE 110/20 KV BIHARIA</t>
  </si>
  <si>
    <t>LEA 20 kV Vetis - Carpati</t>
  </si>
  <si>
    <t>OPM GROUP SRL</t>
  </si>
  <si>
    <t>LEA 20 kV Bistrita - Nasaud</t>
  </si>
  <si>
    <t>RODNA SOLAR GREEN POWER</t>
  </si>
  <si>
    <t>LEA 20 KV RODNA - VALEA MARE 2</t>
  </si>
  <si>
    <t>TN8723</t>
  </si>
  <si>
    <t>SC SNK DEVELOPMENT INVEST SRL</t>
  </si>
  <si>
    <t>PA 10 kV Nervia</t>
  </si>
  <si>
    <t>se actualizeaza ATR 6020220516864 / 28.06.2023 fara prelungirea termenului de valabilitate a acestuia; data de expirare a prezentului ATR fiind 04.07.2024</t>
  </si>
  <si>
    <t>ZUM ENERGY S.R.L.</t>
  </si>
  <si>
    <t>Bistrita-Nasaud</t>
  </si>
  <si>
    <t>STATIA LECHINTA 110/20 KV</t>
  </si>
  <si>
    <t>SUN VEL CO SRL</t>
  </si>
  <si>
    <t>Statia 110/20 kV Lechinta</t>
  </si>
  <si>
    <t>STATIA DE TRANSFORMARE 110/20 KV BECLEAN</t>
  </si>
  <si>
    <t>GDU ENERGY S.R.L.</t>
  </si>
  <si>
    <t>STATIA DE TRANSFORMARE 110/20 KV LECHINTA</t>
  </si>
  <si>
    <t>4P RENEWABLES BUNESTI SRL</t>
  </si>
  <si>
    <t>Statia 110/20 kV Gherla</t>
  </si>
  <si>
    <t>EUROPEAN FOOD INTERNATIONAL SRL</t>
  </si>
  <si>
    <t>STEI</t>
  </si>
  <si>
    <t>Statia de Transformare 110/20/6 kV Stei</t>
  </si>
  <si>
    <t>TN12373</t>
  </si>
  <si>
    <t>AEROPORTUL INTERNATIONAL MARAMURES RA</t>
  </si>
  <si>
    <t>TAUTII MAGHERAUS</t>
  </si>
  <si>
    <t>PTZ 3 TAUTI MAGHERAUS AEROPORT PISTA</t>
  </si>
  <si>
    <t>UNITATEA MILITARA 01969</t>
  </si>
  <si>
    <t>LEA 110 kV Ludus - Campia Turzii</t>
  </si>
  <si>
    <t>TAI REGEN ENERG SRL</t>
  </si>
  <si>
    <t>PONOR</t>
  </si>
  <si>
    <t>110 kV</t>
  </si>
  <si>
    <t>LEA 110 KV LUPSA-BAIA 2</t>
  </si>
  <si>
    <t>PARCUL INDUSTRIAL SIBIU SA</t>
  </si>
  <si>
    <t>PA 1 20/0.4 KV VESTEM</t>
  </si>
  <si>
    <t>MM&amp;MV FOTOSOLAR SRL</t>
  </si>
  <si>
    <t>LEA 20 KV REGHIN-RACIU 7D27O313</t>
  </si>
  <si>
    <t>TS8787</t>
  </si>
  <si>
    <t>ELIS PAVAJE SRL</t>
  </si>
  <si>
    <t>LEA 20 KV CUGIR-SEBES 7D01O312</t>
  </si>
  <si>
    <t>anulat</t>
  </si>
  <si>
    <t>LEA 110 kV Teius - Aiud,</t>
  </si>
  <si>
    <t>LEA 110 kV Teius - Aiud</t>
  </si>
  <si>
    <t>SC RUPEA SOLAR SRL</t>
  </si>
  <si>
    <t>ALLCOLORS SERV S.R.L.</t>
  </si>
  <si>
    <t xml:space="preserve"> LES 20 kV PC 1 (PA Parc Industrial Mures)</t>
  </si>
  <si>
    <t>CREATIVE SUSTENABILITY INVESTMENTS S.R.L.</t>
  </si>
  <si>
    <t>JOSENI</t>
  </si>
  <si>
    <t xml:space="preserve"> PT 1 Joseni</t>
  </si>
  <si>
    <t>ENTOMPRODEXP SA</t>
  </si>
  <si>
    <t>TOMESTI</t>
  </si>
  <si>
    <t>LEA 20 kV Mozaic</t>
  </si>
  <si>
    <t>SC OMV PETROM MARKETING SRL</t>
  </si>
  <si>
    <t>STATIA MIERCUREA 110/20 KV</t>
  </si>
  <si>
    <t>MUNICIPIUL BRASOV</t>
  </si>
  <si>
    <t>Statia 110/20/6 kV Bartolomeu</t>
  </si>
  <si>
    <t>Statia 110 / 20 kV Aeroport</t>
  </si>
  <si>
    <t xml:space="preserve">GENESSIS BIO 3 SRL </t>
  </si>
  <si>
    <t>/la clemele de legare in LEA 20 kV Almaj-Melinesti, la stalpul numarul 13A proiectat</t>
  </si>
  <si>
    <t>ANULAT</t>
  </si>
  <si>
    <t>ATR actualizat la poz. 63</t>
  </si>
  <si>
    <t>ATR actualizat la poz. 67</t>
  </si>
  <si>
    <t>Preluare de la Dispan SRL - poz. 52</t>
  </si>
  <si>
    <t>24.11.2020</t>
  </si>
  <si>
    <t>14.10.2022</t>
  </si>
  <si>
    <t>VIENNA ENERGY FORTA NATURALA SRL</t>
  </si>
  <si>
    <t>CEF VIENNA ENERGY FORTA NATURALA SRL</t>
  </si>
  <si>
    <t>Stalpul nr.12 tip SE1 al LEA 20kV DERIVATIE PTA 2 ZOOTEHNIE GHIMPETENI</t>
  </si>
  <si>
    <t>Pif estimat 22.05.2024</t>
  </si>
  <si>
    <t>stalp nr.119 tip SC15014 proiectat  in ax  LEA 20 kV Mioveni-Domnesti</t>
  </si>
  <si>
    <t>3200091061</t>
  </si>
  <si>
    <t>PIF estimat 04.05.2024</t>
  </si>
  <si>
    <t>ENERGY SOLAR NRG SRL</t>
  </si>
  <si>
    <t>MIHAESTI (VL)</t>
  </si>
  <si>
    <t>Pif estimat 26.05.2024</t>
  </si>
  <si>
    <t>CEF S.C.NATURAL SRL SLATINA</t>
  </si>
  <si>
    <t>Celula 20KV Rulmenti (UNICONFEX) din statia 110/20kV SLATINA-NORD</t>
  </si>
  <si>
    <t>PIF estimat la 19.07.2024</t>
  </si>
  <si>
    <t>TURBUREA, TURBUREA,217515</t>
  </si>
  <si>
    <t>in celulele 6kV Compresoare 1 si Compresoare 3, respectiv cel 6kV PSI 1 din statia de transformare 110/6kV Turburea</t>
  </si>
  <si>
    <t>PIF estimat  05.07.2024</t>
  </si>
  <si>
    <t>Ferma panouri fotovoltaice, Grojdibodu</t>
  </si>
  <si>
    <t>montare celula noua in statie; LES 20 KV nou si punct de conexiune</t>
  </si>
  <si>
    <t>CEZ DISTRIBUTIE</t>
  </si>
  <si>
    <t>DANUBIU CETVOLT</t>
  </si>
  <si>
    <t>CETATE (DJ)</t>
  </si>
  <si>
    <t>la stalpul special tip SC 15014 nr. 3A pr. in axul Rac. 20 KV PTA 2 Cetate</t>
  </si>
  <si>
    <t>CEF SC COMEFIN SA</t>
  </si>
  <si>
    <t>In celulele 20 KV ISDVA 1,respectiv  ISDVA 2, existente in Statia Costesti</t>
  </si>
  <si>
    <t>SC DANSTUD SRL</t>
  </si>
  <si>
    <t>la stalpul nr. 111 A tip SC 15014, aferent LEA 20 kV Caracal Vest,</t>
  </si>
  <si>
    <t>CEF CALAFAT 3</t>
  </si>
  <si>
    <t>Stalpul 20  (tip SE5)  al  Derivatiei 20 kV Ciupercenii Noi,aferenta LEA 20 kV Calafat-Irigatii Desa.</t>
  </si>
  <si>
    <t>GRAND ENERGY S.R.L.</t>
  </si>
  <si>
    <t>CEF GRAND ENERGY S.R.L.</t>
  </si>
  <si>
    <t>BARA 110KV in statia SCORNICESTI 110/20kV</t>
  </si>
  <si>
    <t>PIF estimat 18.04.2025</t>
  </si>
  <si>
    <t>PIATRA SOLAR SRL</t>
  </si>
  <si>
    <t>CEF PIATRA SOLAR SRL</t>
  </si>
  <si>
    <t>stalpul nr 1 al derivatiei 20 kV Piatra –racord PTA CRR Piatra aferenta LEA 20 kV Viisoara-Bogdana</t>
  </si>
  <si>
    <t>PIF estimat 12.04.2025</t>
  </si>
  <si>
    <t>RB SOLAR ENERGY SRL</t>
  </si>
  <si>
    <t>CEF RB SOLAR ENERGY SRL</t>
  </si>
  <si>
    <t>Stalpul nr.16 al LEA 110kV Otelarie Bals-Bals</t>
  </si>
  <si>
    <t>Pif estimat 30.05.2025</t>
  </si>
  <si>
    <t>MS &amp; MV SOLAR SRL</t>
  </si>
  <si>
    <t>CEF MS &amp; MV SOLAR SRL</t>
  </si>
  <si>
    <t>Stalpul nr.20 tip SC 15006 aferent LEA 20 kV Godinesti-Ciuperceni–Derivatia Somanesti</t>
  </si>
  <si>
    <t>Pif estimat 06.06.2024</t>
  </si>
  <si>
    <t>Pif estimat 30.05.2024</t>
  </si>
  <si>
    <t>Pif estimat 30.07.2024</t>
  </si>
  <si>
    <t>Pif estimat 30.11.2024</t>
  </si>
  <si>
    <t>SPINENI, SPINENI,237415</t>
  </si>
  <si>
    <t>Stalpul nr. 27 al Derivatiei 20 KV PC Parc 18</t>
  </si>
  <si>
    <t>PIF estimat 23.10.2024</t>
  </si>
  <si>
    <t>stalpul nr. 13 al buclei 20 kV dintre LEA 20 kV Oarja 1 si LEA 20 kV Oarja 2, in racordul 20 kV existent al PT SOL 1 Compresoare/PT Sol 2 Compresoare Oarja</t>
  </si>
  <si>
    <t>PIF estimat 03.01.2025</t>
  </si>
  <si>
    <t>stalpul nr.148 proiectat din LEA 20 kV Almaj-Petrol 1 Bradesti;</t>
  </si>
  <si>
    <t>PIF estimat 23.04.2025</t>
  </si>
  <si>
    <t>Anulat</t>
  </si>
  <si>
    <t>3200078851</t>
  </si>
  <si>
    <t>MH</t>
  </si>
  <si>
    <t>Statia  110/20 kV Prefabricate Craiova.</t>
  </si>
  <si>
    <t>Actualizare poz. 73</t>
  </si>
  <si>
    <t>3300000005</t>
  </si>
  <si>
    <t>3300000004</t>
  </si>
  <si>
    <t>3100173856</t>
  </si>
  <si>
    <t>Actualizare poz. 64</t>
  </si>
  <si>
    <t>MUNICIPIUL PITESTI</t>
  </si>
  <si>
    <t>In celula de linie si masura 20 kV, nou proiectata in PTCZ 20/0.4 kV 6 Exercitiu</t>
  </si>
  <si>
    <t>La stalpul nr.8 al DERIVATIE 20 KV PTCZ SRP 16 alimentat din LEA L20 kV BAILESTI - SPP 14</t>
  </si>
  <si>
    <t>Pif estimat 08.04.2025</t>
  </si>
  <si>
    <t xml:space="preserve"> 07.12.2023</t>
  </si>
  <si>
    <t>SEZAR FOREST SRL</t>
  </si>
  <si>
    <t>stalpul SC 15014 nou proiectat in Derivatia 20kV Fabrica de Caramida</t>
  </si>
  <si>
    <t>Pif estimat 10.10.2024</t>
  </si>
  <si>
    <t>SERVICIUL PUBLIC DE ALIMENTARE CU ENERGIE TERMICA</t>
  </si>
  <si>
    <t>Conductoarele de legatura spre Statia 110 kV CET Drobeta ale LEA 110 kV CET Drobeta-Banovita 1,LEA 110 kV CET Drobeta-Banovita2,LEA 110 kV CET Drobeta-T.Severin 1 si LEA 110 kV CET Drobeta-T.Severin 2</t>
  </si>
  <si>
    <t>Pif estimat 12.10.2024</t>
  </si>
  <si>
    <t>ELECTROPUTERE PARC SRL</t>
  </si>
  <si>
    <t>bare statie Craiova Est ( sectii diferite)</t>
  </si>
  <si>
    <t>SC ROMBEL CON AGREGATE SRL</t>
  </si>
  <si>
    <t>Stalpul numarul 107 tip SC15014 existent in ax LEA 20 kV VALEA DANULUI - CEPARI</t>
  </si>
  <si>
    <t>Pif estimat 18.10.2024</t>
  </si>
  <si>
    <t>INTERMEAT FOOD SRL</t>
  </si>
  <si>
    <t>stalpul nr. 34 tip SC15006 existent in axul LEA 20kV Marcea - Stoilesti</t>
  </si>
  <si>
    <t>Pif estimat 06.10.2024</t>
  </si>
  <si>
    <t>stalpul nr.37 tip SC15014 proiectat in axul LEA 20kV Marcea - Olanu</t>
  </si>
  <si>
    <t>Stalp tip SC15015, nr.72A existent in ax LEA 20 kV Pitesti Nord-Mioveni</t>
  </si>
  <si>
    <t>Pif estimat 09.01.2025</t>
  </si>
  <si>
    <t>S.C. APARTAMENTUL S.A.</t>
  </si>
  <si>
    <t>In PC 20kV Apartamentul, existent in bucla intre Statia 110/20kV Pitesti Nord - Feeder PA6 Nord</t>
  </si>
  <si>
    <t>3200056611</t>
  </si>
  <si>
    <t>Pif estimat 19.12.2024</t>
  </si>
  <si>
    <t>Sectionare LES 20kV Craiova Sud – L9 intre Statia 110/20/6kV Craiova Sud si PTAM Polivalenta</t>
  </si>
  <si>
    <t>Pif estimat 11.12.2024</t>
  </si>
  <si>
    <t>SC TOTAL TOOLS DISTRIBUTION SRL</t>
  </si>
  <si>
    <t>In celula de linie 20 kV, nou proiectata in PTAB Bloc Coremi</t>
  </si>
  <si>
    <t>Pif estimat 29.01.2025</t>
  </si>
  <si>
    <t>SC DODI PLAST TECH SRL</t>
  </si>
  <si>
    <t>Stalpul nr. 84A  existent in axul LEA 20 KV PITESTI SUD-PA PRUNDU</t>
  </si>
  <si>
    <t>Pif estimat 05.04.2025</t>
  </si>
  <si>
    <t>Celula de linie 20kV din PC Musa Cateasca</t>
  </si>
  <si>
    <t>Pif estimat 18.04.2025</t>
  </si>
  <si>
    <t>WEBUILD Spa MILANO SUC. ROMANIA BUC.</t>
  </si>
  <si>
    <t>Stalpul nr.1,tip SC15014, proiectat in axul Racordului 20 kV Borlesti, alimentat din LEA 20 kV Valcele-Pitesti Nord</t>
  </si>
  <si>
    <t>in Celula de linie 20 kV Statie Mall 2 din PC 20 kV PK Emerald</t>
  </si>
  <si>
    <t>Pif estimat 21.03.2025</t>
  </si>
  <si>
    <t>in Celula de linie 20 kV Statie Mall 1 din PC 20 kV PK Emerald</t>
  </si>
  <si>
    <t>in Celulele de linie 20 kV rezerva, existenta in Statia 110/20 kV Prundu</t>
  </si>
  <si>
    <t>SC MEAT RDS INVEST COM SRL</t>
  </si>
  <si>
    <t>Stalpul nr. 54, tip SC15014 ce inlocuieste stalpul tip SE1 existent in axul Derivatiei 20 kV Balastiera Golesti</t>
  </si>
  <si>
    <t>Pif estimat 19.04.2025</t>
  </si>
  <si>
    <t>S.C. AVIOANE S.A. CRAIOVA</t>
  </si>
  <si>
    <t>In PC 20 KV PARC INDUSTRIAL Sectia B si Sectia C alimentat din LEA 20 kV Ghercesti - NDD 1 si LEA 20 kV Ghercesti - NDD 2</t>
  </si>
  <si>
    <t>Pif estimat 23.04.2025</t>
  </si>
  <si>
    <t>SC CLARIANT PRODUCTS RO</t>
  </si>
  <si>
    <t>in PC 20kV proiectat in bucla PTAB 6063 Campus Valahia - LES 20kV PTAB 6145 KOYO - PTCZ Pepiniera 2</t>
  </si>
  <si>
    <t>Pif estimat 29.04.2025</t>
  </si>
  <si>
    <t>MASIF PAINT SRL</t>
  </si>
  <si>
    <t>Barele de  6 kV aferenta trafo nr.1 ( 110/6 kV, 16 MV ) si trafo nr.2 ( 110/6 kV ,16MVA )din statia 110/6 kV Tiganasi; cod SAP DS-TR-0414</t>
  </si>
  <si>
    <t>Pif estimat 06.02.2025</t>
  </si>
  <si>
    <t>stalpul nr. 17 din LEA 20 kV Podari-Segarcea, Derivatie Vinalcol</t>
  </si>
  <si>
    <t>3100173623</t>
  </si>
  <si>
    <t>ENERGIA VERDE STREJESTI S.A.</t>
  </si>
  <si>
    <t>stalpul nr.66 al LEA Cazanesti - F-ca de Paine</t>
  </si>
  <si>
    <t>3500000008</t>
  </si>
  <si>
    <t>Pif estimat 03.01.2025</t>
  </si>
  <si>
    <t>la stalpul SE nr. 43 existent in axul LEA 20kV Motru - Horasti</t>
  </si>
  <si>
    <t>Pif estimat 18.03.2025</t>
  </si>
  <si>
    <t>FASTSENS SRL</t>
  </si>
  <si>
    <t>st. nr.5, SC15015 ex., al Bucla 20 kV Mamura-SCP Strejesti cu Mamura-Plesoiu,alimentata din LEA 20 kV Mamura-Plesoiu;</t>
  </si>
  <si>
    <t>Pif estimat 27.02.2025</t>
  </si>
  <si>
    <t>Societatea Nationala a Sarii SA</t>
  </si>
  <si>
    <t>stalpul nr. 123B propus din LEA 20kV Fauresti 1.</t>
  </si>
  <si>
    <t>Pif estimat 05.03.2024</t>
  </si>
  <si>
    <t>Pif estimat 21.07.2024</t>
  </si>
  <si>
    <t>REG.AUT.TEHNOLOGII PT.EN.NUCLEARA</t>
  </si>
  <si>
    <t>la rigla de 110 kV a Statiei 110/20KV Mioveni</t>
  </si>
  <si>
    <t>Pif estimat 16.05.2025</t>
  </si>
  <si>
    <t>SC RESTAURANT PRESIDENT SRL</t>
  </si>
  <si>
    <t>in PTAB 852 Craiova</t>
  </si>
  <si>
    <t xml:space="preserve">SPITALUL JUDETEAN DE URGENTA PITESTI </t>
  </si>
  <si>
    <t>Pif estimat 09.05.2025</t>
  </si>
  <si>
    <t>Bara 1,respectiv Bara 2 din Statia Electro Arges 110/20 kV(din celulele de medie tensiune existente PR1 si PR2).</t>
  </si>
  <si>
    <t>Pif estimat 30.12.2024</t>
  </si>
  <si>
    <t xml:space="preserve">UNITATEA MILITARA 01178 </t>
  </si>
  <si>
    <t xml:space="preserve"> PTAB 109 Craiova</t>
  </si>
  <si>
    <t>In Celula de linie proiectata de 20 kV in PTAB 109 Craiova</t>
  </si>
  <si>
    <t>CEF Bazoș</t>
  </si>
  <si>
    <t>220/110 Timișoara</t>
  </si>
  <si>
    <t>racordare la bara de 110 kV a statiei 220/110 kV Timișoara</t>
  </si>
  <si>
    <t>33/10402</t>
  </si>
  <si>
    <t>ECO SUN MIHAILESTI SRL</t>
  </si>
  <si>
    <t>CEF Mihăilești</t>
  </si>
  <si>
    <t>400 kV Iepurești</t>
  </si>
  <si>
    <t>racordare intrare-iesire in LEA 400 kV Slatina - Bucuresti Sud</t>
  </si>
  <si>
    <t>82/30554</t>
  </si>
  <si>
    <t>84/32610</t>
  </si>
  <si>
    <t>actualizare ATR</t>
  </si>
  <si>
    <t>IS Lipova</t>
  </si>
  <si>
    <t>ENERGY PRODUCTION &amp; STORAGE SRL</t>
  </si>
  <si>
    <t>LEA 400 kV Arad - Mintia</t>
  </si>
  <si>
    <t>86/32787</t>
  </si>
  <si>
    <t>27.11.2023</t>
  </si>
  <si>
    <t>31.12.2025</t>
  </si>
  <si>
    <t>SC A.E.R SOLAR SRL</t>
  </si>
  <si>
    <t>PARC FOTOVOLTAIC 2MW, NC 60947, LOC. HURUIESTI, COM. HURUIESTI, JUD. BACAU</t>
  </si>
  <si>
    <t>SISCANI</t>
  </si>
  <si>
    <t>CEF 2,4MW DEPOZIT LOGISTIC REPUBLICII, STR. CALEA REPUBLICII NR. 169, LOC. BACAU, JUD. BACAU</t>
  </si>
  <si>
    <t>BALCESCU</t>
  </si>
  <si>
    <t>SC SEBAND ENERGY SRL</t>
  </si>
  <si>
    <t>PARC FOTOVOLTAIC 1,955MW</t>
  </si>
  <si>
    <t>SC RAFFLES ENERGY SRL</t>
  </si>
  <si>
    <t>STATIE DE GENERARE ENERGIE ELECTRICA SONDA 1 VOITINEL 1,2MW</t>
  </si>
  <si>
    <t>VICOV</t>
  </si>
  <si>
    <t>racord 20kV in LEA 20kV</t>
  </si>
  <si>
    <t>CEF SOHO 3,366MW + IS 1032 KW/840Ah</t>
  </si>
  <si>
    <t>COMPLEX INDUSTRIAL,  COMUNA SCHEIA</t>
  </si>
  <si>
    <t>110/20 kV SUCEAVA</t>
  </si>
  <si>
    <t>spor putere de la 320 kW la 1280 kW</t>
  </si>
  <si>
    <t>MUNICIPIUL TARGU-JIU</t>
  </si>
  <si>
    <t>CONSTRUIRE PARC FOTOVOLTAIC</t>
  </si>
  <si>
    <t>stalpul special tip SC 18-1300 nr. 35 existent in axul LEA 20kV Parangu-Bumbesti 1 cod SAP DS-HV-MP031104</t>
  </si>
  <si>
    <t>Pif estimat 05.07.2025</t>
  </si>
  <si>
    <t xml:space="preserve">SPEDITION UMB SRL </t>
  </si>
  <si>
    <t>PTAB 20 KV OS DRUM EXPRES</t>
  </si>
  <si>
    <t>Stalpul nr. 49 tip SC15014 existent in axul LEA 20 kV Bradu-Recea</t>
  </si>
  <si>
    <t>Pif estimat 08.07.2025</t>
  </si>
  <si>
    <t>STRONG WIND SRL</t>
  </si>
  <si>
    <t>GROPENI</t>
  </si>
  <si>
    <t>a 110kV din Statia de transformare 110/20kV Gropeni</t>
  </si>
  <si>
    <t>POWER ONLY EAST SRL</t>
  </si>
  <si>
    <t>TUFESTI</t>
  </si>
  <si>
    <t>statiei B-110 kV din Statia de transformare 110/20kV Cuza Voda</t>
  </si>
  <si>
    <t>MN3848</t>
  </si>
  <si>
    <t>LEA 20 kV Pisc – SP2 Central -</t>
  </si>
  <si>
    <t>MUNICIPIUL GALATI</t>
  </si>
  <si>
    <t>LES 20kV PTAB T9 Micro 17 – PTAB T10 Micro 17</t>
  </si>
  <si>
    <t>LES 20 kV PTZ 1023 SC36 – PTZ 1104 D6 - alimentata din statia Dunarea 110/20 kV,</t>
  </si>
  <si>
    <t>SOLAREALIZE PARK ARMERIA SRL</t>
  </si>
  <si>
    <t>CONTESTI</t>
  </si>
  <si>
    <t>LEA 110 MAVRODIN TARGOVISTE</t>
  </si>
  <si>
    <t>MN8863</t>
  </si>
  <si>
    <t>ELCOMPROD GREEN ENERGY SRL</t>
  </si>
  <si>
    <t>TATARANU</t>
  </si>
  <si>
    <t>LEA 20 KV CIORASTI</t>
  </si>
  <si>
    <t>MN7817</t>
  </si>
  <si>
    <t>ARCADA SRL</t>
  </si>
  <si>
    <t>LEA 20 kV Filesti Smardan</t>
  </si>
  <si>
    <t>MN8046</t>
  </si>
  <si>
    <t>ST. DOICESTI 220/110/20 KV</t>
  </si>
  <si>
    <t>MN8838</t>
  </si>
  <si>
    <t>CUDALBI</t>
  </si>
  <si>
    <t>Statie de transformare 110/20kV Ciorani noua, racord LES 20kV si PC 20 kVnoi.</t>
  </si>
  <si>
    <t>CEF _ Stocare Crovu 35.7 MW</t>
  </si>
  <si>
    <t>MN11223</t>
  </si>
  <si>
    <t>Centrala Hibrid Racari cu CEF 6.71 MW si Stocare 2 MW RACARI EOL ENERGY_</t>
  </si>
  <si>
    <t>MN8044</t>
  </si>
  <si>
    <t>Centrala Hibrida CEF 2.975 MW si Stocare 468/399 kW SANSTELLA ENERGY SRL_</t>
  </si>
  <si>
    <t>MN8120</t>
  </si>
  <si>
    <t>BUZAU FOTOVOLTAIC GRUP SRL</t>
  </si>
  <si>
    <t>BOLDU</t>
  </si>
  <si>
    <t>LEA 20 kV Balta Alba statia Ramnicu Sarat</t>
  </si>
  <si>
    <t>CEF 4.9 MW _ Stocare Boldu</t>
  </si>
  <si>
    <t>CEF 1.98 MW _ stocare Galati</t>
  </si>
  <si>
    <t>CEF 25.2 MW TITU _ STOCARE</t>
  </si>
  <si>
    <t>110/20</t>
  </si>
  <si>
    <t>BRAZI</t>
  </si>
  <si>
    <t>LEA 110 KV BRAZI VEST-CAUCIUC</t>
  </si>
  <si>
    <t>MN4740</t>
  </si>
  <si>
    <t>MN487</t>
  </si>
  <si>
    <t>MN5708</t>
  </si>
  <si>
    <t>OSORHEI</t>
  </si>
  <si>
    <t>LEA 20 KV CARP STANA-SM</t>
  </si>
  <si>
    <t>TN14300</t>
  </si>
  <si>
    <t>TRANSILVANIA SOLAR ENERGY SRL</t>
  </si>
  <si>
    <t>bara de 20 kV sectia 1B a Statie 110/20/6 kV Carei</t>
  </si>
  <si>
    <t>ELJA GREEN GROW SRL</t>
  </si>
  <si>
    <t>bara 20 kV a statiei 110/20 kV Jucu</t>
  </si>
  <si>
    <t>DB5 LIGHT TWO S.R.L.</t>
  </si>
  <si>
    <t>LEA 20 KV JIBOU-MINA ZAGHID</t>
  </si>
  <si>
    <t>LEA 20 kV Huedin - Jibou</t>
  </si>
  <si>
    <t>RECAP ENERGY S.R.L.</t>
  </si>
  <si>
    <t>LEA 110 kV Jibou - Cehu Silvaniei</t>
  </si>
  <si>
    <t>S.C. KTN-TECHNOLOGY S.R.L.</t>
  </si>
  <si>
    <t>LEA 20 kV Stei-Bucla Mare 1</t>
  </si>
  <si>
    <t>ENERGIA CAREI SRL</t>
  </si>
  <si>
    <t>Statia de Transformare 110/20/6 kV Carei 1</t>
  </si>
  <si>
    <t>TN13509</t>
  </si>
  <si>
    <t>stocare</t>
  </si>
  <si>
    <t>TN1255</t>
  </si>
  <si>
    <t>TN331</t>
  </si>
  <si>
    <t>actualizata cu implementarea instalatiei de stocare a ATR-ului cu acelasi numar din 25.08.2022</t>
  </si>
  <si>
    <t>PRIMARIA MUNICIPIULUI ORADEA</t>
  </si>
  <si>
    <t>LEA Mec 1-Or Vest; - LEA Mec 2 Eurobusiness-Or Vest; - LEA Iosia-Oradea Vest; - LEA Or Sud 1 Aeroport-Or Vest; - LEA Or Sud 2-Or Vest; - LEA Salonta-Or Vest; - LEA Palota-Or Vest; - LEA Voivozi-Or Vest; - LEA Crisul-Or Vest (c1 si c2), ST. 110/6 KV CET I</t>
  </si>
  <si>
    <t>CEG + CEF</t>
  </si>
  <si>
    <t>MUNICIPIUL BAIA MARE</t>
  </si>
  <si>
    <t>Bara 20 kV Statia 110/20/10/6 kV Baia Mare 1</t>
  </si>
  <si>
    <t>REGGIA CAPITAL &amp; ESTATE SRL</t>
  </si>
  <si>
    <t>AXA LES 10 KV SUD - BUNA ZIUA</t>
  </si>
  <si>
    <t>NOKIAN TYRES EUROPE OPERATIONS</t>
  </si>
  <si>
    <t>STATIA DE TRANSFORMARE CET 2 - 110/20 KV</t>
  </si>
  <si>
    <t>TN13643</t>
  </si>
  <si>
    <t>TN9146</t>
  </si>
  <si>
    <t>TN12045</t>
  </si>
  <si>
    <t>TN11076</t>
  </si>
  <si>
    <t>TN7310</t>
  </si>
  <si>
    <t>TN12570</t>
  </si>
  <si>
    <t>CENTRALA TERMOELECTRICA 46,2 MW</t>
  </si>
  <si>
    <t>LEA 20 kV Hoghiz - Rupea Gara IF si LEA 20 kV Rupea Gara IF – Ungra</t>
  </si>
  <si>
    <t>TS10620</t>
  </si>
  <si>
    <t>SC LINIILE CONTINENTALE DE TRANSPORT - LCT SRL</t>
  </si>
  <si>
    <t>SANPETRU</t>
  </si>
  <si>
    <t>LES MT-20 KV BV MUN GENERAL</t>
  </si>
  <si>
    <t>INSTALATIE NOUA- statie incarcare</t>
  </si>
  <si>
    <t>celula de linie 20 kV nou montata in Statia 110/20 kV Zlatna., STATIA ZLATNA 110/20 KV</t>
  </si>
  <si>
    <t>COMPA SA</t>
  </si>
  <si>
    <t>: Statia 110/20 kV Sibiu Sud</t>
  </si>
  <si>
    <t>HALE PRODUCTIE_CEF_COGENERARE</t>
  </si>
  <si>
    <t>CEF+Stocare</t>
  </si>
  <si>
    <t>SC TERRAPREST SRL</t>
  </si>
  <si>
    <t>GHIDFALAU</t>
  </si>
  <si>
    <t>LEA 20 kV Irigatii – derivatia Anghelus</t>
  </si>
  <si>
    <t>CEF +Stocare</t>
  </si>
  <si>
    <t>GEMINI ESTATE SRL</t>
  </si>
  <si>
    <t>AEE LOCUINTE COLECTIVE BLOCURI B2,A3,B3</t>
  </si>
  <si>
    <t>26.04.2024</t>
  </si>
  <si>
    <t>Statie de pompare SP2</t>
  </si>
  <si>
    <t>Zebil</t>
  </si>
  <si>
    <t>20269205</t>
  </si>
  <si>
    <t>SC HIDROMINERAL SA</t>
  </si>
  <si>
    <t>CARIERA IZVOARELE VII</t>
  </si>
  <si>
    <t>20279479</t>
  </si>
  <si>
    <t>TMK HYDROENERGY POWER S.R.L.</t>
  </si>
  <si>
    <t>Hidroagregate pentru sistemul hidroenergetic din bazinul de receptie Resita (CHE Grebla, CHE Crainicel 1, CHE Crainicel 2 si CHE Breazova, existente), CEF Grebla si CHE Breazova 2 - instalatii noi</t>
  </si>
  <si>
    <t>WEST SOLAR CONCEPT SRL</t>
  </si>
  <si>
    <t>LEA 110KV GAI-PECICA</t>
  </si>
  <si>
    <t>BEGA TEHNOMET SA</t>
  </si>
  <si>
    <t>A20 CHIZATAU-LUGOJ TM</t>
  </si>
  <si>
    <t>Realizarea lucrărilor de întărire cu caracter gene criteriului cu N elemente in functiune in RED 110 kV: -LEA 110 kV Buzias – Lugoj, in lungime de 32,107 km ; -LEA 110 kV Timisoara – Buzias, in lungime de 38,057 km . Total=70,164km Reconductorarea LEA 110 kV cu conductor 185 mmp cu capacitate marita de transport Imin=850A in lungime totala de 70,164 km Realizarea lucrărilor de întărire cu caracter general pentru respectarea criteriului cu N-1 elemente in functiune in RED 110 kV: -LEA 110 kV Iaz – Nadrag 16,014 km -LEA 110 kV Nadrag- Lugoj 35,128 km Total=51,142 km Reconductorarea LEA 110 kV cu conductor 185 mmp cu capacitate marita de transport Imin=850A in lungime totala de 51,142 km. 1.,,Beneficiarul centralei CEF Belint 2,32 MW doreste punerea in functiune conform cererii de racordare in anul 2024 si a optat pentru prevederile ord. 81/2022 cu referire la limitarea operationala a puterii tinand cont de contingentele la care au rezultat suprasarcini in RED/RET Situatiile in care actioneaza automatica, in schema abatere de la schema normala de functionare, prin considerarea cuplei 110 kV in statia Lugoj conectata, respectiv RABD in functie (situatii de declansare care duc la deconectarea centralei) sunt: -,,Supraincarcare LEA 110 kV IAZ – NADRAG determinat de deconectarea LEA 110 kV TIMISOARA - BUZIAS. In acest caz se va monitoriza pozitia intrerupatorului din Statia 110 kV BUZIAS respectiv pozitia intrerupatorului din Statia 220/110 kV TIMISOARA; -,,Supraincarcare LEA 110 kV NADRAG – LUGOJ A determinat de deconectarea LEA 110 kV TIMISOARA - BUZIAS. In acest caz se va monitoriza pozitia intrerupatorului din Statia 110 kV BUZIAS respectiv pozitia intrerupatorului din Statia 220/110 kV TIMISOAR Element deconectat,, Element in suprasarcina,,Pevacuat,,Centrala CEF Belint,, ,,,,V1,, LEA 110 kV TIMISOARA - BUZIAS,,LEA 110kV IAZ - NADRAG,,0 MVA,, ,,LEA 110kV NADRAG - LUGOJ A,,0 MVA,, Echipamentele prin intermediul carora se va realiza automatizarea de limitare operațională(ALO), se vor monta în instalațiile operatorului de distribuție(OD) si ale operatorului de transport(OTS) și vor monitoriza poziția stării întreruptoarelor din ambele capete ale liniilor de 110 kV. Liniile operatorului de distributie, de 110 kV, la a caror deconectare se produc supraincarcari sunt: 1. LEA 110kV TIMISOARA – BUZIAS ; Limitarea operațională se realizează prin automatizări de limitare operațională (ALO) montate, după caz, în instalațiile OTS/OD și ale utilizatorului. Echipamentele din componența automatizarii de limitare operationala (ALO) care comandă limitarea puterii evacuate se instalează la utilizator, în centrală și în instalațiile OTS/OD. Statiile in care se vor monta echipamente pentru automatizarea de limitare operațională sunt: Nr.crt.,,Denumire stația de transformare,,Nr. sisteme ALO,,Router / Patchpanel,, 1,,110/20 kV Buzias,,2,,1,, 2,,220/110 kV Timisoara,,2,,1,, Se vor monta urmatoarele echipamente: -,,Device tip I/O Moxa ioLogik E1210 - 2 buc; -,,Router GSM 4G Moxa OnCell 3120-LTE - 4 buc; Pentru Parc fotovoltaic Belint se vor monta următoarele echipamente : -,,Device tip I/O Moxa ioLogik E1212 - 1 buc -,,Router GSM 4G Moxa OnCell 3120-LTE - 1 buc Echipamentele necesare realizarii automatizarii de limitare operationala (ALO) se vor instala in dulap metalic / rack, instalat in camera de comanda a statiilor afectate. Comunicație propusă între stațiile care au implementate instalația de limitare operațională și CEF Belint 2,32 MW se va realiza prin doua cai de comunicatie GSM 4G, comunicație de bază și comunicație de rezervă. Soluția propusă constă în instalarea în stațiile 110/20 kV a OD si statia 220/110 a OTS a echipamentelor precizate mai sus, acestea fiind alimentate din dulapurile de servicii interne 110 (220) Vcc, prin alimentare directă sau prin sursa externa 220(110) / 24Vcc de 5A pe ieșire, echipamentele prevăzute pentru o stație având un consum de maxim 1 A la 24 Vcc. Pentru preluarea pozițiilor de stare a întreruptoarelor din ambele capete ale liniilor care prin declanșare produc suprasarcini, se vor monta doua echipamente de achiziție date I/O (în scop de redundanta). Achiziția informațiilor de stare se va realiza prin cablu de semnalizare între șirul de cleme, contacte libere de poziție ale întreruptorului de înaltă tensiune din dulap de protecție și comanda LEA 110kV și noul dulap de automatizare CEF. Logica sistemului de automatizare montat în stațiile OD consta în preluarea pozițiilor de stare a întreruptoarelor din ambele capete ale liniilor care prin declanșare produc suprasarcini, cu transmitere către sistemul de automatizare centralizat. Logica sistemului de automatizare centralizat va fi implementata utilizând intrări digitale de care dispun echipamentele numerice din PC CEF (RTU/BCU din dulapSCADA, terminale numerice de protecție din celulele de 20 kV), sistem SCADA CEF. Pentru a putea transmite on-line poziția întreruptorului este necesar un abonament de date la un operator de telefonie mobilă, abonament de tip APN cu IP fix (static). Costul abonamentului va fi suportat integral de către Utilizator pentru toate instalațiile montate in RET/RED (dupa caz) și în instalațiile proprii. Pierderea comunicatiei sau orice eroarea de comunicatie conduce la deconectarea intrerupatorului din statia de transformare a centralei electrice. In situatia in care comunicatia prin GSM (minim 4G) nu va asigura timpii de deconectare conform normativelor in vigoare de la data PIF a centralei, calea de comunicatie se va asigura prin fibra optica ale carei costuri de instalare si mentenanta se vor asigura de catre beneficiarul centralei. CEF Belint 2,32 MW Utilizatorul nu poate solicita si primi de la operatorul de rețea despăgubiri pentru energia electrică cenu a fost produsă și livrată în rețea pe perioada limitării. Implementarea, licenta, parametrizarea, punerea in functie, testele de PIF, mentenanta, asigurarea comunicatiei aferenta automatizarii de limitare operationala a puterii centralei implementate vor fi asigurate de catre utilizator pe cheltuiala acestuia. Utilizatorul este raspunzator de functionare corecta a automatizarii de limitare operationala a puterii centralei pe intreaga durata de existenta a parcului centralei electrice. Pe lângă datele obligatorii de transmis de către centrala conform legislației în vigoare, se vor transmite operatorului de distribuție / transport și sistem informații de stare pentru "Automatizarea de deconectare în funcție/anulata", "Centrala deconectata" și semnalizarea "A funcționat automatizarea de deconectare CEF Belint 2,32 MW ". Automatizarea va putea fi anulată numai la indicațiile operatorului de distribuție / transport și sistem, respectiv pe perioada realizării de lucrări de intervenție și mententanță, caz în care centrala va fi deconectată conform condițiilor contractuale. Evaluarea lucrarilor de automatizare Statia 220/110 kV Timisoara : Curs euro: 4,9714 lei/euro Nr. crt.,,Denumirea,,lucrarilor,,si cheltuielilor,,UN buc / km,,Pret,,unitar buc / km,,Valoarea fara TVA,, ,,,,,,,,LEI,,EURO,, ,,,,,,,,Total,,Total,, I,,Lucrari specifice,,,,,,,,,, 1.,,I/O Moxa ioLogik E1210,,2,,1.500,,3.000,,603.45,, 2.,,Router,,GSM,,4G,,Moxa OnCell 3120-LTE,,4,,3.000,,12.000,,2.413,81,, Total (fara T.V.A.),,15.000,00,,3.017,26,, Evaluarea lucrarilor de automatizare Statia 110/20 kV Buzias : Curs euro: 4,9714 lei/euro Valoarea lucrarilor generale de intarire (la nivel de DG) pentru limitare operationala este: (Ti ) limitare OD = 67.755,00 lei (fără TVA) (Ti ) limitare OTS = 76.410,00 lei (fără TVA) Total ALO= 144.165,00 lei (fără TVA) Evaluarea lucrarilor de intarire: Valoarea estimata a lucrarilor enuntate la pct.3.2 pe baza de indici conform art. 44 din Ordinul ANRE 11/2014 este de: T(I)=Sn x i In varianta de racordare analizata: Art. 10 – (1) Componenta Ti a tarifului de racordare este egală cu valoarea minimă dintre: valoarea (Ti)SS a lucrărilor de întărire necesare pentru crearea condiţiilor tehnice în vederea evacuării în reţea a puterii aprobate pentru locul de producere/locul de consum şi de producere în cauză, stabilită pe bază de deviz general astfel : i5 = iMTA + iST110/MT [lei/MVA]= 97.000 + 432.000 = 529.000 lei /MVA Sevacuata = 2,578 MVA Rezulta T(I)=Sn x I5 =2,578 x 529.000= 1.363.762 lei fara TVA Valoarea estimata pe baza de deviz general pentru lucrarile de intarire este de: (Ti )SS lucrari reconductorare LEA 110 kV cu inlocuire de stalpi N elemente = 118.282.951,72 lei (fără TVA) (Ti)SS lucrari reconductorare LEA 110 kV cu inlocuire de stalpi N-1 elemente = 59.338.724,70 lei (fără TVA) (Ti)SS lucrari reconductorare LEA 110 kV N-1 elemente = 11.967.588,51 lei (fără TVA) Ti)SS lucrari N-1 elemente=71,306.313,21 lei fara TVA (Ti)SS = (Ti )SS lucrari reconductorare LEA 110 kV cu inlocuire de stalpi N elemente (Ti)SS lucrari reconductorare LEA 110 kV cu inlocuire de stalpi N-1 elemente + (Ti)SS lucrari reconductorare LEA 110 kV N-1 elemente = 118'282’951,72 lei + 59'338’724,70 lei + 11'967’588,51 lei = 189.589.264,93 lei (fără TVA) Valoarea suportata de Beneficiar este minimul dintre costurile stabilite prin Ord 141/2014 si estimarea lucrarilor de intarire necesare racordarii si anume : Ti= Min[ (Ti) calcul ,(Ti)SS] = Min[ 1 363 762,00 lei; 189.589.264,93 lei ] = 1 363 762,00 lei fara TVA Valoarea lucrarilor de intarire incluse in tariful de racordare este reprezentat de valoarea calculata pe baza de indici. Termenul posibil de realizare a lucrărilor de intarire in RED este de 2699 zile lucratoare, de la momentul obtinerii obtinerii avizelor si autorizatiilor de construire. S-a calculat timpul necesar realizarii lucrarilor de intarire la N pentru racordarea centralei CEF Belint astfel: 2 buc x 10luni*22zile + 15 zile/km*70,164 km=440 + 1052 = 1.492 zile lucratoare S-a calculat timpul necesar realizarii lucrarilor de intarire la N-1 pentru racordarea centralei CEF Belint astfel: 2 buc x 10luni*22zile + 15 zile/km*51,142 km=440 + 1052 = 1.207</t>
  </si>
  <si>
    <t>ORAS LIPOVA</t>
  </si>
  <si>
    <t>”REALIZARE CAPACITĂȚI DE PRODUCERE A ENERGIEI ELECTRICE DIN SURSE SOLARE ÎN ORAȘUL LIPOVA”</t>
  </si>
  <si>
    <t>A20 BALASTIERA-LIPOVA AR</t>
  </si>
  <si>
    <t>Realizarea lucrărilor de întărire cu caracter general criteriului cu N elemente în funcțiune în RET: -inlocuire Trafo 2 400/110 kV – 250 MVA cu o unitate Trafo 400/110 kV din statia Arad – 400 MVA Realizarea lucrărilor de întărire cu caracter general pentru respectarea criteriului cu N-1 elemente în funcțiune în RET: -inlocuire Trafo 1 400/110 kV – 250 MVA cu o unitate Trafo 400/110 kV statia Arad – 400 MVA. Realizarea lucrărilor de întărire cu caracter general pentru respectarea criteriului cu N elemente în funcțiune în RED 110 kV: -reconductorare LEA 110 kV Arad – CEF Bissi, in lungime de 29,84 km, cu conductoare Al 3x185/32 mmp cu capacitate marita de transport (minim 850 A); - amplificarea ambelor transfomatoare de 16MVA 110/20kV cu doua transformatoare de 25MVA 110/20kV din statia Lipova 110/20kV - reconductorare LEA 110 kV Mintia – Ilia, in lungime de 16,733 km, cu conductoare Al 3x185/32 mmp cu capacitate marita de transport (minim 850 A); Realizarea lucrărilor de întărire cu caracter general pentru respectarea criteriului cu N-1 elemente în funcțiune în RED 110 kV: - reconductorare LEA 110 kV Arad – Lipova, in lungime de 34,671 km, cu conductoare Al 3x185/32 mmp cu capacitate marita de transport (minim 850 A din care au fost luati in calcul doar 4,831 km, restul lungimii fiind cuprinsa la N elemente); - reconductorare LEA 110 kV Mintia – Ilia, in lungime de 16,733 km, cu conductoare Al 3x185/32 mmp cu capacitate marita de transport (minim 850 A); - reconductorare LEA 110 kV Ilia – CFR Campuri Surduc, in lungime de 11 ,957 km, cu conductoare Al 3x185/32 mmp cu capacitate marita de transport (minim 850 A); Beneficiarul centralei CEF Lipova 2 doreşte punerea în funcţiune conform cererii de racordare si optat prin adresa nr.7221/26.04.2024 pentru prevederile ord. 81/2022 cu referire la limitarea operationala a puterii tinand cont de contingentele la care au rezultat suprasarcini in RED/RET. (dupa caz) Descrierea sistemului de limitare operationala conform studiului de solutie: Utilizatorul va asigura achiziția și montarea echipamentelor de automatizare pentru limitarea operationala, in RET/RED (dupa caz) și în instalațiile proprii. Automatizarea limitării operaționale a puterii centralei electrice CEF va conține pe lângă elementele fizice (echipamentele necesare instalației de automatizare) și calea de comunicație fibră optică, abonament de date plătit (cartelă) în cazul comunicației de tip GPRS sau similar (calea de comunicare între automatizarea de limitare a puterii centralei și echipamentele care transmit datele culese de pe elementele de rețea monitorizate). Pentru a putea transmite on-line poziția întreruptorului este necesar un abonament de date la un operator de telefonie mobilă, abonament de tip APN cu IP fix (static). Costul abonamentului va fi suportat integral de către Utilizator pentru toate instalațiile montate in RET/RED (dupa caz) și în instalațiile proprii. Pierderea comunicatiei sau orice eroarea de comunicatie conduce la deconectarea intrerupatorului din statia de transformare a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In situatia in care comunicatia prin GSM (minim 4G) nu va asigura timpii de deconectare conform normativelor in vigoare de la data PIF a centralei, calea de comunicatie se va asigura prin fibra optica ale carei costuri de instalare si mentenanta se vor asigura de catre beneficiarul centralei CEF Lipova 2. Utilizatorul nu poate solicita si primi de la operatorul de rețea despăgubiri pentru energia electrică ce nu a fost produsă și livrată în rețea pe perioada limitării. Implementarea, licenta, parametrizarea, punerea in functie, testele de PIF, mentenanta, asigurarea comunicatiei aferenta automatizarii de limitare operationala a puterii centralei implementate vor fi asigurate de catre utilizator pe cheltuiala acestuia. Utilizatorul este raspunzator de functionare corecta a automatizarii de limitare operationala a puterii centralei pe intreaga durata de existenta a parcului centralei electrice. Echipamentele aferente sistemului de automatizare pentru limitarea operaționala se vor instala in urmatoarele statii: Evaluarea lucrărilor de întărire: Valoarea estimată a lucrărilor enunțate la pct.3.2 pe bază de indici conform art. 44 din Ordinul ANRE 11/2014 este de: T(I)=Sn x i Varianta 2: “Art. 41. - In situatia in care punctul de racordare este la medie tensiune, intr-o linie electrica aeriana, tariful specific pentru calculul componentei Ti a tarifului de racordare se noteaza i5 si se stabileste utilizand urmatoarea formula: i5 = iMTA + iST110/MT [lei/MVA].” I5 = 97.000 [lei/MVA] +432.000 [lei/MVA] = 529.000 lei /MVA Costul total al intaririlor pentru racordare este de: 529.000,00 lei/MVA x 1,125MVA = 595.125,00 lei Valoarea Ti calculată pe bază de deviz general aferentă OD/OTS cu lucrări de întărire la N și N-1: Varianta unica: (Ti)SS=(Ti)amplificarestatie+(Ti)N_elemente+(Ti)N- 1_elemente=12.070.968 ,40+82.978.144,92lei+90.803.024,12lei = 185.852.137,44 lei fără TVA, din care: (Ti) amplificare statie=12.070.968,40 lei fara TVA . La N elemente: (Ti)SS = 82.978.144,92lei fără TVA din care: Ti REB= 21.935.894,58lei fără TVA Ti OTS = 61.042.250,34lei fără TVA La N-1 elemente: (Ti)SS = 90.803.024,12lei fără TVA din care: Ti RED/REM = 29.760.773,78lei fara TVA Ti OTS = 61.042.250,34lei fara TVA  Astfel valoarea componentei T(I) care se va considera la calculul tarifului de racordare este: Ti =min (595.125,00 lei; 185.852.137,44) = 595.125,00lei fara TVA Termenul posibil de realizare a lucrărilor de întărire aferente OD este 2.886 zile lucrătoare, la N și N-1 elemente, de la momentul obținerii avizelor și autorizațiilor de construire. S-a calculat timpul necesar realizării lucrărilor de întărire pentru racordarea centralei CEF Lipova astfel: 4x10 luni x 22 zile lucrătoare + 15 zile/km x 63,361 km = 1830 zile lucrătoare (reconductorări) 2x24 luni = 1.056 zile lucratoare (amplificare transformator) Nu sunt incluși timpii de obținere a avizelor și acordurilor proprietarilor. Calculul compensatiilor: 1.Lucrari realizate prin ATR 10099318/04.11.2022 care consta in amplificarea TCN/SA existent prin montarea pe bara B1 rosie a statiei 110/20 kV Lipova a unei bobine 300 A Statia Lipova; 2.Lucrari realizate prin ATR 10084108 /22.11.2022 care consta in - demontare TSI existent pe bara 20 kV B2 – verde si a BS existenta 50 A existenta pe bara 20 kV B1-rosie a statiei (care ramane in gestiunea OD); - montare TFN/SA 160 kVA nou si a unei BS 200 A, care s-a mutat de pe bara rosie pe bara verde. Avand in vedere lucraile mentionate anterior beneficiarul va achita compensatii in valoare de 238'000 lei + TVA din care: -47'000 lei + TVA in baza ATR 10099318/04.11.2022; -64'000 lei + TVA in baza ATR 10084108 /22.11.2022. T compensatii= 111’000,00 lei fara TVA Automatica de deconectare in instalatiile OD= 186.765 lei fara TVA Automatica de deconectare in instalatiile OTS=164.360 lei fara TVA Ti(SS) = Ti(SS) amplificare statie 110/20 kV + Ti(SS) RED N elemente + Ti(SS) RET N elemente +Ti limitare = 12.070.968,40 + 14.401.378,30 + 61.042.250,34 + 351.125 = 87.865.722 lei fara TVA Ti=Min[ (Ti) calcul(Ti)SS] = Min[ 595 125,00 lei; 87 865 722 lei ] = 595.125,00 lei fara TVA  </t>
  </si>
  <si>
    <t>SC ADMAR GREEN ENERGY SRL</t>
  </si>
  <si>
    <t>A20 HORIA-POLTURA AR</t>
  </si>
  <si>
    <t>TICASCARE ENERGY SRL</t>
  </si>
  <si>
    <t>CEF Santamaria de Piatra 1</t>
  </si>
  <si>
    <t>LEA 110KV CALAN-IMO</t>
  </si>
  <si>
    <t>SIOAL ENERGY MB SRL</t>
  </si>
  <si>
    <t>Centrala Electrica Fotovoltaice Santamaria de Piatra 2</t>
  </si>
  <si>
    <t>S.C. MODAC POWER S.R.L</t>
  </si>
  <si>
    <t>CJ SOLAR SRL</t>
  </si>
  <si>
    <t>Parc fotovoltaic cu racordare la SEN si imprejmuire</t>
  </si>
  <si>
    <t>A20 BEREGSAU 1-CARPINIS TM</t>
  </si>
  <si>
    <t>Realizare Centrala Electrica Fotovoltaica si Racordare la SEN</t>
  </si>
  <si>
    <t>LEA 110KV FANTANELE-ORTISOARA</t>
  </si>
  <si>
    <t>Realizarea lucrărilor de întărire cu caracter gene criteriului cu N-1 elemente in functiune in RED 110 kV: Varianta 1: racordare la tensiunea de 110 kV intrare-iesire in LEA 110 kV Ortisoara Fantanele Reconductorare LEA 110 kV SACALAZ – COVACI in lungime de 11,8 km; (Imin=850A) Reconductorare LEA 110 kV COVACI – CEF Satimpex in lungime de 4 km; (Imin=850A) Reconductorare LEA 110 kV CEF SATIMPEX – ORTISOARA in lungime de 19,28 km; (Imin=850A) Reconductorare LEA 110 kV ORTISOARA – CEF SAGU in lungime de 8,242 km; (Imin=850A) Reconductorare LEA 110 kV ORTISOARA – CALACEA in lungime de 12,881 km; (Imin=850A) Reconductorare LEA 110 kV SATCHINEZ – CALACEA in lungime de 5,816 km; (Imin=850A) Reconductorare LEA 110 kV SACALAZ – SATCHINEZ in lungime de 22,711 km; (Imin=850A) lucrari ce nu sunt incluse în planul de investitii al Retele Electrice Banat. Total=84,73 km Beneficiarul CEF Sagu 50 MW a optat in cadrul sedintei de avizare pentru prevederile Ord. 81/2022 cu referire la limitarea operationala a puterii tinand cont de contingentele la care au rezultat suprasarcini in RET si RED. Varianta 1: racordare la tensiunea de 110 kV intrare-iesire in LEA 110 kV Ortisoara - Fantanele Situatiile in care actioneaza automatica, in schema normala de functionare (situatii de declansare care duc la deconectarea centralei) sunt: Supraincarcare LEA 110 kV Sacalaz – Satchinez determinat de deconectarea LEA 110 kV CEF Satimpex – Covaci.In acest caz se va monitoriza pozitia intrerupatorului din Statia 110 kV CEF Satimpex respectiv pozitia intrerupatorului din Statia 110/20 kV Covaci; Supraincarcare LEA 110 kV Satchinez – Calacea determinat de deconectarea LEA 110 kV CEF CEF Satimpex – Covaci. In acest caz se va monitoriza pozitia intrerupatorului din Statia 110 kV CEF Satimpex respectiv pozitia intrerupatorului din Statia 110/20 kV Covaci; Supraincarcare LEA 110 kV Ortisoara – Calacea determinat de deconectarea LEA 110 kV CEF Satimpex – Covaci. In acest caz se va monitoriza pozitia intrerupatorului din Statia 110 kV CEF Satimpex respectiv pozitia intrerupatorului din Statia 110/20 kV Covaci; Supraincarcare LEA 110 kV CEF Satimpex – Ortisoara determinat de deconectarea LEA 110 kV Sacalaz – Satchinez. In acest caz se va monitoriza pozitia intrerupatorului din Statia 220/110 kV Sacalaz respectiv pozitia intrerupatorului din Statia 110/20 kV Satchinez; Supraincarcare LEA 110 kV CEF Satimpex – Covaci determinat de deconectarea LEA 110 kV Sacalaz – Satchinez. In acest caz se va monitoriza pozitia intrerupatorului din Statia 220/110 kV Sacalaz respectiv pozitia intrerupatorului din Statia 110/20 kV Satchinez; Supraincarcare LEA 110 kV Sacalaz – Covaci determinat de deconectarea LEA 110 kV Sacalaz – Satchinez. In acest caz se va monitoriza pozitia intrerupatorului din Statia 220/110 kV Sacalaz respectiv pozitia intrerupatorului din Statia 110/20 kV Satchinez; Situatiile in care actioneaza automatica, in abatere de la schema normala si anume in ipoteza LEA 110 kV Fantanele – Ortisoara conectata intrerupatorul celulei Ortisoara in Statia Fantanele (RABD conectat) sunt: Supraincarcare LEA 110 kV CEF Satimpex – Ortisoara determinat de deconectarea trafo. 400/110 kV in Statia Arad. In acest caz se va monitoriza pozitia intrerupatorului celulei trafo din Statia Arad; Supraincarcare LEA 110 kV CEF Satimpex – Covaci determinat de deconectarea trafo. 400/110 kV in Statia Arad. In acest caz se va monitoriza pozitia intrerupatorului celulei trafo din Statia Arad; Supraincarcare LEA 110 kV CEF Sagu – Ortisoara determinat de deconectarea trafo. 400/110 kV in Statia Arad. In acest caz se va monitoriza pozitia intrerupatorului celulei trafo din Statia Arad; Supraincarcare LEA 110 kV Sacalaz – Satchinez determinat de deconectarea trafo. 400/110 kV in Statia Arad. In acest caz se va monitoriza pozitia intrerupatorului celulei trafo din Statia Arad; Supraincarcare LEA 110 kV CEF Sacalaz – Covaci determinat de deconectarea trafo. 400/110 kV in Statia Arad. In acest caz se va monitoriza pozitia intrerupatorului celulei trafo din Statia Arad; Supraincarcare LEA 110 kV Satchinez – Calacea determinat de deconectarea trafo. 400/110 kV in Statia Arad. In acest caz se va monitoriza pozitia intrerupatorului celulei trafo din Statia Arad; Supraincarcare LEA 110 kV Ortisoara – Calacea determinat de deconectarea trafo. 400/110 kV in Statia Arad. In acest caz se va monitoriza pozitiaintrerupatorului celulei trafo din Statia Arad; Supraincarcarea LEA 400 kV Graniceri – Bekescsaba determinata de deconectarea LEA 400 kV Arad – Sandorfalva. In acest caz se va monitoriza pozitia intrerupatorului celulei LEA 400 kV din Statia Arad; Supraincarcarea LEA 400 kV Arad – Sandorfalva determinata de deconectarea LEA 400 kV Graniceri – Bekescsaba. In acest caz se va monitoriza pozitia intrerupatorului celulei LEA 400 kV din Statia Nadab.  Echipamentele prin intermediul carora se va realiza automatizarea de limitare operațională(ALO), se vor monta în instalațiile operatorului de distribuție(OD) si ale operatorului de transport(OTS) și vor monitoriza poziția stării întreruptoarelor din ambele capete ale liniilor de 110 kV, respectiv a pozitia intrerupatorului celulei trafo 400/110 kV din Statia Arad si a intrerupatoarelor LEA 400 kV din St. Arad si Nadab care prin declanșare pot produce suprasarcini. Limitarea operațională se realizează prin automatizări de limitare operațională (ALO) montate, după caz, în instalațiile OTS/OD și ale utilizatorului. Echipamentele din componența automatizarii de limitare operationala (ALO) care comandă limitarea puterii evacuate se instalează la utilizator, în centrală și în instalațiile OTS/OD. Statiile in care se vor monta echipamente pentru automatizarea de limitare operațională sunt:  LEA 110 kV ORTISOARA – CALACEA in lungime de 12,881 km - LEA 110 kV SATCHINEZ – CALACEA in lungime de 5,816 km; - LEA 110 kV SACALAZ – SATCHINEZ in lungime de 22,711 km - LEA 110 kV ARAD – FANTANELE in lungime de 5,878 km. Se mentioneaza faptul ca intre CEF Sagu si statia 110/20 kV Ortisoara, respectiv statia 110/20 kV Fantanele a fost prevazut instalre cablul de tip ADSS 24 perechi in cadrul lucrarilor pe tarif de racordare. De asemenea pe tronsonul LEA 110 kV SACALAZ – COVACI se va folosi pentru calea de comunicatie OPGW 95/55 existent. In cazul Statiei 400 kV Nadab au fost prevazute doua cai de comunicatie GSM 4G. Soluția propusă constă în instalarea în stațiile 110/20 kV a OD sistatia 400/220/110 a OTS a echipamentelor precizate mai sus, acestea fiind alimentate din dulapurile de servicii interne 110 (220) Vcc, prin alimentare directă sau prin sursa externa 220(110) / 24Vcc de 5A pe ieșire, echipamentele prevăzute pentru o stație având un consum de maxim 1 A la 24 Vcc. Pentru preluarea pozițiilor de stare a întreruptoarelor din ambele capete ale liniilor care prin declanșare produc suprasarcini, se vor monta doua echipamente de achiziție date I/O (în scop de redundanta). Achiziția informațiilor de stare se va realiza prin cablu de semnalizare între șirul de cleme, contacte libere de poziție ale întreruptorului de înaltă tensiune din dulap de protecție și comanda LEA 110kV și noul dulap de automatizare CEF. Logica sistemului de automatizare montat în stațiile OD consta în preluarea pozițiilor de stare a întreruptoarelor din ambele capete ale liniilor care prin declanșare produc suprasarcini, cu transmitere către sistemul de automatizare centralizat. Logica sistemului de automatizare centralizat va fi implementata utilizând intrări digitale de care dispun echipamentele numerice din PC CEF (RTU/BCU din dulap SCADA, terminale numerice de protecție din celulele de 20 kV), sistem SCADA CEF. Monitorizarea declansarii/deconectarii transformatorului pentru eliminarea suprasarcinilor din RED, se va realiza in corelare cu pozitia intrerupatorului aferent celulei LEA 110 kV Ortisoara – Fantanele, inclusiv integrarea RABD in aceasta logica de deconectare a CEF Sagu 50 MA. Pe lângă datele obligatorii de transmis de către centrala conform legislației în vigoare, se vor transmite operatorului de distribuție / transport și sistem informații de stare pentru "Automatizarea de deconectare în funcție/anulata", "Centrala deconectata" și semnalizarea "A funcționat automatizarea de deconectare CEF Sagu 50 MW ". Automatizarea va putea fi anulată numai la indicațiile operatorului de distribuție / transport și sistem, respectiv pe perioada realizării de lucrări de intervenție și mententanță, caz în care centrala va fi deconectată conform condițiilor contractuale.   </t>
  </si>
  <si>
    <t>SC MAYDEN LOGISTICS SRL</t>
  </si>
  <si>
    <t>PARC FOTOVOLTAIC 3 MW - MAYDEN LOGISTICS SRL</t>
  </si>
  <si>
    <t>A20 SISTAROVAT-LIPOVA AR</t>
  </si>
  <si>
    <t>Realizarea lucrărilor de întărire cu caracter general pentru respectarea criteriului cu N elemente in functiune in RED 110 kV:
- amplificarea TCN/SA existent prin montarea pe bara B1 rosie a statiei 110/20 kV Lipova a unei bobine 300 A Statia Lipova;
- demontare TSI existent pe bara 20 kV B2 – verde si a BS existenta 50 A existenta pe bara 20 kV B1- rosie a statiei (care ramane in gestiunea OD);
- montare TFN/SA 160 kVA nou si a unei BS 200 A, care s-a mutat de pe bara rosie pe bara verde.
Avand in vedere aportul de curent capacitiv de 22,92 A si respectiv faptul ca in statia 110/20 kV Lipova sunt in derulare lucrari pentru amplificarea grupului de tratare neutru, purtatoare de compensatii si anume:
   1. Lucrari realizate prin ATR 10099318/04.11.2022 care consta in amplificarea TCN/SA existent prin montarea pe bara B1 rosie a statiei 110/20 kV Lipova a unei bobine 300 A Statia Lipova;
   2. Lucrari realizate prin ATR 10084108 /22.11.2022 care consta in:
       - demontare TSI existent pe bara 20 kV B2 – verde si a BS existenta 50 A existenta pe bara 20 kV B1-rosie a statiei (care ramane in gestiunea OD);
       - montare TFN/SA 160 kVA nou si a unei BS 200 A, care s-a mutat de pe bara rosie pe bara verde.
beneficiarul va achita compensatii in valoare de 238.000 lei + TVA din care:
       110.000 lei + TVA in baza ATR 10099318/04.11.2022;
       128.000 lei + TVA in baza ATR 10084108 /22.11.2022.
Valoarea compensatiilor se va recalcula la PIF in functie de producatorii racordati in prealabil si puterile aprobate.</t>
  </si>
  <si>
    <t>SGROM TWENTY FOUR SRL</t>
  </si>
  <si>
    <t>DTAC, DTOE Construire parc fotovoltaic, imprejmuire si racordare la SEN</t>
  </si>
  <si>
    <t>RESIDENT E.F. POWER ONE SRL</t>
  </si>
  <si>
    <t>PANOURI FOTOVOLTAICE</t>
  </si>
  <si>
    <t>A20 PECICA-SEMLAC AR</t>
  </si>
  <si>
    <t>Realizarea lucrărilor de întărire cu caracter gene criteriului cu N elemente in functiune in RED 110 kV: Lucrari de intarire generale: – inlocuirea grupului de tratare neutru din rezistor de tip DT1110 in Bobina Petersen DT 1096, 30-200A care se va racorda la TFN existent in statia Semlac. Aceasta se va monta pe pozitia actuala a rezistentei DT1110, prin amenajarea unei fundatii aferente Bobinei Petersen DT 1096. Se vor realiza lucrari de montare si integrare aferente bobinei Peterson si lucrari la Dulapul Petersen (DQ2163) din container. Acesta va fi echipat cu Dispozitiv Analizare Neutru DV927A2NCI si Monitorizare Conditii Izolare DV929A2NCI, compatibile cu bobina nou montata. Evaluarea lucrarilor de intarire: Art. 41. - In situatia in care punctul de racordare este la medie tensiune, intr-o linie electrica aeriana, tariful specific pentru calculul componentei Ti a tarifului de racordare se noteaza i5 si se stabileste utilizand urmatoarea formula: i5 = iMTA + iST110/MT [lei/MVA]= 97.000 + 432.000 = 529.000 lei /MVA. Varianta analizata: Sevacuata = 4,999 MVA; (Ti)calcul = Sevac * i5=4,999 * 529.000 lei = 2.644.471 lei fara TVA; Tideviz= 496.942,95 lei fara TVA; Valoarea Ti = min(2.644.471 lei; 496.942,95 lei ) = 496.942,95 lei fara TVA. Termenul posibil de realizare a lucrărilor de intarire in RED este 24 luni, la N elemente (fara limitare operationala), de la momentul obtinerii avizelor si autorizatiilor de construire.</t>
  </si>
  <si>
    <t>SC SOLARIS PARK FOUR S.R.L.</t>
  </si>
  <si>
    <t>CEF SOLARIS PARK FOUR SRL</t>
  </si>
  <si>
    <t>Realizarea lucrărilor de întărire cu caracter generap pentru respectarea criteriului cu N elemente in functiune in RED 110 kV: -- reconductorare LEA 110 kV Curtici – CFR Sofronea, in lungime de 14,048 km, cu conductoare cu capacitate marita de transport (Imin=850 A); -- reconductorare LEA 110 kV Curtici – Chisineu Cris, in lungime de 34 ,159 km, cu conductoare cu capacitate marita de transport (Imin=850 A); -- reconductorare LEA 110 kV Arad – CET Arad C2, in lungime de 6,583 km, cu conductoare cu capacitate marita de transport (Imin=1000 A); -- reconductorare LEA 110 kV CET Arad – CFR Sofronea, in lungime de 6,675 km, cu conductoare cu capacitate marita de transport (Imin=850 A); Total LEA 110 kV= 61,465 km Evaluarea tarifului de intarire * Valoarea estimata a lucrarilor enuntate la pct.3.2 pe baza de indici conform art. 44 din Ordinul ANRE 11/2014 este de: T(I)=Sn x i Art. 43. — (1) În situația în care punctul de racordare este la medie tensiune, pe bara de medie tensiune a unei stații de transformare 110 kV/MT, tariful specific pentru calculul componentei TI a tarifului de racordare se notează i7 și se stabilește utilizând următoarea formulă: i7 = iST110/MT + iLE110 [lei/MVA] = 432000 + 67 000 = 499 000 [lei /MVA] Sevacuata = 4,66 MVA Rezulta T(I)=Sn x I7 = 2.325.340 lei fara TVA * Valoarea Ti calculata pe baza de deviz general aferenta OD/OTS cu lucrari de intarire la N si N-1: (Ti)SS = 29.392.563,05 lei fara TVA , din care: La N elemente: (Ti)SS = 29 392 563,05 lei fara TVA Termenul posibil de realizare a lucrărilor de intarire in RED este de 1801 zile lucratoare, de la momentul obtinerii obtinerii avizelor si autorizatiilor de construire. S-a calculat timpul necesar realizarii lucrarilor de intarire pentru racordarea centralei CEF Pilu 4,194 MW astfel: 4 buc x 10luni*22zile + 15 zile/km*61,465km=880 + 921 = 1.801 zile lucratoare Nu sunt inclusi timpii de obtinere a avizelor si acordurilor proprietarilor. Ti=min(Tii;Tideviz)= 2.325.340,00 lei fara TVA</t>
  </si>
  <si>
    <t>SC WEST SOLIS ENERGY SRL</t>
  </si>
  <si>
    <t>A20 ZABRANI-LIPOVA AR</t>
  </si>
  <si>
    <t>DETA SOLAR SRL</t>
  </si>
  <si>
    <t>A20 BANLOC-DETA TM</t>
  </si>
  <si>
    <t>Lucrari de intarire comune (generale) determinate asigurarii conditiilor tehnice in vederea evacuarii puterii aprobate pentru CEF 4.445MW Banloc: Realizarea lucrărilor de întărire cu caracter general pentru respectarea criteriului cu N elemente in functiune in RED 110 kV: -amplificare transformator T2 110/20 kV de la 16 MVA la 25 MVA Varianta 1: - montare rezistor 15A pe bara 1B - amplificare transformator T2 110/20 kV de la 16 MVA la 25 MVA Evaluarea lucrarilor de intarire Valoarea estimata a lucrarilor enuntate la pct.3.2 pe baza de indici conform art. 44 din Ordinul ANRE 11/2014 este de: T(I)=Sn x i In varianta 1: Art. 41. - In situatia in care punctul de racordare este la medie tensiune, intr-o linie electrica aeriana ,,tariful specific pentru calculul componentei Ti a tarifului de racordare se noteaza i5 si se stabileste utilizand urmatoarea formula: -i5 = iMTA + iST110/MT [lei/MVA]= 97.000 + 432.000 = 529.000 lei Varianta 1: Sevacuata = 4.92 MVA Rezulta T(I)=Sn x I5 = 2.602.680,00 lei fara TVA Valoarea Ti calculata pe baza de deviz general aferenta OD cu lucrari de intarire la N fara limitare operationala:  (Ti)SS = 2,770,503.77lei fara TVA (in varianta 1)  Valoarea Ti =min(T(I) si Ti(ss)) Varianta 1 Ti = 2.602.680,00 lei fara TVA Termenul posibil de realizare a lucrărilor de intarire in RED este de 24 luni, la N elemente (fara limitare operationala), de la momentul obtinerii obtinerii avizelor si autorizatiilor de construire. Nu sunt inclusi timpii de obtinere a avizelor si acordurilor proprietarilor.</t>
  </si>
  <si>
    <t>SC TERRA WIND POWER SRL</t>
  </si>
  <si>
    <t>PARC FOTOVOLTAIC LUGOJ 1</t>
  </si>
  <si>
    <t>LEA 110KV BUZIAS-LUGOJ</t>
  </si>
  <si>
    <t>Lucrari de intarire determinate de necesitatea asi tehnice in vederea evacuarii puterii aprobate pentru CEF Lugoj 1 80,85 MW: S-a considerat modificarea topologica a retelei electrice prin punerea în funcțiune a celui de-al doilea AT 200 MVA 220/110 kV din stația Iaz și a circuitului 2 al LEA 220kV Iaz-Reșita, conform celor comunicate de catre CNTEE Transelectrica in data de 10.12.2022, pentru un alt studiu de solutie din zona analizata. Realizarea lucrărilor de întărire cu caracter general pentru respectarea criteriului cu N elemente in functiune in RED 110 kV: Solutia 1. Racordare CEF Lugoj 1 intrare-iesire în LEA 110kV Lugoj – Buziaș: Scenariul analizat (cupla 110 kV inchisa in statia 110/20 kV Lugoj cu RABD anulat): 1.Reconductorare LEA 110kV Buziaș – CEF Lugoj 1 – 25,107 km; 2.Reconductorare LEA 110kV Timișoara – Buziaș – 38,057 km; Total =63,164 km; Reconductorarea LEA 110 kV cu conductor 185 mmp cu capacitate marita de transport Imin=850A in lungime totala de 63.164 km. Realizarea lucrărilor de întărire cu caracter general pentru respectarea criteriului cu N-1 elemente in functiune in RED 110 kV: Scenariul analizat (cupla 110 kV inchisa in Statia 110/20 kV Lugoj cu RABD anulat): 1.LEA 110kV CEF Lugoj 1 – Buzias - 25,107 km; 2.LEA 110 kV Timisoara – Buzias - 38,057 km; 3.LEA 110 kV Nadrag – CEF Lugoj 2 - 27,6 km; 4.LEA 110 kV Nadrag – Iaz - 24,717 km; Total= 115,481 km Reconductorarea LEA 110 kV cu conductor 185 mmp cu capacitate marita de transport Imin=850A in lungime totala de 115,481 km. Realizarea lucrărilor de întărire pentru respectarea criteriului cu N-1 elemente in functiune in RET: In solutia de racordare analizata, pentru scenariul analizat cu abatere de la SN prin inchidere cupla 110kV in statia 110/20 kV Lugoj, dintre lucrarile prevazute in Planul de Dezvoltare al RET al CNTEE Transelectrica SA pentru racordarea noului producator CEF Lugoj 1 80,85 MW, sunt necesare realizarea următoarelor investiții: Pentru eliminarea suprasarcinilor la N elemente pe LEA 110 kV BUZIAS - TIMISOARA și LEA 110 kV BUZIAS- CEF LUGOJ 1, este necesară reducerea puterii CEF Lugoj 1 la: Pevac=61,65 MW – (VDV 2022); Pevac=71 MW – (VDV 2026); Pevac=76 MW – (VDV 2031); In cadrul analizei cu N-1 elemente in functiune pentru cele 3 etape de analiza (2022/2026/2031) cu puterea redusa pentru eliminarea suprasarcinilor de la criteriul cu N elemente in functie (61,65 MW / 71 MW / 76 MW), au rezultat urmatoarele elemente de retea in suprasarcina: In RED: 1.LEA 110kV Buziaș – CEF Lugoj 1 – 25,107 km; 2.LEA 110kV Timișoara – Buziaș – 38,057 km; Total= 63,164 km Reconductorarea LEA 110 kV cu conductor 185 mmp cu capacitate marita de transport Imin=850A in lungime totala de 63,164 km. Beneficiarul CEF Lugoj 1 80,85 MW a optat in cadrul sedintei de avizare pentru prevederile Ord. 81/2022 cu referire la limitarea operationala a puterii tinand cont de contingentele la care au rezultat suprasarcini in RET si RED. Situația proiectată – Soluția 1 - Racordare CEF Lugoj 1 intrare-iesire în LEA 110 kV Lugoj - Buziaș, A.1.VDV2022 CEF Lugoj 1 – 61,65 MW – Înainte de realizarea trecerii la 400 kV a Axului de Vest. Elementele încărcate și elementele deconectate se regăsesc în tabelele de mai jos: Echipamentele aferente sistemului de automatizare pentru limitarea operaționala se vor instala in urmatoarele statii: REB: Lugoj (cupla IT), Cozla, Moldova Noua, Sfanta Elena, Calnic, CFR Caransebes, Otelu Rosu, Freidorf, Bocsa, Fratelia, Toplet, Crusovat, Bucovina; OTS: Resita, Timisoara, Iaz, Sacalaz; VDV 2026 – CEF Lugoj 1 – 71 MW – După realizarea trecerii la 400 kV a Axului de Vest Elementele încărcate și elementele deconectate se regăsesc în tabelele de mai jos: Echipamentele aferente sistemului de automatizare pentru limitarea operaționala se vor instala in urmatoarele statii: REB: Lugoj (cupla IT), Cozla, Moldova Noua, Sfanta Elena; OTS: Resita, Portile de Fier 1, Timisoara, Iaz, Sacalaz; A.3. VDV 2031 – CEF Lugoj 1 – 76 MW – După realizarea trecerii la 400 kV a Axului de Vest Elementele încărcate și elementele deconectate se regăsesc în tabelele de mai jos: Echipamentele aferente sistemului de automatizare pentru limitarea operaționala se vor instala in urmatoarele statii: REB: Lugoj (cupla IT), Cozla, Moldova Noua, Sfanta Elena, CFR Caransebes; OTS: Resita, Portile de Fier 1, Timisoara, Iaz, Sacalaz;</t>
  </si>
  <si>
    <t>Centrala Electrica Fotovoltaica - CEF Lugoj 2</t>
  </si>
  <si>
    <t>LEA 110KV NADRAG-LUGOJ</t>
  </si>
  <si>
    <t>Lucrari de intarire determinate de necesitatea asigurarii conditiilor tehnice in vederea evacuarii puterii aprobate pentru CEF Lugoj 2 33,075 MW: S-a considerat modificarea topologica a retelei electrice prin punerea în funcțiune a celui de-al doilea AT 200 MVA 220/110 kV din stația Iaz și a circuitului 2 al LEA 220kV Iaz-Reșita, conform celor comunicate de catre CNTEE Transelectrica in data de 10.12.2022, pentru un alt studiu de solutie din zona analizata.  Realizarea lucrărilor de întărire cu caracter general pentru respectarea criteriului cu N-1 elemente in functiune in RED 110 kV:  Scenariul analizat (cupla 110 kV inchisa in statia 110/20 kV Lugoj cu RABD anulat):    - LEA 110kV CEF Lugoj 1 – Buzias = 25,107 km     - LEA 110 kV Timisoara – Buzias = 38,057 km     - Total = 63,164 km  Reconductorarea LEA 110 kV cu conductor 185 mmp cu capacitate marita de transport Imin=850A in lungime totala de 63,164 km.  Realizarea lucrărilor de întărire pentru respectarea criteriului cu N-1 elemente in functiune in RET:  In solutia de racordare analizata dintre lucrarile prevazute in Planul de Dezvoltare al RET al CNTEE Transelectrica SA pentru racordarea noului producator CEF Lugoj 2 33,075 MW, sunt necesare realizarea următoarelor investiții:  Beneficiarul CEF Lugoj 2 33,075 MW a optat in cadrul sedintei de avizare pentru prevederile Ord. 81/2022 cu referire la limitarea operationala a puterii tinand cont de contingentele la care au rezultat suprasarcini in RET si RED. A. Situația proiectată - Racordare CEF Lugoj 2 intrare-iesire în LEA 110 kV Lugoj - Nadrag,  A1. VDV2022 CEF Lugoj 1 – 61,65 MW + CEF Lugoj 2 – 33,075 MW – Înainte de realizarea trecerii la 400 kV a Axului deVest Elementele încărcate și elementele deconectate se regăsesc în tabelele de mai jos:  Echipamentele aferente sistemului de automatizare pentru limitarea operaționala se vor instala in urmatoarele statii:     - REB: Lugoj (cupla IT), Cozla, Moldova Noua, Sfanta Elena, Calnic, CFR Caransebes, Otelu Rosu, Freidorf, Bocsa, Fratelia, Toplet, Crusovat, Bucovina     - OTS: Resita, Timisoara, Iaz, Sacalaz  A2. VDV 2026 – CEF Lugoj 1 – 71 MW+ CEF Lugoj 2 – 33,075 MW – După realizarea trecerii la 400 kV a Axului de Vest  Elementele încărcate și elementele deconectate se regăsesc în tabelele de mai jos:  Echipamentele aferente sistemului de automatizare pentru limitarea operaționala se vor instala in urmatoarele statii:     - REB: Lugoj (cupla IT), Cozla, Moldova Noua, Sfanta Elena     - OTS: Resita, Portile de Fier 1, Timisoara, Iaz, Sacalaz  A3. VDV 2031 – CEF Lugoj 1 – 76 MW+ CEF Lugoj 2 – 33,075 MW – După realizarea trecerii la 400 kV a Axului de Vest  Elementele încărcate și elementele deconectate se regăsesc în tabelele de mai jos:  Echipamentele aferente sistemului de automatizare pentru limitarea operaționala se vor instala in urmatoarele statii:    - REB: Lugoj (cupla IT), Cozla, Moldova Noua, Sfanta Elena, CFR Caransebes    - OTS: Resita, Portile de Fier 1, Timisoara, Iaz, Sacalaz</t>
  </si>
  <si>
    <t>POWER CHAIN SRL</t>
  </si>
  <si>
    <t>Instalatie de stocare IS Calan 54 MW</t>
  </si>
  <si>
    <t>CALAN STREI 110/20KV</t>
  </si>
  <si>
    <t>SOLAR POINT SRL</t>
  </si>
  <si>
    <t>CEF Solar Point Arad</t>
  </si>
  <si>
    <t>Realizarea lucrărilor de întărire cu caracter gene criteriului cu N elemente in functiune in RED 110 kV: - amplificarea grupului de tratare neutru din statia 110/20 kV Gai prin instalarea unei bobine noi 30-200 A Evaluarea lucrarilor de intarire Valoarea estimata a lucrarilor enuntate la pct.3.2 pe baza de indici conform art. 44 din Ordinul ANRE 11/2014 este de: T(I)=Sn x i Art. 43. — (1) În situația în care punctul de racordare este la medie tensiune, pe bara de medie tensiune a unei stații de transformare 110 kV/MT, tariful specific pentru calculul componentei TI a tarifului de racordare se notează i7 și se stabilește utilizând următoarea formulă: i7 = iST110/MT + iLE110 [lei/MVA] = 432000 + 231000 = 663.000 [lei /MVA] Puterea totala ce a fost solicitata spre a fi debitata este 3,652MW (4 ,058MVA). Aplicand formula de calcul aferenta componentei Ti be baza de indici rezulta Ti = i7 x Pa = 663.000 lei/MVA x 4,058MVA = 2.690.454 lei+TVA Ti cu indici = 2.690.454 lei Ti cu DG = 1.720.166,70 lei Termenul posibil de realizare a lucrărilor de intarire in RED este 24 de luni, de la momentul achitarii de catre utilizator valoarea totala aferenta componentei Ti.</t>
  </si>
  <si>
    <t>MAXTEHNICK RECYCLING ENERGY SRL</t>
  </si>
  <si>
    <t>A20 GHIOROC-FANTANELE AR</t>
  </si>
  <si>
    <t>SOLAR FOTO VOLT SRL</t>
  </si>
  <si>
    <t>Centrala electrica fotovoltaica Maureni</t>
  </si>
  <si>
    <t>Realizarea lucrărilor de întărire cu caracter gene criteriului cu N elemente in functiune in RED 110 kV: - montare grup de tratare al neutrului de 30-200 A pe bara 1A al Statiei 110/20 kV Gataia Evaluarea lucrarilor de intarire Valoarea estimata a lucrarilor enuntate mai sus pe baza de indici conform art. 44 din Ordinul ANRE 11/2014 este de: T(I)=Sn x i Art. 43. — (1) În situația în care punctul de racordare este la medie tensiune, pe bara de medie tensiune a unei stații de transformare 110 kV/MT, tariful specific pentru calculul componentei TI a tarifului de racordare se notează i7 çi se stabileçte utilizând următoarea formulă: i7 = iST110/MT + iLE110 [lei/MVA]= 432000 + 231000 = 663.000 [lei /MVA] Sevacuata = 6,577 MVA Rezulta T(I)=Sn x I7 = 4.360.551 lei fara TVA Compunenta Ti conform indici Ti= 4.360.551 lei fara TVA Compunenta Ti conform DG Ti= 1.720.166,70 lei fara TVA Termenul posibil de realizare a lucrărilor de intarire in RED este 1496 zile lucratoare, la N elemente , de la momentul obtinerii obtinerii avizelor si autorizatiilor de construire.</t>
  </si>
  <si>
    <t xml:space="preserve">	
ENERGY CEFEST SRL</t>
  </si>
  <si>
    <t>CONSTRUIRE CENTRALA FOTOVOLTAICA, IMPREJMUIRE SI RACORDARE LA SEN</t>
  </si>
  <si>
    <t>Realizarea lucrărilor de întărire cu caracter gene criteriului cu N/ elemente în funcțiune în RED 110 kV:
Se va amplifica transformatorului ÎT/MT de putere 16 MVA existent din Stația 110/20 kV Pancota la 25 MVA:
- Demontare trafo 16 MVA existent;
- Lucrări reabilitare cuvă trafo;
- Montare trafo 25 MVA. Valoarea estimată a lucrărilor pe bază de deviz general: 6.167.671,20 lei fără TVA
Evaluarea lucrărilor de întărire:
Valoarea estimată a lucrărilor enunţate la pct.3.2. pe bază de indici conform art. 44 din Ordinul ANRE 11/2014 este de: T(I)=Sn x i Pentru varianta 1: Art. 41 — În situația în care punctul de racordare este la medie tensiune, într-o linie electrică aeriană, tariful specific pentru calculul componentei TI a tarifului de racordare se notează i5 și se stabilește utilizând următoarea formulă:
i5 = iMTA + iST110/MT [lei/MVA] = 97.000 + 432.000 = 529.000 [lei/MVA] (Ti) = Sn x i5 = Sn x (iMTA + iST110MT) = 3,283 MVA x 529 000 lei/MVA = 1.736.707 lei fără TVA
Valoarea Ti calculată pe bază de deviz general aferentă OD/OTS cu lucrări de întărire:
Varianta 1 (Ti)SS = 6.167.671,20 lei fără TVA din care:
Componenta întărire reţea TI= min(6.167.671,20; 1.736.707) lei = 1.736.707 lei fără TVA</t>
  </si>
  <si>
    <t>IRCO GREEN ENERGY SRL</t>
  </si>
  <si>
    <t>CEF IRCO GREEN ENERGY SRL</t>
  </si>
  <si>
    <t>A20 BALOMIR-ORASTIE DV</t>
  </si>
  <si>
    <t>SIBER ENERGIA S.R.L.</t>
  </si>
  <si>
    <t>Centrala Electrica Fotovoltaica Bacia 2</t>
  </si>
  <si>
    <t>A20 BATIZ-SIMERIA DV</t>
  </si>
  <si>
    <t>SIGNA SOLAR</t>
  </si>
  <si>
    <t>Centrala Electrica Fotovoltaica Ghioroc</t>
  </si>
  <si>
    <t>A20 GHIOROC-LIPOVA AR</t>
  </si>
  <si>
    <t>SC NICO GREEN ENERGY SRL</t>
  </si>
  <si>
    <t>A20 SAG-FRATELIA TM</t>
  </si>
  <si>
    <t>RUDOLF OTTO NR. 6 HALA</t>
  </si>
  <si>
    <t>S20 NR.8-FREIDORF TM</t>
  </si>
  <si>
    <t>F.B.R. TOWERS SRL</t>
  </si>
  <si>
    <t>Alimentare cu energie electrica trei imobile de locuinte colective (156 apartamente) cu spatii comerciale la parter - corp B1, B2 , B3 cu subsol comun</t>
  </si>
  <si>
    <t>S20 NR.8-BUCOVINA TM</t>
  </si>
  <si>
    <t>Spital Judetean de Urgenta Resita</t>
  </si>
  <si>
    <t>MOCIUR 110/20/6 KV</t>
  </si>
  <si>
    <t>BOTANIC LIVING SRL</t>
  </si>
  <si>
    <t>imobil de locuinte</t>
  </si>
  <si>
    <t>HELLA ROMÂNIA SRL</t>
  </si>
  <si>
    <t>UNIVERSITATEA DE MEDICINA SI FARMACIE''VICTOR BABES TIMISOARA</t>
  </si>
  <si>
    <t>Corpuri de Cladire Facultatea de Medicina si Farmacie</t>
  </si>
  <si>
    <t>A20 NR.10-PADUREA VERDE TM</t>
  </si>
  <si>
    <t>COMPANIA NATIONALA DE ADMINISTRARE A INFRASTRUCTURII RUTIERE S.A</t>
  </si>
  <si>
    <t>AUTOSTRADA LUGOJ-DEVA KM 27+620,KM 56+220 Tunel 2 sfarsit</t>
  </si>
  <si>
    <t>ILIA</t>
  </si>
  <si>
    <t>A20 COSEVITA-ILIA DV</t>
  </si>
  <si>
    <t>AUTOSTRADA LUGOJ-DEVA KM 27+620</t>
  </si>
  <si>
    <t>A20 ROMANESTI-FAGET TM</t>
  </si>
  <si>
    <t>Reconductorarea LEA 20kV -Romanesti intre stalpii Nr.31-91 cu conductor OAl 50mm2 in lungime traseu de 5500m . - Inlocuirea 10 stalpi cu 10 buc. stalpi 15014 echipati cu , consola sem.intindere echipata lanturi de intindere 2il/2il ; - La stalpii noi proiectati realizare Rp≤ 15 ohmi; 1B rosie  - Lucrari de constructii ptr. amenajarea camerei de conexiuni  - Traseu cablu racord intre partea 20 kV din container si noua sectie de bare 20 kV  - Montare celula racord complet echipata, intrerupator 1600A, tip DY 698A  - Montare celula masura, celula tip DY 731</t>
  </si>
  <si>
    <t>AUTOSTRADA LUGOJ-DEVA KM 56+220 LOT 2 KM 52+800</t>
  </si>
  <si>
    <t>Lucrări de intarire finanţate din fonduri proprii E-Distributie Banat SA : Lucrari necesare in Statia 110/20 kV Venus:  - Extinderea barei de 20 kV din container existent, bara 1B rosie  - Lucrari de constructii ptr. amenajarea camerei de conexiuni  - Traseu cablu racord intre partea 20 kV din container si noua sectie de bare 20 kV  - Montare celula racord complet echipata, intrerupator 1600A, tip DY 698A  - Montare celula masura, celula tip DY 731</t>
  </si>
  <si>
    <t>CT PARK MIU SRL</t>
  </si>
  <si>
    <t>Imobil+ CEF 2,625 MW MIU</t>
  </si>
  <si>
    <t>S20 CT PARK THETA 2-AFUMATI IF</t>
  </si>
  <si>
    <t>Loc de consum existent CTPARK MIU (CER RO001E143248232 / 1 din 03/10/2023) Date tehnice existente: Putere instalata consumator: 3900 kW Puterea absorbita la nivel de loc de consum: 3900 kW Conform  CTE nr. 20/2/09.04.2024, faza studiu de solutie si anume: Varianta unica ? modificarea locului de consum existent în loc de consum ?i producere nou, prin instala?ia de racordare existent? conform CER RO001E143248232 / 1 din 03/10/2023 ?i anume: prin punctul de conexiune existent nr. 4654  Lucrari ce se realizeaza prin grija beneficiarului : În prezent, consumarorul este alimentata cu energie electrica, conform ATR nr. 09821000 din 28/12/2022, CER RO001E143248232 / 1 din 03/10/2023 prin intermediul punctului de conexiune PC4654 din care se alimenteaza posturile de transformare - PT1 - 1*1600kVA, PT2 ? 1*1250kVA, PT3 - 1*1600kVA si PT4 ? 2*630kVA. Racordul centralei fotovoltaice se va realiza in TDRI aferent posturilor de transformare PT1- 1600kVA, PT2-1250kVA, respectiv in TDRI aferent postului de transformare PT3-1*1600kVA. Solutia de racord presupune realizarea a 3 tablouri electrice TE1+CEF, TE2+CEF si TE3 CEF,care vor contine toate elementele necesare realizarii conectarii noii unitati de producerea a energiei electrice pentru autoconsum si injectie in retea. In fiecare tabloul TE-CEF 1,2,3 este prevazut pe legatura cu tablourile generale unde se racordeaza, un intreruptor motorizat impreuna cu un releu multifunctional care va realiza comanda(open/close) a motorului intreruptorului. Aceste intrerupatoare vor avea rol de dispozitiv de interfata, DI, si vor fi declansate prin intermediul releului multifunctional, prin urmatoarele protectii: ,,protectie maxima tensiune, valoare mediata 10 minute*: 1,1*Un/600+3 secunde; ,,protectie maxima tensiune: 1,15*Un/temporizata; ,,protectie minima tensiune : 0,85*Un/ temporizata; ,,protectie minima tensiune: 0,3*Un/ temporizata; ,,protectie maxima frecventa: 52 Hz/ temporizata; ,,protectie minima frecventa: 47,5 Hz/ temporizata. In cazul defectiunilor releului atasat dispozitiv de interfata sau in cazul lipsei alimentarii acestuia va fi declansat intrarupatorul de interfata. In cazul refuzului de declansare a intrerupatoruluide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 CEF1,2,3 in vederea montarii unui contor electronic pus la dispozitie de REM. COMUNICATII In TE CEF1, TE CEF2 si TE CEF3 se va monta cate un datalogger.De la fiecare datalogger prin intermediul cate unui switch, folosind suport de fibra optica/cablu ftp, se vor transmite informatii de putere activa/reactiva, catre un PLC instalat intr-un dulap montat in PC4654. De la PLC catre Unitatea Periferica existenta in PC4654, vom folosi ie?irile analogice 4-20mA ale acestuia. Conversia si scalarea semnalelor de putere activa/reactiva, se va face insoftul din PLC. Echipare punct de conexiune PC 4654 ? utilizator In punctul de conexiune existent utilizator, in anvelopa de beton prefabricat se vor monta : ,,in celula DG existenta: - 3 TT 20/?3//0,1/?3//0,1/3kV, 10VA/10VA 0,5/3P, si 3TC 100/5A, 10VA, cls.0,5; ,,releul de protectie aferent PG se va prevede cu urmatoarele functii de protectie: ,,protec?ie general? maximal? de curent în trei trepte (la scurtcircuit si suprasarcina); ,,protec?ie homopolar? de curent în dou? trepte, contra punerilor la p?mânt monofazate, respectiv bifazate; ,,protectie homopolara directionala; ,,3TC 150/5A montati pe cablul de legatura celula UTM-celula DG existente, 10VA, cls.0,5. ,,montare analizor clasa A pentru monitorizarea calitatii energiei electrice; ,,sistem pentru culegere informa?ii ?i transmitere a m?rimilor P, Q, U ?i pozi?ie întrerup?toare DG si DI catre dispecerul RETELE ELECTRICE MUNTENIA; ,,1 traductor de frecventa si tensiune. Traductorul si analizorul sevor racorda in circuitele de masura ale transformatoarelor de curent si de tensiune nou prevazute. Semnalele de iesire ale traductorului, impreuna cu cel de pozitie al dispozitivului general DG si dispozitivelor de interfata DI, vor fi disponibile intr-un sir de cleme. De la sirul de cleme pana la UP amplasat in PC4654 , semnalele vor fi transmise printr-un cablu special ecranat, care va face parte impreuna cu traductoarele, din instalatia de utilizare. Lungimea cablului un trebuie sa depaseasca 20m. Realizarea lucrarilor pentru instalatiile din aval de punctul de delimitare este in responsabilitatea utilizatorului si se efectueaza pe cheltuiala acestuia. Toate aceste informatii vor fi transmise catre SCADA REM, in unitatea periferica, UP nou prevazuta. Punerea in functiune a noi centrale se va face respectand ?PROCEDUR? din 17 aprilie 2019 de notificare pentru racordare a unit??ilor generatoare ?i de verificare a conformit??ii unit??ilor generatoare cu cerin?ele tehnice privind racordarea unit??ilor generatoare la re?elele electrice de interes public. Unitatea periferica existenta in PC4654 permite preluarea acestor informatii.</t>
  </si>
  <si>
    <t>18665817</t>
  </si>
  <si>
    <t>SUN LIGHT INTEGRAL SRL</t>
  </si>
  <si>
    <t>CEF Umi</t>
  </si>
  <si>
    <t>Conform aviz CTE nr. 25/3/14.05.2024, faza studiu de solutie si anume: Varianta unica: Racord intrare ? iesire pe linia Stoenesti ST 176-ST 177 din statia 110/20 kV Arcuda Lucr?ri pe tarif de racordare: ?,,montarea de grupuri de masura de joasa tensiune pe toate cele 8 posturi de transformare din care sunt alimentate instalatiile OMV PETROM. Grupurile de masura vor fi montate in cutii PAFS, complet echipate cu transformatoare de tensiune de 500/100V si transformatoare de curent dimensionate pentru puterea transformatoarelor.Cutiile vor permite montarea de contoare trifazate conform specificatii REM. Grupul de masura de decontare existent din statia Arcuda se va demonta. S-a obtinut acordul OMV pentru aceasta lucrarea si fazele urmatoare de proiectare/executie se vor reface conventia de exploatare si ATR ul consumatorului/consumatorilor. Se vor implementa corectii la energie facturata pentru consumatorul OMV PETROM. ?,,Racord intrare-iesire in LEA 20 kV Stoenesti: -Plantare 2 stalpii speciali in deschiderea dintre stalpii 176-177 si echiparea acestora cu: consol? semiorizontala de intindere, lanturi duble de intindere cu izolatori compozit, separator tripolar de exterior 24 kV, 400 A cu cu?ite de punere la p?mânt, montaj vertical pe stâlp, un set de desc?rc?toare cu ZnO si dispozitive de deconectare, suport unificat (pentru desc?rc?toare si terminale unipolare de medie tensiune), prize de pamant; -Realizare LES 20 kV cu cablu de medie tensiune tripolar, cu elice vizibila, izola?ie XLPE, cu conductor de sectiune 3x1x185 mm2, pe o lungime de aproximativ 2x50m pozat intre stalpii proiectati si PC 20kV -Demontarea conductoarelor LEA 20 kV intre stalpii proiectati. ?,,Echipare Punct de Conexiuni: ?,,Echipare punct de conexiune 20 kV ce se va amplasa pe terenul Beneficiarului cu acces din domeniul public pentru Retele Electrice Muntenia din exterior echipat cu: - 1 buc. Celul? modular? de linie (f?r? mentenan??) extensibila, cu echipament de comuta?ie în SF6, echipate cu separator de sarcin? ?i CLP, motorizata unificata; - 1 buc. Celul? modular? de linie (f?r? mentenan??) extensibila, echipata cu intrerupator si separator de sarcin? ?i CLP, motorizata, terminale tip SMART GSCC012/1. - 1 buc. Celul? de m?sur? cu separator de sarcin?, cu dou? transformatoare de tensiune 20/0,1 kV clasa de precizie 0,5 ?i doua transformatoare de curent de 400/5 A, clasa de precizie 0,2S, integrata in sistemul de telecontrol UTM;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?,,Montare grup de masurare de decontare in compartimentul de racordare, in celula de masura prevazuta cu un contor dublu sens;contorul pentru decontare, va fi racordat prin cabluri speciale la transformatoare de masura din celula de utilizator si va fi pus la dispozitie de catre OD. Lucr?ri ce se realizeaz? prin grija beneficiarului: - cladirea punctului de conexiune cu doua compartimente, unul pentru instalatiile electrice din gestiunea Retele Electrice Muntenia si unul pentru instalatiile electrice ale utilizatorului. Gabaritul compartimentului de racordare va permite montarea a înc? unei celule de linie ?i va fi cu ac?ionare din interior ?i cu acces direct din exterior;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?,,LES 20 kV de Cu, 95 mmp, L? 20m între celula de m?sur? din compartimentul de racordare ?i celula cu înterup?tor din compartimentul utilizatorului ; ?,,Dispozitivul general -celula sosire cu intrerupator automat si separator in compartimentul utilizatorului (DG) cu urmatoarele protectii: Sistemul de protectie general (SPG) asociat dispozitivului general cuprinde: ,,protec?ie maximal? de curent cel pu?in pe doua faze, cu trei trepte. Prima treapta se folose?te împotriva suprasarcinii, a doua pentru a permite o functionare temporizata ?i a treia pentru a permite o interven?ie rapid?; ,,protec?ie homopolar? direc?ional? cu dou? trepte (o treapta pentru punerile la pamant simple, ?i a doua treapta pentru duble puneri la pamant); ,,protectie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mediata la 10 minute. ?,,serviciile interne in compartimentul de racordare se vor asigura din transformatorul 20/0,230 kV, 4 kVA, montat dup? întreruptorul general (DG), spre produc?tor.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?,,LES 20kV intre PC 20kV proiectat si PT-CEF in lungime de 0,5km ?,,Posturi trafo si tablouri jt aferente parcului fotovoltaic trafo &lt;=2000kVA ?,,Asigurare accesului la PC 20kV proiectat pentru OD. Se vor ob?ine de la de?in?torii de teren, acordurile, în original, autentificate de un notar public, pentru ocuparea sau traversarea terenului, precum ?i pentru exercitarea de c?tre OD a dreptului de uz, superficie ?i servitute asupra terenurilor afectate de instala?ia de racordare. În conformitate cu prevederile Legii energiei si gazelor naturale nr. 123/2016, cu modificarile si completarile ulterioare, utilizatorul se va angaja juridic, prin încheierea unui contract de superficie ?i înscrierea în cartea funciar?, c? nu va emite preten?ii financiare legate de existen?a unor instala?ii realizate în beneficiul lui ?i amplasate pe proprietatea sa, dar care apar?in Retele Electrice Muntenia. Realizarea lucrarilor pentru instalatiile din aval de punctul de delimitare este in responsabilitatea utilizatorului si se efectueaza pe cheltuiala acestuia.</t>
  </si>
  <si>
    <t>19276148</t>
  </si>
  <si>
    <t>RAYCATCH SRL</t>
  </si>
  <si>
    <t>CEF + IS CHITILA</t>
  </si>
  <si>
    <t>CHITILA 110/20 KV</t>
  </si>
  <si>
    <t>Conform aviz CTE nr. 21/2/11.04.2024, faza studiu de solutie si anume: Racord în antena pe bara verde 20kV st 110/20kV Chitila Lucr?ri pe tarif de racordare: - Extinderea sistemului de bar? 20 kV verde din sta?ia Chitila 20 kV prin montare a dou? celule de cupl? de 20 kV pe extensia barei 20 kV verde, compatibil? cu cele existente în sta?ia 20 kV Chitila, care vor fi echipate cu întrerup?tor debro?abil 24 kV, 1600 A, 40 kA si cu?it de legare la p?mânt (CLP); - Realizare canale tehnice necesare pentru extensia sectiei de bare verde, precum si racordarea acesteia la canalele tehnice existente. - Se vor dezlega cablurile de celula de cupla de pe bara rosie si se vor conecta la celula de cupla extensie bara verde; - Se vor monta 2 cabluri noi Cu 2x3(1x630mmp) între a doua celula de cupla de pe extensia bara verde si celula de cupla existenta pe bara rosie. Cablul va fi prevazut cu o rezerva care sa permita racordarea cablului pana la locul disponibil pentru extinderea bare rosii; - Montare celul? linie 20 kV pe bara 20 kV verde,compatibil? cu cele existente în sta?ia 20 kV Chitila, care va fi echipat? cu: ?,,Întrerup?tor debro?abil 24 kV, 630 A, 25 kA; ?,,Transformatoare de curent de tip 3xTC 300/5/5/5 A, cl. 0,2s; ?,,Transformator de curent de component? homopolar? 100/1 A; ?,,Cu?it de legare la p?mânt (CLP); ?,,Terminal numeric de comand?, control, protec?ie ?i m?sur? pentru integrarea celulei în sistemul de telecontrol al REM; - Celula de linie proiectat? va fi prev?zut? cu grup de m?sur? pentru balan??; - Toate celulele noi montate pe extensia barei verzi vor fi prev?zute cu echipamente de comunicatie compatibile cu generatia 3 de celule. - Dup? montarea noii celule, ?LES 20 kV CEF + IS Chitila?, vor fi realizate circuitele de includere ale acesteia în buclele de c.a., c.c., semnaliz?ri, blocaje, DRRI ?i celelalte bucle existente în sta?ia 20 kV Chitila; - Noua celul? va fi integrat? în priza de p?mânt interioar? a sta?iei, cu platbanda OL-Zn 40x4mmp, conform 1-E-IP-35/1-90,iar CLP-urile ?i mantaua cablurilor de MT vor fi legate la priza de p?mânt realizat? pe peretele din spatele celulei; - Celula de linie ?LES 20 kV CEF + IS Chitila? va fi prev?zut? cu blocaje de siguran?? care s? împiedice atingerea p?r?ilor sub tensiune de c?tre personalul de exploatare ? blocarea u?ii dac? celula este sub tensiune, blocaje opera?ionale pentru evitarea manevrelor gre?ite la nivelul celulei de linie, blocajul închiderii CLP-ului dac? întreruptorul este bro?at; - Celula ?LES 20 kV CEF + IS Chitila? va fi integrat? în DMS-SCADA apar?inând OD cu urmatoarele lucrari: ?,,Montarea unui dulap SCADA necesar pentru realizarea schimbului de informa?ii dintre CEF + IS Chitila ?i operatorul de re?ea de distribu?ie, care s? includ? server, switch, GPS, UPS, rack de comunica?ie; ?,,Instalarea în rack-ul de comunica?ie existent în sta?ia 20 kV Chitila a unui echipament pentru criptarea comunica?iilor, separarea ?i filtrarea traficului de informa?ii dintre zone de securitate diferite; ?,,Dac? este necesar se va extinde LAN-ul sta?iei prin includerea unui switch nou în cazul în care nu mai sunt porturi de fibr? optic? disponibile pentru integrarea terminalului numeric de protec?ie din celula LES 20 kV CEF + IS Chitila. ?,,Integrarea CEF + IS Chitila în sistemul DMS-SCADA al OD se realizeaz? prin protocol configurat corespunz?tor atât la nivel de sta?ie, cât ?i dispecer folosind calea de comunica?ie existent? în sta?ie. - Realizare racord LES 20 kV ARE4H5(AR)E 3x(1x185) AL mmp + FO între celula MT montat între sta?ia 20 kV Chitila ?i celula de linie din punctul de conexiune, PC 20 kV CEF+IS Chitila (compartiment REM), în lungime de 610 m; Pentru pozarea LES-ului de 20 kV se va folosi canalul de cabluri existent în sta?ia 110/20 kV Chitila. ?,,Montare punct de conexiune (PC) 20 kV pe cat posibil in domeniul public echipat cu 2 compartimente (1 compartiment apar?ine OD ?i 1 compartiment apar?ine utilizatorului); ?,,Echiparea compartimentului de racordare al punctului de conexiuni 20 kV cu instala?iile aferente operatorului de re?ea (apar?ine OD): ?,,1 celul? de linie motorizat? 24 kV, 630A, 16 kA cu separator de sarcina în SF6 ?i CLP conform specifica?iei OD; ?,,1 celul? de m?sur? conform specifica?iei OD cu separator ?i grup de m?sur? format din dou? transformatoare de tensiune 20/0,1 kV, clasa de precizie 0,2 ?i dou? transformatoare de curent de 400/5A, clasa de precizie 0,2S si contor electronic trifazat static (afi?aj LCD), In=5(6)A , Un=3x100/57V, clasa de precizie 0,2s dotate cu curba de sarcin? ?i interfa?? de comunica?ie RS 232 ?i modul comunica?ie GSM amplasat într-o cutie de m?sur?; cutia de m?sur? se va amplasa într-o ni?? cu posibilitatea vizualiz?rii atât de c?tre OD, cât ?i de c?tre beneficiar. ?,,Integrarea în telecontrol a celulei de linie ?i m?sur? din PC 20 kV proiectat, prin montarea de RGDAT-1 buc , UP 2020 LITE-1 buc, baterii acumulatori -2 buc, TSA-1 buc, Router rugged pentru comunica?ii 4G ? CISCO IR1101, Swich-uri rugged CISCO IE-4000-8S4G-E, dulap pentru echipamente de telecomunica?ii FT-045_TLC-M_ed02 ? TIP B ?i accesoriile de conectic?: Modul SFP CISCO GLC_FE-100LX-RGD de tip SM, FT-277_MAT ? 2 buc, Patch-cord duplex LC/PC ? E2000 APC, 2m ? 2 buc, PATCH-PANNEL FO MONOMODE pentru 24 fibre optice ? E2000/APC complet echipat ? 2 buc, Patch-cord ftp cat. 6e (lungime 1 m), Patch-cord ftp cat. 6e (lungime 10 m) . Lucr?ri ce se realizeaz? prin grija beneficiarului: ?,,Cl?direa Punct de Conexiune (PC) se va realiza prin grija utilizatorului ?i va r?mâne în proprietatea utilizatorului. Amplasarea PC 20kV va fi pe terenul utilizatorului care va permite accesul Operatorului de Distribu?ie la acesta. Cl?direa PC va fi compus? din: - Compartiment de racordare (Retele Electrice Muntenia) pentru instala?iile electrice din gestiunea Retele Electrice Muntenia SA. Gabaritul compartimentului de racordare va permite montarea a înc? unei celule de linie. Compartimentul de racordare va fi cu ac?ionare din interior ?i cu acces direct din exterior, din drumul public din zon?, ?i va fi echipat conform descrierii de mai sus. - Compartiment Utilizator pentru instala?iile electrice ale utilizatorului: - LES 20 kV Cu 3x1x95 mm2, L ~ 20 m, între celula de m?sur? din compartimentul de racordare ?i celula de sosire din compartimentul utilizatorului, - 1 buc. celul? de linie cu întreruptor general (DG) ?i separator, cu trei transformatoare de curent de 100/5 A, clasa de precizie 0,5s ?i transformator de curent homopolar 100/1A ?i releu de protec?ie. Releul de protec?ie va asigura urm?toarele protec?ii: - protec?ie maximal? de curent cel pu?in pe dou? faze, cu trei trepte. Prima treapt? se folose?te împotriva suprasarcinii, a doua pentru o func?ionare temporizat? ?i a treia pentru o interven?ie rapid?, - protec?ie homopolar? direc?ional? cu dou? trepte (o treapt? pentrupunerile la p?mânt simple, ?i a doua treapt? pentru duble puneri la pamânt) - 1 buc. celul? de linie cu întreruptor general ?i separator- dispozitivul de interfa?? (DI) în compartimentul utilizatorului, plecare spre PT 1, echipat? cu trei transformatoare de tensiune 20/0,1 kV, clasa de precizie 0,5, trei transformatoare de curent de 100/5A, clasa de precizie 0,5s ?i un releu de protec?ie. Releul de protec?ie va asigura urm?toarele func?ii: - functia de protec?ie minim?/maxim? tensiune în 2 trepte, - functia de protec?ie de frecven?? minim?/maxim? în 2 trepte, - func?ia de protec?ie maxim? de tensiune mediate la 10 minute. Tot în celula DI se va monta ?i un analizor pentru monitorizarea calit??ii energiei electrice, de clas? A. ,,Serviciile interne în compartimentul de racordare se vor asigura din transformatorul monofazat de 4 kVA montat în compartimentul utilizatorului, dup? întrerup?torul general (DG), spre produc?tor În 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DG,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,,LES 20kV realizata cu cablu 12/20 kV, 185 mmp cu izola?ie din polietilen? reticulat? (XLPEin lungime de 200 m intre PC 20kV si postul de transformare aferent CEF ,,Post de transformare, PTab 20 kV CEF + IS Chitila ?i tablouri TDRI aferente centralei CEF + IS Chitila, echipat cu 3 (trei) transformatoare de 2 MVA, 20/0,8 kV; ,,Asigurare accesului la PC 20 kV CEF + IS Chitila proiectat pentru OD. ,,Priza de legare la p?mânt a PC 20 kV CEF + IS Chitila proiectat</t>
  </si>
  <si>
    <t>17436670</t>
  </si>
  <si>
    <t>FRN ENERGY SRL</t>
  </si>
  <si>
    <t>A20 IRIGATII-ARCUDA GR</t>
  </si>
  <si>
    <t>Conform aviz CTE nr. .29/3/ 04.06.2024, faza studiu de solutie si anume: Varianta unica ? racordare intrare-iesire in L 20kV Irigatii din st 110/20kV Arcuda (intre separatorul S1970 si postul trafo T1544) Lucrari pe tarif de racordare: Racord subteran MT: Se va sectiona LE 20kV Irigatii din st 110/20kV Arcuda (intre separatorul S1970 si postul trafo T1544) si se va mansona cu cablu 20kV in lungime de 2x25m din pct de sectionare pana la PC 20kV proiectat. Canalizarea 20kV se va realiza subteran, cu 2xcablu de Al, cu izolatie XLPE, 3x(1x185) mmp,protejat in tub Ø160mm. La amplasarea capacitatilor energetice se vor respecta zonele de protectie si zonele de siguranta conform Legii Energiei nr. 123/2012, Ord. ANRE nr. 239/2019 pentru aprobarea Normei tehnice privind delimitarea zonelor de protectie si de siguranta aferente capacitatilor energetice?, modificat si completat cu ORDIN nr. 225/2020, normativele PE 101A/1985, NTE 007/08/00. PC 20kV proiectat: ,,Punctul de conexiune 20 kV proiectat ce se va amplasa pe terenul Beneficiaruluicu acces din domeniul public pentru Retele Electrice Muntenia din exterior se va echipa cu: - 1 buc. Celul? modular? de linie (f?r? mentenan??) extensibila motorizata, cu echipament de comuta?ie în SF6, echipate cu separator de sarcin? ?i CLP, motorizata unificata; - 1 buc. Celul? modular? de linie (f?r? mentenan??) extensibila motorizata, echipata cu intrerupator si separator de sarcin? ?i CLP, motorizata, terminale tip SMART. - 1 buc. Celul? de m?sur? cu separator de sarcin? motorizata , cu dou? transformatoare de tensiune 20/0,1 kV clasa de precizie 0,5 ?i doua transformatoare de curent de 400/5 A, clasa de precizie 0,2S, integrata in sistemul de telecontrol UTM;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,,Montare grup de masurare de decontare in compartimentul de racordare, in celula de masura prevazuta cu un contor dublu sens;contorul pentru decontare, va fi racordat prin cabluri speciale la transformatoare de masura din celula de utilizator si va fi pus la dispozitie de catre OD. Echipamentele aferente sistemului de telecontrol se vor monta in rack. Cutia UP 2020 Lite va fi fixata pe perete, in pozitie favorabila pentru ulterioarele interventii de configurare si mentenanta. Se vor realiza legaturile intre RG-DAT si UP 2020 Lite de telecontrol(conexiune Ethernet). Se vor asigura sursele de alimentare 230/400 V c.a. din instalatiile de j.t. aferente Utilizatorului. TSA va fi alimentat din tabloul de joasa tensiune din instalatiile utilizatorului. Din TSA se va alimenta si instalatia de iluminat a punctului de conexiune. Unitatea periferica se va racorda la TSA. Celulele vor fi prevazute cu rezistenta anticondens. In spatiul punctului de conexiune va fi prevazut loc de rezerva pentru a asigura posibilitatea extinderii in viitor a tabloului de medie tensiune. In punctul de conexiuni se va realiza o instalatie interioara de legare la pamant. Aceasta se va conecta la o priza de legare la pamant exterioara, a carei rezistenta de dispersie trebuie sa fie Rp ? 4?. Pentru protectia impotriva tensiunilor de atingere si de pas, masele echipamentelor se vor conecta la instalatia de legare la pamant pe toata durata existentei acestora. Intreaga instalatie de legare la pamant este cuprinsa in lucrarile in afara tarifului de racordare, pe investitia directa a benefiarului, care va raspunde de repararea, intretinerea si verificarea ei pe toata durata existentei. Compartimentul de racordare apartinand R.E.M., trebuie sa fie dotat prin grija utilizatorului cu usi si inchizatori conform specificatiilor R.E.M. Orificiile de aerisire trebuie sa comunice doar cu spatii deschise. Lucr?ri ce se realizeaz? prin grija beneficiarului : - cladirea punctului de conexiune cu doua compartimente, unul pentru instalatiile electrice din gestiunea Retele Electrice Muntenia si unul pentru instalatiile electrice ale utilizatorului. Gabaritul compartimentului de racordare va permite montarea a înc? unei celule de linie ?i va fi cu ac?ionare din interior ?i cu acces direct din exterior;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?,,LES 20 kV de Cu, 95 mmp, L? 20m între celula de m?sur? din compartimentul de racordare ?i celula cu înterup?tor din compartimentul utilizatorului ; ?,,Dispozitivul general -celula sosire cu intrerupator automat si separator in compartimentul utilizatorului (DG) cu urmatoarele protectii: Sistemul de protectie general (SPG) asociat dispozitivului general cuprinde: ?,,protec?ie maximal? de curent cel pu?in pe doua faze, cu trei trepte. Prima treapta se folose?te împotriva suprasarcinii, a doua pentru a permite o functionare temporizata ?i a treia pentru a permite o interven?ie rapid?; ?,,protec?ie homopolar? direc?ional? cu dou? trepte (o treapta pentru punerile la pamant simple, ?i a doua treapta pentru duble puneri la pamant); ?,,protectie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mediata la 10 minute. ?,,serviciile interne in compartimentul de racordare se vor asigura din transformatorul 20/0,230 kV, 4 kVA, montat dup? întreruptorul general (DG), spre produc?tor.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?,,LES 20kV intre PC 20kV proiectat si PT-CEF in lungime de 0,010km ?,,Posturi trafo si tablouri jt aferente parcului fotovoltaic trafo &lt;=2000kVA ?,,Asigurare accesului la PC 20kV proiectat pentru OD. Se vor ob?ine de la de?in?torii de teren, acordurile, în original, autentificate de un notar public, pentru ocuparea sau traversarea terenului, precum ?i pentru exercitarea de c?tre OD a dreptului de uz, superficie ?i servitute asupra terenurilor afectate de instala?ia de racordare. În conformitate cu prevederile Legii energiei si gazelor naturale nr. 123/2016, cu modificarile si completarile ulterioare, utilizatorul se va angaja juridic, prin încheierea unui contract de superficie ?i înscrierea în cartea funciar?, c? nu va emite preten?ii financiare legate de existen?a unor instala?ii realizate în beneficiul lui ?i amplasate pe proprietatea sa, dar care apar?in Retele Electrice Muntenia. Realizarea lucrarilor pentru instalatiile din aval de punctul de delimitare este in responsabilitatea utilizatorului si se efectueaza pe cheltuiala acestuia.</t>
  </si>
  <si>
    <t>18580370</t>
  </si>
  <si>
    <t>Imobil+CEF</t>
  </si>
  <si>
    <t>Cf aviz CTE  20/1/09.04.2024 Varianta unica ? modificarea locului de consum existent în loc de consum ?i producere nou, prin modificarea instalatiei de racordare existente. Lucrari pe tarif de racordare: Amenajarea si echiparea punct de conexiune, prefabricat, in anvelopa de beton, amplasat in apropierea L20kV IRIGATII; Echipare punct de conexiune nou (PC 20 kV proiectat): Compartimentul de racordare va fi echipat cu un grup de celule de MT cu izolatia in aer si stingerea arcului electric in SF6 si va avea urmatoarea configuratie: - o celula de linie motorizata 24 kV echipata cu separator de sarcina; - o celula de linie motorizata 24 kV echipata cu intrerupator si separator de sarcina. - o celula de masurare a energiei electrice, echipata cu doua transformatoare de masurare curent TC cu raport 400/5 A, cls 0,2S conform specificatiei tehnice si doua transformatoare de masurare tensiune cu raportul de 20/0,1 kV, cls 0,5S. Pentru integrarea punctului de conexiune in sistemul de telecontrol REM, in interiorul PC-ului se vor monta urmatoarele echipamente: ? tablou j.t. de servicii auxiliare, ? montarea de RGDAT -1 buc, ? Montare RGDMI-1buc ? UP 2020 LITE-1 buc, baterii acumulatori - 2 buc, ? Router Rugged pentru comunicatii 4G - CISCO IR1101, ? Swich-uri rugged CISCO, ? dulap pentru echipamente de telecomunicatii FT-045_TLC-M - TIP B si accesoriile de conectica: modul SFP CISCO GLC_FE-100LX-RGD de tip SM - FT-277_MAT, Patch-cord duplex LC/PC ? E2000 APC, PATCH-PANNEL FO MONOMODE pentru 24 fibre oprice - E2000/APC complet echipat, Patchcord ftp cat. 6e, (1m), Patch-cord ftp cat. 6e, (10m) . Echipamentele aferente sistemului de telecontrol se vor monta in rack. Se vor realiza legaturile intre RG-DAT, RGDMi si UP 2020 Lite de telecontrol (conexiune Ethernet). Se vor asigura sursele de alimentare 230/400 V c.a. din instalatiile de j.t. aferente Utilizatorului. TSA va fi alimentat din tabloul de joasa tensiune din instalatiile utilizatorului. Din TSA se va alimenta si instalatia de iluminat a punctului de conexiune. Unitatea periferica se va racorda la TSA. Celulele de linie vor fi prevazute cu rezistenta anticondens. In spatiul punctului de conexiune va fi prevazut loc de rezerva pentru a asigura posibilitatea extinderii in viitor a tabloului de medie tensiune . In punctul de conexiuni se va realiza o instalatie interioara de legare la pamant. Aceasta se va conecta la o priza de legare la pamant exterioara, a carei rezistenta de dispersie trebuie sa fie Rp ? 4?. Pentru protectia impotriva tensiunilor de atingere si de pas, masele echipamentelor se vor conecta la instalatia de legare la pamant pe toata durata existentei acestora. Intreaga instalatie de legare la pamant este cuprinsa in lucrarile in afara tarifului de racordare, pe investitia directa a benefiarului, care va raspunde de repararea, intretinerea si verificarea ei pe toata durata existentei. Racord subteran MT Noul punct de conexiune se va racorda in sistem intrare-iesire in LE 20 kV Irigatii (intre separatorul S1691 si stalpul 49B), prin sectionare LES 20 kV existent, in tronsonul mentionat si mansonarea cu LES 20 kV noua, realizata cu cablu subteran de Al, cu izolatie XLPE, 3x(1x185) mmp, protejat in tub Ø160mm, in lungime de 2x5m intre punctul de mansonare si PC 20 kV proiectat. Cablurile vor fi pozate conform ?Ghid pentru proiectarea si construc?ia liniilor în cablu subteran MT si JT ? elaborat de REM. Se vor folosi in celule de linie capete terminale. Pentru pregatirea instalarii fibrei optice, in santul in care se vor poza cablurile electrice de MT, se va poza si un tub suplimentar PEHD Ø 90 mm. Aportul capacitiv al noilor cabluri prevazute, (inclusiv utilizator) este de 0,87A. La amplasarea capacitatilor energetice se vor respecta zonele de protectie si zonele de siguranta conform Legii Energiei nr. 123/2012, Ord. ANRE nr. 239/2019 pentru aprobareaNormei tehnice privind delimitarea zonelor de protectie si de siguranta aferente capacitatilor energetice?, modificat si completat cu ORDIN nr. 225/2020, normativele PE 101A/1985, NTE 007/08/00. Cablurile vor fi pozate conform ?Ghid pentru proiectarea ?i construc?ia liniilor în cablu subteran MT si JT ? elaborat de REM, la o adancime de 0,9/1,2 m. Cablurile vor fi protejate in tuburi pliabile de 160 mmp, acoperite de un strat de 24 cm de nisip, peste care se va aseza folia avertizoare. Santul va avea o latime de maxim 50 cm. Dupa realizarea lucrarilor toate suprafetele afectate se vor aduce la starea intiala, dinaintea executiei. Zona de lucru se va delimita cu panouri de protectie, fiind ingradit accesul persoanelor neautorizate in aceesta zona. Nu se vor lasa santuri deschise pe perioada noptii. Coexistenta retelelor subterane Coexistenta retelelor electrice subterane cu alte retele subterane se va face conform NTE 007/08/00? Normativ pentru proiectarea?i executarea re?elelor de cabluri electrice, aprobat prin Ordinul nr. 38 din 20. 03. 2008 al pre?edintelui ANRE. Distantele fata de instalatiile edilitare in conformitate cu NTE 007/08/00 sunt: a) In plan orizontal: 0,5 m fata de apa si canal; 1,5 m fata de termoficare; 1,0 m fata de fluide combustibile; 1,0 m fata de gaze penbtru cablurile montate in tuburi 1,5 ? 3 m in functie de presiunea gazului; b) In plan vertical: 0,5 m fata de toate instalatiile. Dezafectare racord derivatie PA8450, inclusiv grupul de masura existent. Dupa punerea in functiune a noului punct de conexiune racordul derivatie aferent PA8450, se va desfiinta, inclusiv punctul de alimentare. Lucrari ce se realizeaza prin grija beneficiarului În prezent, Hala BUW 24 este alimentata cu energie electrica, conform CER RO001E301234339 / 2 din 20/10/2023, prin intermediul punctului de conexiune PC8450 din care se este alimentat PC1, din care se alimenteaza posturile de transformare PTAB1-20/0,4kV 1250kVA-BUW24, PTAB2-20/0,4kV 1250kVA-BUW24, PT3- 20/0,4kV 630kVA, PT4-20/0,4kV 630kVA, PT2-20/0,4kV 800kVA, PT5-20/0,4kV 800KVA. Racordul centralei fotovoltaice se va realiza in tablourile electrice generale existente ale beneficiarului aflate în posturile de transformare PTAB1-20/0,4kV 1250kVA, PTAB2- 20/0,4kV 1250kVA - ce alimenteaza cladirea BUW 24. Solutia de racord presupune realizarea a 2 tablouri electrice TE1+CEF, TE2+CEF, care vor contine toate elementele necesare realizarii conectarii noii unitati de producerea a energiie electrice pentru autoconsum si injectie in retea. In fiecare tabloul TE-CEF 1, 2 este prevazut pe legatura cu tablourile generale unde se racordeaza, un intreruptor motorizat impreuna cu un releu multifunctional care va realiza comanda (open/close) a motorului intreruptorului. Aceste intrerupatoare vor avea rol de dispozitiv de interfata, DI, si vor fi declansate prin intermediul releului multifunctional, prin urmatoarele protectii: - protectie maxima tensiune, valoare mediata 10 minute*: 1,1*Un/600+3 secunde; - protectie maxima tensiune: 1,15*Un/temporizata; - protectie minima tensiune : 0,85*Un/ temporizata; - protectie minima tensiune: 0,3*Un/ temporizata; - protectie maxima frecventa: 52 Hz/ temporizata; - protectie minima frecventa: 47,5 Hz/ temporizata. In cazul defectiunilor releului atasat dispozitiv de interfata sau in cazul lipsei alimentarii acestuia va fi declansat intrerupatorul de interfata. In cazul refuzului de declansare a intrerupatorului de interfata va declansa intrerupatorul adiacent din amonte (spre reteaua de distributie). Invertoarele vor avea pe tot timpul functionarii in paralel cu reteaua de distributie activata functia de antiinsularizare. Suplimentar se va monta cate un dulap sigilabil echipat complet cu grup de masura semidirecta (contor, cleme si conectica, TC-urile se vor monta in TE CEF) dimensionata pentru puterea debitata de fiecare TE ?CEF1, 2 in vederea montarii unui contor electronic. COMUNICATII In TE CEF1 si TE CEF2 se va monta cate un datalogger. De la fiecare datalogger prin intermediul cate unui switch, folosind suport de fibra optica, se vor transmite informatii de putere activa/reactiva, catre un PLC instalat intr-un dulap montat in PC nou prevazut. De la PLC catre Unitatea Periferica nou montata in PC nou, se vor folosi ie?irile analogice 4-20mA ale acestuia. Conversia si scalarea semnalelor de putere activa/reactiva, se va face in softul din PLC. Montare si echipare punct de conexiune PC nou - utilizator Se va monta si echipa un punct de conexiune(PC), in anvelopa de beton, amplasat in domeniul privat, proprietatea CTPARK ZETA S.R.L. Se vor respecta prevederile Politicii privind "Proiectarea ?i construirea instala?iilor de racordare a clien?ilor finali la ÎT, MT, JT" si normativul PE101/85 cu modificarile si completarile ulterioare. Beneficiarul va obtine acordul de la CTPARKZETA S.R.L. pentru amplasamentul noului punct de conexiune. Amplasamentul PC-ului va respecta zonele de protectie si de siguranta conform Ord. ANRE nr. 239/2019 pentru aprobarea Normei tehnice privind delimitarea zonelor de protectie si de siguranta aferente capacitatilor energetice?, modificat si completat cu Ord. ANRE nr. 225/2020. Punctul de conexiune va avea trei compartimente distincte: - Compartiment de racordare in care se vor amplasa celulele de medie tensiune si in care va avea acces numai personalul REM.; - Compartiment/nisa pentru masura energiei electrice consumate la care va avea acces atat personalul REM. cat si cel al beneficiarului; - Compartimentul utilizatorului in care se vor amplasa celulele de medie ale acestuia: celula cu Dispozitiv General (DG), L, CM si TSI. Punctul de conexiune se va amplasa in domeniul privat. Lungimea LES 20 kV cu sect. 95 mmp, va fi l? 20 m, între celula de m?sur? din compartimentul de racordare ?i celula de sosire dincompartimentul utilizatorului. Compartimentul beneficiarului se va echipa cu: -1 celula DG, mutata din PC utilizator existent, echipata cu separator de bare 24kV, 630A, 16 kA(1s), mediu de stingere in SF6, întreruptor 24kV, 630A, 16 kA(1s), mediu de stingere in VI</t>
  </si>
  <si>
    <t>18650467</t>
  </si>
  <si>
    <t>ASSET PORTOFOLIO MANAGEMENT SRL</t>
  </si>
  <si>
    <t>DEPOZIT REGIONAL PENNY MARKET</t>
  </si>
  <si>
    <t>MIHAILESTI</t>
  </si>
  <si>
    <t>19643632</t>
  </si>
  <si>
    <t>CORSO DISTRIBUTION CENTER S.R.L.</t>
  </si>
  <si>
    <t>Corso Distrbution Center</t>
  </si>
  <si>
    <t>19266667</t>
  </si>
  <si>
    <t>19727018</t>
  </si>
  <si>
    <t>ACADEMIA DE POLITIE ALEXANDRU IOAN CUZA</t>
  </si>
  <si>
    <t>Academia de politie Alexandru Ioan Cuza</t>
  </si>
  <si>
    <t>TIMPURI</t>
  </si>
  <si>
    <t>19879837</t>
  </si>
  <si>
    <t>LAUFER DRIVE IN MALL SRL</t>
  </si>
  <si>
    <t>SPATIU COMERCIAL</t>
  </si>
  <si>
    <t>19728307</t>
  </si>
  <si>
    <t>Statii incarcare vehicule electrice</t>
  </si>
  <si>
    <t>19877630</t>
  </si>
  <si>
    <t>ALI ATTAR IBRAHIM</t>
  </si>
  <si>
    <t>Bloc locuinte</t>
  </si>
  <si>
    <t>18077263</t>
  </si>
  <si>
    <t>Amplificare statie de transformare Pipera 110/20/1 doua transformatoare 110/20 kV 40 MVA noi si realizarea a doua sectii de bare 20 kV noi. </t>
  </si>
  <si>
    <t>19191209</t>
  </si>
  <si>
    <t>Amplificare statie de transformare Pipera 110/20/1 doua transformatoare 110/20kV, 40 MVA noi si realizarea a doua sectii de bare 20 kV noi.</t>
  </si>
  <si>
    <t>19596960</t>
  </si>
  <si>
    <t>TREEHOUSE RESIDENCE SRL</t>
  </si>
  <si>
    <t>Ans.locuinte-faza 1-corp A+B</t>
  </si>
  <si>
    <t>17774128</t>
  </si>
  <si>
    <t>NEWCOLD ROMANIA SRL</t>
  </si>
  <si>
    <t>DEPOZIT FRIGORIFIC</t>
  </si>
  <si>
    <t>Lucrari ce se vor realiza prin grija RETELE Lucrarile propuse sunt: montare 2 bobine fixe 200 A, IMS, 2 TSI-uri si 2 TFN in locul TFN-SA existente. </t>
  </si>
  <si>
    <t>CALAFAT INVESTRE S.R.L.</t>
  </si>
  <si>
    <t>19757332</t>
  </si>
  <si>
    <t>Sediul central STS</t>
  </si>
  <si>
    <t>12362075</t>
  </si>
  <si>
    <t>CRISTAL RESIDENCE SRL</t>
  </si>
  <si>
    <t>SPATIU COMERCIAL 1</t>
  </si>
  <si>
    <t>19531424</t>
  </si>
  <si>
    <t>VGP PARK BUCHAREST S.R.L.</t>
  </si>
  <si>
    <t>STEFSNESTII DE JOS-HALA 3 MODUL B</t>
  </si>
  <si>
    <t>19961576</t>
  </si>
  <si>
    <t>Imobil hotel + spatii comerciale</t>
  </si>
  <si>
    <t>DUDESTI CEL</t>
  </si>
  <si>
    <t>20106085</t>
  </si>
  <si>
    <t>LOGIPHARM DEVELOPMENT SRL</t>
  </si>
  <si>
    <t>CLADIRE MIXTA PT PRODUCTIE SI DEPOZITARE</t>
  </si>
  <si>
    <t>20106353</t>
  </si>
  <si>
    <t>G-UNION REAL ESTATE S.R.L.</t>
  </si>
  <si>
    <t>19445247</t>
  </si>
  <si>
    <t>ESTORIA DEVELOPMENTS SRL</t>
  </si>
  <si>
    <t>IMOBIL L2 DIN DOUA CORPURI ALIPITE</t>
  </si>
  <si>
    <t>18043048</t>
  </si>
  <si>
    <t>ADM REZIDENTIAL SRL</t>
  </si>
  <si>
    <t>ANSAMBLU IMOBILE LOCUINTE</t>
  </si>
  <si>
    <t>QUARTIER DU NORD S.R.L.</t>
  </si>
  <si>
    <t>17805325</t>
  </si>
  <si>
    <t>SLAVIA PHARM S.R.L.</t>
  </si>
  <si>
    <t>Hala de productie si depozitare</t>
  </si>
  <si>
    <t>20240682</t>
  </si>
  <si>
    <t>UTREC SA</t>
  </si>
  <si>
    <t>Cladiri galerii comerciale</t>
  </si>
  <si>
    <t>20269216</t>
  </si>
  <si>
    <t>MASTERANGE ROMANIA S.R.L.</t>
  </si>
  <si>
    <t>PC SIG ANSAMBLU</t>
  </si>
  <si>
    <t>21019431</t>
  </si>
  <si>
    <t>ANSAMBLU REZIDENTIAL SI DOTARI AFERENTE LOCUIRII, BL. A SI B</t>
  </si>
  <si>
    <t>19752699</t>
  </si>
  <si>
    <t>CEF Baba Ana</t>
  </si>
  <si>
    <t>SOLAR PARC RENEWABLE ENERGY SRL</t>
  </si>
  <si>
    <t>racord intrare ieșire in LEA 400 kV Teleajen - Stâlpu</t>
  </si>
  <si>
    <t>96/30633</t>
  </si>
  <si>
    <t>97/33473</t>
  </si>
  <si>
    <t>GEENET PLANT SRL</t>
  </si>
  <si>
    <t>IS Stupărei</t>
  </si>
  <si>
    <t>Vâlcea</t>
  </si>
  <si>
    <t>Stupărei</t>
  </si>
  <si>
    <t>racord in statia 220/110 kV Stupărei</t>
  </si>
  <si>
    <t>CEF UIVAR 3</t>
  </si>
  <si>
    <t>CEF UIVAR 4</t>
  </si>
  <si>
    <t>CEF UIVAR 5</t>
  </si>
  <si>
    <t>CEF UIVAR 6</t>
  </si>
  <si>
    <t>400/110 kV Săhăteni</t>
  </si>
  <si>
    <t>DANUBE SOLAR SEVEN SRL</t>
  </si>
  <si>
    <t>(400)/220/110 kV Săcălaz</t>
  </si>
  <si>
    <t>racord prin intermediul unui LES 400 kV in statia (400)/220/110 kV Săcălaz</t>
  </si>
  <si>
    <t>126/37676</t>
  </si>
  <si>
    <t>127/37676</t>
  </si>
  <si>
    <t>128/37676</t>
  </si>
  <si>
    <t>129/37676</t>
  </si>
  <si>
    <t>IS Ișalnița</t>
  </si>
  <si>
    <t>Ișalnița</t>
  </si>
  <si>
    <t>PB GREEN ENERGY SOLUTIONS SRL</t>
  </si>
  <si>
    <t xml:space="preserve">racordare in statia 220/110 kV Isalnita prin intermediul unui cablu de 220 kV avand lung de 2200 m </t>
  </si>
  <si>
    <t>132/37733</t>
  </si>
  <si>
    <t>138/40836</t>
  </si>
  <si>
    <t>actualizare ATR (CEF+IS)</t>
  </si>
  <si>
    <t>IS DOROBANTU</t>
  </si>
  <si>
    <t>CENTRU COMERCIAL IKEA</t>
  </si>
  <si>
    <t>110/20 REGIE</t>
  </si>
  <si>
    <t>EXPERT ENERGY DISTRIBUTION SRL</t>
  </si>
  <si>
    <t>VERNESTI</t>
  </si>
  <si>
    <t xml:space="preserve"> LEA 20kV S.I. Candesti-Satuc, statia 110/20kV Vernesti</t>
  </si>
  <si>
    <t>GREEN FARM TECHNOLOGY SRL</t>
  </si>
  <si>
    <t>CILIBIA</t>
  </si>
  <si>
    <t>LEA 20 kV Caragele</t>
  </si>
  <si>
    <t>PVSR BUCHAREST III SRL</t>
  </si>
  <si>
    <t xml:space="preserve"> LEA 20 KV GAESTI 1</t>
  </si>
  <si>
    <t>BUTIMANU ENERGY STATION 2 SRL</t>
  </si>
  <si>
    <t>COJASCA</t>
  </si>
  <si>
    <t>LEA 110 kV Mavrodin - Târgoviște</t>
  </si>
  <si>
    <t>MN9283</t>
  </si>
  <si>
    <t>MHC WATER POWER SA</t>
  </si>
  <si>
    <t>CELULA Q4K STATIA DE TRANSFORMARE 110/20 kV VEGA,</t>
  </si>
  <si>
    <t>MN9880</t>
  </si>
  <si>
    <t>MYT HOLDCO CLEAN ENERGY S.R.L.</t>
  </si>
  <si>
    <t>LEA 110 kV Târgoviște – Mavrodin</t>
  </si>
  <si>
    <t>S&amp;A GLOBAL SOLUTIONS S.R.L.</t>
  </si>
  <si>
    <t>la barele statiei 110/20 kV Port Braila,</t>
  </si>
  <si>
    <t>ORGANIZATIA UTILIZATORILOR DE APA PENTRU IRIGATII SPP3 4 MAICANESTI</t>
  </si>
  <si>
    <t>MAICANESTI</t>
  </si>
  <si>
    <t>LEA 20 KV IRIG MAICANESTI</t>
  </si>
  <si>
    <t>ELEKTLUM S.R.L.</t>
  </si>
  <si>
    <t>Statia 110/20 kV Carei Unio</t>
  </si>
  <si>
    <t>Statia 110/20 kV Alesd</t>
  </si>
  <si>
    <t>SOLAR TECH EXPERIENCE S.R.L.</t>
  </si>
  <si>
    <t>a LEA 110 kV Sudrigiu - Oradea SUD</t>
  </si>
  <si>
    <t>GREEN EARTH TEHNO SRL</t>
  </si>
  <si>
    <t>LEA 110 kV Sudrigiu - Oradea SUD</t>
  </si>
  <si>
    <t>DAX PRO POWER CONCEPT S.R.L.</t>
  </si>
  <si>
    <t>LEA 20 kV Targu Lapus - Oras 1 alimentata din Statia 110/20 kV Targu Lapus</t>
  </si>
  <si>
    <t>SC VALSECMAR SRL</t>
  </si>
  <si>
    <t>MAIERU</t>
  </si>
  <si>
    <t>LEA 20 kV Rodna-Singeorz Bai 2</t>
  </si>
  <si>
    <t>LES 20 kV Distribuitorul PA 8 din Statia 110/20 kV Republica, intre PT 79 si PT 111,</t>
  </si>
  <si>
    <t>(POD) - PERIOADA DE PROBE - CENTRALA ELECTRICA FOTOVOLTAICA (CEF) EVORA CENTER - P=3 MW</t>
  </si>
  <si>
    <t>TS12223</t>
  </si>
  <si>
    <t>Sibiu</t>
  </si>
  <si>
    <t>LEA 20 kV Bruiu din Statia 110/20 kV Agnita (zona stalpilor 360 - 367), LEA 20 KV AGNITA-BRUIU</t>
  </si>
  <si>
    <t>actualizeaza ATR nr. 7020220511712 / 05.01.2023</t>
  </si>
  <si>
    <t>CENTRALA ELECTRICA FOTOVOLTAICA (CEF)  _ (IS) PETELEA 1</t>
  </si>
  <si>
    <t>CENTRALA ELECTRICA FOTOVOLTAICA (CEF) _ (IS) PETELEA 2</t>
  </si>
  <si>
    <t>SC VOVE ENERGY SRL</t>
  </si>
  <si>
    <t>LEA 20 kV Intorsura, din Statia Prejmer</t>
  </si>
  <si>
    <t>CENTRALA ELECTRICA FOTOVOLTAICA (CEF) _ (IS) PREJMER 2</t>
  </si>
  <si>
    <t>BATLAS HOLDING KFT SOSKUTSUCURSALA HARGHITA</t>
  </si>
  <si>
    <t>Harghita</t>
  </si>
  <si>
    <t>a PA1 Remetea existent, celula nr. 8, PA 1 20/0,4 KV REMETEA</t>
  </si>
  <si>
    <t>TS12344</t>
  </si>
  <si>
    <t>TRANSALPINA FAN SRL</t>
  </si>
  <si>
    <t>PIANU DE JOS</t>
  </si>
  <si>
    <t>LEA 20 kV Sebes 3</t>
  </si>
  <si>
    <t>ALPHA BUILDERS GROUP S.A.</t>
  </si>
  <si>
    <t>Neptun</t>
  </si>
  <si>
    <t>KOVACS &amp; HEGYES SRL</t>
  </si>
  <si>
    <t>Centrala Electrica Fotovoltaica Nadlac 2,1 MW</t>
  </si>
  <si>
    <t>A20 NADLAC-SEMLAC AR</t>
  </si>
  <si>
    <t>Realizarea lucrărilor de întărire cu caracter gene criteriului cu N elemente in functiune in RED 110 kV:
- Reconductorare LEA 110 kV Semlac - Arad – 52,7 km, cu conductor 185 mmp; Imin=850A
- Montare grup de tratare neutru cu BS 30-200 A +TFN SA in statia 110/20 kV Semlac
Realizarea lucrărilor de întărire cu caracter general pentru respectarea criteriului cu N elemente in functiune in RET:
- Amplificare Trafo 1 250 MVA 400/110kV in Statia 400/220/110 kV Arad cu trafo 400/110 kV -400 MVA (lucrarea care nu este inclusa in Planul de Dezvolatare CNTEE Transelectrica)
Realizarea lucrărilor de întărire cu caracter general pentru respectarea criteriului cu N-1 elemente in functiune in RED 110 kV: (RABD Saninicolau Mare conectat)
- Reconductorare LEA 110 kV Semlac-Sânnicolau, 26 km cu conductor cu capacitate mărită de transport I limit = 850 A
- Reconductorare LEA 110 kV Sânnicolau Mare-Lovrin, 14,4 km cu conductor cu capacitate mărită de transport I limit = 850 A
- Reconductorare LEA 110 kV Lovrin-Cărpiniș, 22,4 km cu conductor cu capacitate mărită de transport I limit = 850 A
- Reconductorare LEA 110 kV Cărpiniș-Săcălaz, 24,6 km cu conductor cu capacitate mărită de transport I limit = 850 A
Realizarea lucrărilor de întărire pentru respectarea criteriului cu N-1 elemente in functiune in RET:
- Amplificare Trafo 2 250 MVA 400/110kV in Statia 400/220/110 kV Arad cu trafo 400/110 kV -400 MVA(lucrarea care nu este inclusa in Planul de Dezvolatare CNTEE Transelectrica)
Evaluarea lucrărilor de întărire:
Valoarea estimata a lucrarilor enuntate la pct.3.2 pe baza de indici conform art. 44 din Ordinul ANRE 11/2014 este de: T(I)=Sn x i Art. 41.
- In situatia in care punctul de racordare este la medie tensiune, intr-o linie electrica aeriana, tariful specific pentru calculul componentei Ti a tarifului de racordare se noteaza i5 si se stabileste utilizand urmatoarea formula:
 i5 = iMTA + iST110/MT [lei/MVA]= 97.000 + 432.000 = 529.000 lei
(Ti)calcul=529.000x 2,289MW = 1.210.881 lei fara TVA.
- Valoarea Ti calculata pe baza de deviz general aferenta OD/OTS cu lucrari de intarire la N si N-1 fara limitare operationala:
 (Ti)deviz = 133.054.068 lei fara TVA din care:
La N elemente:
(Ti)deviz = 56.117.034 lei fara TVA din care: Ti OD = 31.620.000 lei fara TVA Ti OTS=24.497.034 lei fara TVA
La N-1 elemente:
 (Ti)deviz = 76.937.034 lei fara TVA din care:
Ti OD = 52.440.000 lei fara TVA Ti OTS=24.497.034 lei fara TVA
Termenul posibil de realizare a lucrărilor de intarire in RED 110kV+ MT este 3.729 zile lucratoare, la N si N-1 elemente (fara limitare operationala), de la momentul obtinerii obtinerii avizelor si autorizatiilor de construire.
S-a calculat timpul necesar realizarii lucrarilor de intarire pentru racordarea centralei CEF Nadlac 3 KOVACS astfel:
- La N: 1x10 luni x 22 zile lucratoare + 15 zile/km x 52,7 km = 1.010 zile lucratoare 528 zile lucratoare (amplificare grup tratare)
- La N-1: 4x10luni x 22 zile lucratoare + 15 zile/km x 87,4 km = 2.191 zile lucratoare.
Astfel valoarea componentei T(I) care se va considera la calculul tarifului de racordare este :
 Ti= minim ((Ti)ss ; (Ti)calcul)= min (133.054.068 lei fara TVA; 1.210.881 lei fără TVA) = 1.210.881 lei fara TVA</t>
  </si>
  <si>
    <t>DACIA SOLAR SRL</t>
  </si>
  <si>
    <t>PARC FOTOVOLTAIC, IMPREJMUIRE SI RACORDARE LA S.E.N.</t>
  </si>
  <si>
    <t>LEA 110KV HASDAT-PUI CFR</t>
  </si>
  <si>
    <t xml:space="preserve">  Realizarea lucrărilor de întărire cu caracter gene criteriului cu N elemente în funcțiune în RED 110 kV:
Retele Electrice Banat: Varianta 1:
- Reconductorarea LEA 110 kV Hasdat - Hateg (20,5km) cu conductor cu capacitate mărită de transport I limit = 850 A
Realizarea lucrărilor de întărire cu caracter general pentru respectarea criteriului cu N-1 elemente în funcțiune în RED 110 kV:
Retele Electrice Banat: Varianta 1:
- Reconductorarea LEA 110 kV Hasdat – CFR Pui (38,5km) cu conductor cu capacitate mărită de transport I limit = 850 A;
Punerea sub tensiune in ipotezele analizare in studiul de solutie a CEF Rusor este conditionata de realizarea lucrarilor, necesare pentru respectarea criteriului cu N-1 elemente in functiune.
Utilizatorul a optat pentru prevederile ord. 81/2022 cu referire la limitarea operationala tinand cont de contingentele la care au rezultat suprasarcini in RED.
Instalația de automatizare se va realiza prin intermediul unei aplicații instalate în sistemul SCADA propriu al CEF .
În vederea securizării unei temporizări totale care să nu pună în pericol menținerea siguranței în functionare a SEN va fi avută în vedere funcționarea/acționarea logicii de limitare automată a puterii generate prin monitorizare contingențe cu deconectarea CEF .
Echipamentele din componența ALO care comandă limitarea puterii evacuate se instalează la utilizator, în centrală și în instalațiile OD/OTS.
Monitorizarea in timp real a contingentei periculoase pe un element de retea necesita montarea unui echipament de culegere, prelucrare si transmitere date, de tip Remote Terminal Unit (RTU) in statiile de transformare.
Utilizatorul va asigura achiziția și montarea echipamentelor de automatizare pentru limitarea operationala, in RET/RED (dupa caz) și în instalațiile proprii.
Automatizarea limitării operaționale a puterii centralei electrice CEF Rusor va conține pe lângă elementele fizice (echipamentele necesare instalației de automatizare) și calea de comunicație fibră optică, abonament de date plătit (cartelă) în cazul comunicației de tip GPRS sau similar (calea de comunicare între automatizarea de limitare a puterii centralei și echipamentele care transmit datele culese de pe elementele de rețea monitorizate).
Pentru a putea transmite on-line poziția întreruptorului este necesar un abonament de date la un operator de telefonie mobilă, abonament de tip APN cu IP fix (static).Costul abonamentului va fi suportat integral de către Utilizator pentru toate instalațiile montate in RET/RED și în instalațiile proprii.
Pierderea comunicatiei sau orice eroarea de comunicatie conduce la deconectarea intrerupatorului din statia de transformare a centralei electrice. Solutia tehnica propusa este de a se instala urmatoarele echipamente:
- un RTU pe bara de 110kV din statia 220/110kV Hasdat a OTS care sa urmareasca pozitia intreruptorului aferent LEA 110kV Hateg si prin sistemul de comunicatie prin GSM ( la minim doi operatori) sa dea comanda pana la CEF Rusor de reducere a puterii debitate la 0 MW.
- un RTU in statia 110/20kV Hateg a OD care sa urmareasca pozitia intreruptorului aferent LEA 110kV Hasdat si prin sistemul de comunicatie prin GSM ( la minim doi operatori) sa dea comanda pana la CEF Rusor de reducere a puterii debitate la 0MW.
- un RTU cu comunicatie GSM in statia CEF Rusor care sa preia semnalele primite din statiile Hasdat si Hateg si sa comande deconectarea invertoarelor din CEF Rusor.
Echipamentele de automatizare vor fi montate în cabinele de relee/camera de comanda unde se află dulapurile de control și protecție aferente celulelor LEA 110 kV/LEA 400 kV din statii.
Automatizarea de limitare operationala a puterii centralei va monitoriza toate elementele de retea rezultate din analiza de sistem pentru regimul cu N-1 elemente in functiune, care prin iesirea acestora din functiune au ca efect apariția de suprasarciniîn rețea și, în consecință, imposibilitatea elementelor rețelei rămase în funcțiune și a rețelei în ansamblul ei de a funcționa pe timp nelimitat în aceste condiții si va limita operational puterea maxima ce poate fi evacuata de centrala in retea.
In situatia in care comunicatia prin GSM (minim 4G) nu va asigura timpii de deconectare conform normativelor in vigoare de la data PIF a centralei, calea de comunicatie se va asigura prin fibra optica ale carei costuri de instalare si mentenanta se vor asigura de catre beneficiarul centralei CEF Rusor.
Utilizatorul nu poate solicita si primi de la operatorul de rețea despăgubiri pentru energia electrică ce nu a fost produsă și livrată în rețea pe perioada limitării. Implementarea, licenta, parametrizarea, punerea in functie, testele de PIF, mentenanta, asigurarea comunicatiei aferenta automatizarii de limitare operationala a puterii centralei implementate vor fi asigurate de catre utilizator pe cheltuiala acestuia. Utilizatorul este raspunzator de functionare corecta a automatizarii de limitare operationala a puterii centralei pe intreaga durata de existenta a parcului centralei electrice.
Automatizarea de limitare operațională a puterii centralei va monitoriza toate elementele de rețea rezultate din analiza de sistem pentru regimul cu N-1 elemente în funcțiune, care prin ieșirea acestora din funcțiune au ca efect apariția de suprasarcini în rețea și, în consecință, imposibilitatea elementelor rețelei rămase în funcțiune și a rețelei în ansamblul ei de a funcționa pe timp nelimitat în aceste condiții și va limita operațional puterea maximă ce poate fi evacuată de centrală în rețea.
În situația în care comunicația prin GSM (minim 4G) nu va asigura timpii de deconectare conform normativelor în vigoare de la data PIF a centralei, calea de comunicație se va asigura prin fibră optică ale cărei costuri de instalare și mentenanță se vor asigura de către beneficiarul CEF Rusor.-  Echipamentele aferente sistemului de automatizare pentru limitarea operaționala se vor instala in urmatoarele statii:
OD
Statia 110/20 kV Hateg
OTS –CNTEE Transelectrica S.A.
Statia 400/110 kV Hasdat
Valoarea estimată a lucrărilor enunțate  pe bază de indici conform art. 44 din Ordinul ANRE 11/2014 este de:
T(I)=Sn x I
Varianta 1:
“Art. 44. — (1) În situația în care punctul de racordare este la 110 kV, într-o linie electrică sau pe bara de 110 kV a unei stații de transformare 110/MT sau 400/110 kV, tariful specific pentru calculul componentei TI a tarifului de racordare se notează i8 çi se stabileçte utilizând următoarea formulă: i8 = iLE110 + iST400/110 [lei/MVA]”:
I8 = 231.000lei/MVA + 283.000lei/MVA = 514.000 lei/MVA
Costul total al intaririlor pentru racordare este de:
514.000lei/MVA x 46,626= 23.965.764 lei
a). Valoarea Ti calculată pe bază de deviz general aferentă OD/OTS cu lucrări de întărire la N și N- 1:
Varianta 1:
(Ti)SS = (Ti)N_elemente+(Ti)_N-1_elemente =12.819.830lei+22.754.910lei = 35.574.740lei fără TVA, din care:
La N elemente:
(Ti)SS = 12.819.830lei fără TVA din care:
Ti RED= 12.819.830 lei fara TVA
Ti OTS = 0 lei fără TVA
La N-1 elemente:
(Ti)SS =22.754.910lei fără TVA din care:
Ti RED =22.754.910 lei fara TVA
Ti OTS = 0lei fara TVA
Termenul posibil de realizare a lucrărilor de intarire in RED este 1325 zile lucratoare (varianta 1), la N si N-1 elemente (fara limitare operationala), de la momentul obtinerii obtinerii avizelor si autorizatiilor de construire.
S-a calculat timpul necesar realizarii lucrarilor de intarire pentru racordarea CEF astfel:
La N: 1x10 luni x 22 zile lucratoare + 15 zile/km x 20,5 km = 528 zile lucratoare pentru reconductorari LEA 110 kV .
La N-1: 1x10 luni x 22 zile lucratoare + 15 zile/km x 38,5 km = 798 zile lucratoare pentru reconductorari LEA 110 kV
Nu sunt inclusi timpii de obtinere a avizelor si acordurilor proprietarilor.
b) Valoarea lucrarilor de realizare automatica de limitare/deconectare a centralei CEF Rusor pentru respectarea criteriului N-1 elemente in functie:
Costul realizarii limitarii operationale este:
Automatica de deconectare in instalatiile OD= 362.120 lei fara TVA (REB)
Automatica de deconectare in instalatiile OTS= 278.135 lei fara TVA
Total cost automatica de deconectare OD+OTS: Ti_limitare_op = 640.255 lei fara TVA
Astfel valoarea componentei T(I) care se va considera la calculul tarifului de racordare este:
Ti =min (35.574.740lei; 23.965.764lei) = 23.965.764lei fara TVA
T(I) = min ((Ti)N_elemente+Ti_limitare_op; Ti) = min (12.819.830lei + 640.225lei; 23.965.764lei ) =13.460.055 lei fara TVA
Timpii de executie estimati pentru lucrarile necesare in instalatiile Retele Electrice Banat necesare realizarii limitarii operationale este de 432 de zile lucratoare de la momentul realizarii platii integrale a componentei Ti.</t>
  </si>
  <si>
    <t>CITY OF MARA DOI S.A.</t>
  </si>
  <si>
    <t>Imobil M11 S+P+11E 86 apartamente si 5 SAd-uri, imobil M12 S+P+11E 87 apartamente si 5 SAd-uri si imobil M13 S+P+4E spatii sport</t>
  </si>
  <si>
    <t>S20 NR.3-CETATE TM</t>
  </si>
  <si>
    <t>Substatie de tractiune electrica CFR Radna</t>
  </si>
  <si>
    <t>LIPOVA 110/20KV</t>
  </si>
  <si>
    <t>GREEN NEW ENERGY GANEASA SRL</t>
  </si>
  <si>
    <t>CEF GANEASA</t>
  </si>
  <si>
    <t>AFUMATI 110/20 KV</t>
  </si>
  <si>
    <t>Conform aviz CTE nr.  31/1/18.06.2024- Varianta 2, faza studiu de solutie si anume: Varianta 2 - racordare in antena pe bara 20kV verde celula 18 din st.110/20kV statia Afumati Lucr?ri pe tarif de racordare: - Lucrari in statia 110/20kV Afumati -Parametrizari celula Nr. 18 Rezerva bara verde + probe -Achizitionare relee -Achizitionare intreruptor debrosabil celula Nr. 18 Rezerva Bara Verde Statia Afumati - Montare si achizitionare TC pentru contorul de balanta din cadrul Statiei. - Racord 20kV proiectat - LES 20kV +FO nou proiectata cu cablu Al 3x(1x185) mmp, cu izolatie XLPE in lungime de 80m pozat intre celula nr.18 si PC 20kV amplasat langa statia 110/20kV Afumati La amplasarea Punctului de conexiune se va avea in vedere o termoscanare a zonei pentru eventualele devieri ale LES 20 kV plecare din Statia Afumati. - PC 20kV proiectat ,,Montare punct de conexiune (PC) 20 kV in apropierea sta?iei 110/20 kV Afumati cu domeniul public echipat cu 2 compartimente (1 compartiment apar?ine OD ?i 1 compartiment apar?ine utilizatorului); ,,Echiparea compartimentului de racordare al punctului de conexiuni 20 kV cu instala?iile aferente operatorului de re?ea (apar?ine OD): ,,1 celul? de linie motorizat? 24 kV, 630A, 16 kA cu separator de sarcina în SF6 ?i CLP conform specifica?iei OD; ,,1 celul? de m?sur? conform specifica?iei OD cu separator ?i grup de m?sur? format din dou? transformatoare de tensiune 20/0,1 kV, clasa de precizie 0,2 ?i dou? transformatoare de curent de 400/5A, clasa de precizie 0,2S si contor electronic trifazat static (afi?aj LCD), In=5(6)A , Un=3x100/57V, clasa de precizie 0,2s dotate cu curba de sarcin? ?i interfa?? de comunica?ie RS 232 ?i modul comunica?ie GSM amplasat într-o cutie de m?sur?; cutia de m?sur? se va amplasa într-o ni?? cu posibilitatea vizualiz?rii atât de c?tre OD, cât ?i de c?tre beneficiar. ,,Integrarea în telecontrol a celulei de linie ?i m?sur? din PC 20 kV proiectat, prin montarea de RGDAT-1 buc , UP 2020 LITE-1 buc, baterii acumulatori -2 buc, TSA-1 buc, Router rugged pentru comunica?ii 4G ? CISCO IR1101, Swich-uri rugged CISCO IE-4000-8S4G-E, dulap pentru echipamente de telecomunica?ii FT-045_TLC-M_ed02 ? TIP B ?i accesoriile de conectic?: Modul SFP CISCO GLC_FE-100LX-RGD de tip SM, FT-277_MAT ? 2 buc, Patch-cord duplex LC/PC ? E2000 APC, 2m ? 2 buc, PATCH-PANNEL FO MONOMODE pentru 24 fibre optice ? E2000/APC complet echipat ? 2 buc, Patch-cord ftp cat. 6e (lungime 1 m), Patch-cord ftp cat. 6e (lungime 10 m) Lucr?ri ce se realizeaz? prin grija beneficiarului: ?,,Cl?direa Punct de Conexiune (PC) se va realiza prin grija utilizatorului ?i va r?mâne în proprietatea utilizatorului. Amplasarea acesteia va fi în apropierea sta?iei electrice 110/20kV Afumati, la o distan?? de circa 9,5km, pe un teren care va permite accesul Operatorului de Distribu?ie la Cl?direa PC va fi compus? din: - Compartiment de racordare (Retele Electrice Muntenia) pentru instala?iile electrice din gestiunea Retele Electrice Muntenia SA. Gabaritul compartimentului de racordare va permite montarea a înc? unei celule de linie. Compartimentul de racordare va fi cu ac?ionare din interior ?i cu acces direct din exterior, din drumul public din zon?, ?i va fi echipat conform descrierii de mai sus. - Compartiment Utilizator pentru instala?iile electrice ale utilizatorului: - LES 20 kV Cu 3x1x95 mm2, L ~ 20 m, între celula de m?sur? din compartimentul de racordare ?i celula de sosire din compartimentul utilizatorului, - 1 buc. celul? de linie cu întreruptor general (DG) ?i separator, cu trei transformatoare de curent de 100/5 A, clasa de precizie 0,5s ?i transformator de curent homopolar 100/1A ?i releu de protec?ie. Releul de protec?ie va asigura urm?toarele protec?ii: - protec?ie maximal? de curent cel pu?in pe dou? faze, cu trei trepte. Prima treapt? se folose?te împotriva suprasarcinii, a doua pentru o func?ionare temporizat? ?i a treia pentru o interven?ie rapid?, - protec?ie homopolar? direc?ional? cu dou? trepte (o treapt? pentru punerile la p?mânt simple, ?i a doua treapt? pentru duble puneri la pamânt) - 1 buc. celul? de linie cu întreruptor general ?i separator- dispozitivul de interfa?? (DI) în compartimentul utilizatorului, plecare spre PT 1, echipat? cu trei transformatoare de tensiune 20/0,1 kV, clasa de precizie 0,5, trei transformatoare de curent de 100/5A, clasa de precizie 0,5s ?i un releu de protec?ie. Releul de protec?ie va asigura urm?toarele func?ii: - functia de protec?ie minim?/maxim? tensiune în 2 trepte, - functia de protec?ie de frecven?? minim?/maxim? în 2 trepte, - func?ia de protec?ie maxim? de tensiune mediate la 10 minute. Tot în celula DI se va monta ?i un analizor pentru monitorizarea calit??ii energiei electrice, de clas? A. ?,,Serviciile interne în compartimentul de racordare se vor asigura din transformatorul monofazat de 4 kVA montat în compartimentul utilizatorului, dup? întrerup?torul general (DG), spre produc?tor Încompartimentul utilizator, se vor instala traductoarele de putere activ?, P, putere reactiv?, Q, frecven??, f ?i tensiune U montate în compartimentul utilizator. Acestea se vor racorda în circuitele de m?sur? ale transformatoarelor de curent ?i de tensiune. Semnalele de ie?ire ale traductoarelor, împreun? cu cel de pozi?ie al dispozitivului general DG, vor fi disponibile într-un ?ir de cleme. De la ?irul de cleme pân? la UP 2020 LITE amplasat în compartimentul OD, semnalele vor fi transmise printr-un cablu special ecranat, care va face parte împreun? cu traductoarele, din instala?ia de utilizare. Lungimea cablului nu trebuie s? dep??easc? 20m. Astfel este necesara integrarea in sistemul de telecontrol/SCADA existent al Retele Electrice Muntenia si transmiterea urmatoarelor informatii aferente CEF: -Puterea active P -Puterea reactiva Q -Tensiunea U -Frecventa f -pozitie intreruptoare DI CEF; ,,LES 20kV realizata cu cablu NA2XS(FL)2Y 12/20 kV, 3*1*95 mmp cuizola?ie din polietilen? reticulat? (XLPE in lungime de 9,5km intre PC 20kV si CEF ,,Posturi de transformare cu putere unitara sub 2 MVA; ,,Asigurare accesului la PC 20 kV CEF proiectat pentru OD. ,,Priza de legare la p?mânt a PC 20 kV proiectat  </t>
  </si>
  <si>
    <t>18269208</t>
  </si>
  <si>
    <t>CTPARK MIU SRL</t>
  </si>
  <si>
    <t>DEPOZIT-CTPark BUCHAREST SOUTH II</t>
  </si>
  <si>
    <t>18915598</t>
  </si>
  <si>
    <t>SC CENTRAL EASTERN REAL ESTATE SERVICES SRL</t>
  </si>
  <si>
    <t>AEE Platforma industriala</t>
  </si>
  <si>
    <t>19635982</t>
  </si>
  <si>
    <t>S.C. HORNBACH CENTRALA S.R.L.</t>
  </si>
  <si>
    <t>SEDIU CENTRAL</t>
  </si>
  <si>
    <t>20286538</t>
  </si>
  <si>
    <t>SPITALUL CLINIC DE URGENTA BAGDASAR-ARSENI</t>
  </si>
  <si>
    <t>centru de oncologie si radiologie stereotactica</t>
  </si>
  <si>
    <t>24377693</t>
  </si>
  <si>
    <t>24443872</t>
  </si>
  <si>
    <t>Warehouses de Pauw Romania S.R.L.</t>
  </si>
  <si>
    <t>AEE Unitate depozitare Stefanestii de Jos</t>
  </si>
  <si>
    <t>24373416</t>
  </si>
  <si>
    <t>KERN-LIEBERS ROMANIA SRL</t>
  </si>
  <si>
    <t>24302042</t>
  </si>
  <si>
    <t>IDODO CORBEANCA SRL</t>
  </si>
  <si>
    <t>19575817</t>
  </si>
  <si>
    <t>Amplificare statie 110kV/20kV Pipera prin montarea transformatoare 110kV/20kV de 40MVA si realizarea a doua sectii de bare 20kV. Termen pentru realizarea lucrarilor este de 720 zile.</t>
  </si>
  <si>
    <t>IBB IMOBILIARE ROMANIA SRL</t>
  </si>
  <si>
    <t>IMOBIL LOCUINTE COLECTIVE-B5 si B6</t>
  </si>
  <si>
    <t>19764183</t>
  </si>
  <si>
    <t>Amplificare statie 110kV/20kV Pipera prin montarea transformatoare 110kV/20kV de 40MVA si realizarea a doua sectii de bare 20kV. Termen pentru realizarea lucrarilor este de 720 zile. Valoare lucrarilor de 19.045.451,49 lei fara TVA.</t>
  </si>
  <si>
    <t>TRIUMPH REAL ESTATE SRL</t>
  </si>
  <si>
    <t>Imobil Locuinte</t>
  </si>
  <si>
    <t>20078997</t>
  </si>
  <si>
    <t>Se va realiza un racord MT intre T5074 si T3429.</t>
  </si>
  <si>
    <t>COMPANIA DE APA OLTENIA SA</t>
  </si>
  <si>
    <t xml:space="preserve"> PTCZ TEXTILA 3 SI PTCZ TEXTILA 4</t>
  </si>
  <si>
    <t>PAPUCII CABLULUI 20kV SOSIRE IN PTCZ POMPE APA ORAS CALAFAT DIN  PTCZ TEXTILA 3 SI PTCZ TEXTILA 4</t>
  </si>
  <si>
    <t>Pif estimat 26.08.2025</t>
  </si>
  <si>
    <t>UNIVERSITATEA DIN CRAIOVA</t>
  </si>
  <si>
    <t>ST. 110/20 kV Craiova Est</t>
  </si>
  <si>
    <t>In celula de 20kV (INCESA) existenta in ST. 110/20 kV Craiova Est</t>
  </si>
  <si>
    <t xml:space="preserve"> PK EMERALD SRL</t>
  </si>
  <si>
    <t>PTCZ 20 KV STATIA 1 MALL</t>
  </si>
  <si>
    <t>in Celula de linie 20 kV din PC 20 kV PK Emerald</t>
  </si>
  <si>
    <t>8600081256</t>
  </si>
  <si>
    <t>CLUSTER SENSE SRL</t>
  </si>
  <si>
    <t>8600081257</t>
  </si>
  <si>
    <t>IS Iaz</t>
  </si>
  <si>
    <t>ENERGY CAPITAL GROUP SRL</t>
  </si>
  <si>
    <t>Caras-Severin</t>
  </si>
  <si>
    <t>220/110 kV Iaz</t>
  </si>
  <si>
    <t>racordare pe bara de 110 kV a statiei 220/110 kV Iaz prin intermediul unei celule de 110 kV dedicate</t>
  </si>
  <si>
    <t>147/43372</t>
  </si>
  <si>
    <t>SC BETTY ICE SRL</t>
  </si>
  <si>
    <t>FABRICA INGHETATA</t>
  </si>
  <si>
    <t>110/20 ITCANI</t>
  </si>
  <si>
    <t>SPOR DE PUTERE DE LA 1000 KW</t>
  </si>
  <si>
    <t>LOCUINTE INDIVIDUALE</t>
  </si>
  <si>
    <t>110/20 MILCOV</t>
  </si>
  <si>
    <t>SOCIETATEA DE ADMINISTRARE APARTICIPATIILOR IN ENERGIE SA</t>
  </si>
  <si>
    <t>VALEA CALUGAREASCA</t>
  </si>
  <si>
    <t>Statia de transformare 110/20kV Valea Calugareasca</t>
  </si>
  <si>
    <t>MN10314</t>
  </si>
  <si>
    <t>PIRUBY SRL</t>
  </si>
  <si>
    <t>, LEA 20 KV CIORASTI VN</t>
  </si>
  <si>
    <t>MN10800</t>
  </si>
  <si>
    <t>SC ENERGY BEAM SOLUTIONS SRL</t>
  </si>
  <si>
    <t>buzau</t>
  </si>
  <si>
    <t>ST. BUZAU CRANG 110/20 KV</t>
  </si>
  <si>
    <t>MN9128</t>
  </si>
  <si>
    <t>MUNICIPIUL TURDA</t>
  </si>
  <si>
    <t>Cluj</t>
  </si>
  <si>
    <t>Statia de Transformare 110/20/6 kV Turda,</t>
  </si>
  <si>
    <t>GREENLIGHT CLUJ SRL</t>
  </si>
  <si>
    <t>STATIA DE TRANSFORMARE 110/20 KV DEJ</t>
  </si>
  <si>
    <t>4P RENEWABLES STORAGE SRL</t>
  </si>
  <si>
    <t>Statia 110/20 kV Dej</t>
  </si>
  <si>
    <t>SONACA AEROSPACE TRANSILVANIA SRL</t>
  </si>
  <si>
    <t>MOLDOVENESTI</t>
  </si>
  <si>
    <t>Statia de Transformare 110/20 kV Mihai Viteazu</t>
  </si>
  <si>
    <t>TN17662</t>
  </si>
  <si>
    <t>SOLAR ENERGY UNLIMITED SRL</t>
  </si>
  <si>
    <t>LES 20 kV St. Harman – PT 49 Harman din distribuitorul LES 20 kV St. Harman</t>
  </si>
  <si>
    <t>NERO ENERGY S.R.L.</t>
  </si>
  <si>
    <t>LEA 20 kV PT 23 Miercurea</t>
  </si>
  <si>
    <t>LEA 110 kV Barabant – Blaj</t>
  </si>
  <si>
    <t>FIDA ENERGY SRL</t>
  </si>
  <si>
    <t>LEA 20 KV UNGHENI-M NIRAJ</t>
  </si>
  <si>
    <t>TS13181</t>
  </si>
  <si>
    <t>FERVEL ENERGY SRL</t>
  </si>
  <si>
    <t>ACATARI</t>
  </si>
  <si>
    <t>LEA 20 KV LIVEZENI-FANTANELE</t>
  </si>
  <si>
    <t>Statie de pompare SPA Sinoe</t>
  </si>
  <si>
    <t>Sinoe</t>
  </si>
  <si>
    <t>20269018</t>
  </si>
  <si>
    <t xml:space="preserve">	
02/09/2024</t>
  </si>
  <si>
    <t xml:space="preserve">	
13,5</t>
  </si>
  <si>
    <t>PRODCEREAL S.R.L.</t>
  </si>
  <si>
    <t>Dorobantu</t>
  </si>
  <si>
    <t>23829471</t>
  </si>
  <si>
    <t>SANATORIUL BALNEAR SI DE RECUPERARE MANGALIA</t>
  </si>
  <si>
    <t>PAVILION A Ionut Bobei</t>
  </si>
  <si>
    <t>Mangaia Nord</t>
  </si>
  <si>
    <t>24375510</t>
  </si>
  <si>
    <t xml:space="preserve">	
ALDIS S.R.L.</t>
  </si>
  <si>
    <t>24639503</t>
  </si>
  <si>
    <t>VIDARE</t>
  </si>
  <si>
    <t xml:space="preserve">	
3,450</t>
  </si>
  <si>
    <t>24638018</t>
  </si>
  <si>
    <t xml:space="preserve">	
25/09/2024</t>
  </si>
  <si>
    <t>EUROAVI S.R.L.</t>
  </si>
  <si>
    <t>spor de putere</t>
  </si>
  <si>
    <t>24499525</t>
  </si>
  <si>
    <t xml:space="preserve">	
30/08/2024</t>
  </si>
  <si>
    <t>DIAL SRL</t>
  </si>
  <si>
    <t xml:space="preserve">	
HALA PRODUCTIE, DEPOZITARE SI VESTIARE</t>
  </si>
  <si>
    <t>Harsova Oras</t>
  </si>
  <si>
    <t>19374765</t>
  </si>
  <si>
    <t>CAT SOLAR PARC 4</t>
  </si>
  <si>
    <t>CEF CAT SOLAR PARC 4</t>
  </si>
  <si>
    <t xml:space="preserve">Realizarea lucrărilor de întărire cu caracter gene criteriului cu N-1 elemente în funcțiune în RED 110kV: Reconductorare LEA 110 kV Ortisoara CEF Cornesti l=12,92 km conductor cu capacitate marita ,, Iminim850A Reconductorare LEA 110kV Sacalaz Bucovina l=4,977 km; 1,54 km conductor cu capacitate marita Iminim850A si 3,437 km conductor cu capacitate marita Iminim=1000A ,, Reconductorare LEA 110 kV Calacea Satchinez l=5,816 km; 5,115 km conductor cu capacitate marita Iminim 850A si 0,701 km conductor cu capacitate marita Iminim=1000A ,, Reconductorare LEA 110 kV Ortisoara Calacea l=12,881 km;12,180 km conductor cu capacitate marita Iminim850A si 0,701 km conductor cu capacitate marita Iminim=1000A ,, Reconductorare LEA 110 kV Satchinez Sacalaz l=22,711 km conductor cu capacitate marita Iminim=1000A LEA 110 kV noua Covaci Sacalaz l=11,8 km ,, LEA 110 kV noua CEF Cornesti Covaci l=10,3 km ,, Reconductorare LEA 110 kV Freidorf Fratelia l=6,504 km conductor cucapacitate marita Iminim850A ,, Reconductorare LEA 110 kV Sacalaz Freidorf =6,542 km conductor cu capacitate marita Iminim850A ,, Total= 94,451 km Punerea sub tensiune in ipotezele analizare in studiul de solutie a CEF Cornesti este conditionata de realizarea lucrarilor, necesare pentru respectarea criteriului cu N-1 elemente in functiune. Utilizatorul a optat pentru prevederile ord. 81/2022 cu referire la limitarea operationala tinand cont de contingentele la care au rezultat suprasarcini in RED. Ținând cont de faptul ca la N-1 CEF Cornesti va trebui să fie deconectată pentru a nu se produce suprasarcini pe linii, va trebui realizată automatica de declanșare automată a centralei. Sistemul propus va deconecta centrala la aparitia oricarei conditii ce poate conduce la suprasolicitarea elementelor de retea. Automatizarea implementata va deconecta CEF proiectata in situatia in care sistemul functioneaza cu N-1 elemente in functiune, iar elementul deconectat conduce la suprasolicitarea unuia sau mai multor elemente ramase in functiune. Conform procedurii privind “Cerințele tehnice pentru realizarea Automatizarii de Limitare Operaționala” (ALO) pusa la dispozitie de OTS si prezentata in Anexa J, trebuie respectate urmatoarele: ,,Echipamentele din componența ALO care comandă limitarea puterii evacuate se instalează la utilizator, în centrală și în instalațiile OTS/OD. ,,Datele necesare logicii de acționare a ALO se achiziționează din stații electrice ale OTS/OD, de la toate echipamentele de rețea care prin declanșare/deconectare pot produce suprasarcini pe alte echipamente din rețele. Menținerea siguranței în funcționare a SEN impune ca temporizarea totală, de la elementul deconectat, care provoacă suprasarcini, la reducerea sau oprirea totală a centralei să fie mai mică decât timpul critic determinat prin calcul în analizele de system Automatica de limitare operationala isi propune ca in condtiile in care apareo informatie de deconectare a unui element de retea, care conform rezultatelor calculului de circulatii de putere, are ca efect posibilitatea de aparitie a suprasarcinilor pe anumite elemente de retea, sa se comande declansarea/limitarea puterii CEF. Monitorizarea în timp real a contingenței periculoase sau/și a circulației de putere pe un element de rețea necesită montarea unui echipament de culegere, prelucrare și transmitere date, de tip Remote Terminal Unit(RTU) în stațiile de transformare identificate în studiul de soluție, ca fiind in situatia de a avea elemente, care ar putea ajunge in suprasarcina. Astfel in momentul in care, unul din elementele de retea care pot genera suprasarcini, primeste o comanda de declansare, aceasta comanda este multiplicata si dirijata printr-un RTU spre un ruter si apoi printr-un modem este transmisa spre CEF . Preluarea poziției întreruptorului sau întreruptoarelor se va face de la contactele auxiliare din dispozitivele de acționare (stații poligonale sau 1½ întreruptoare pe circuit) și trebuie aplicată pe intrări binare duale ale RTU, intrări prevăzute cu optocuploare și posibilități adecvate de reglare a pragului de acționare și de filtrare a vibrațiilor. Trebuie utilizate contacte auxiliare de semnalizare (CSA), libere de potențial, destinate exclusiv ALO, separate de cele utilizate de sistemele de protecție, control și automatica ale liniei. Se recomandă montarea dulapului ALO în stație cât mai aproape de elementul monitorizat (de preferat în cabina cu protecții, dacă spațiul permite). În cazul în care dulapul/cofretul ALO se montează la depărtare de cabinele de protecție, trebuie prevăzute prin proiect media-convertoare electric/optic pentru fiecare semnal binar, atât la sursă, cât și la nivelul RTU. Acest lucru se va cunoaste in detaliu la faza PTE a proiectului. Preluarea semnalelor de declanșare trifazată prin protecția grupa 1, protecția grupa 2, PDB și DRRI trebuie realizată pe intrări binare ale ALO, dotate cuoptocuploare și prevăzute cu posibilități adecvate de reglare a pragului de acționare și de filtrare a vibrațiilor. Dacă sunt necesare relee auxiliare de multiplicare, acestea trebuie să fie rapide (pentru încadrarea în timpul critic de reducere/declanșare centrală), corespunzătoare montării în instalațiile OTS/OD și incluse în proiectul ALO. Cablul de fibră optică trebuie să fie cuprins în proiectul ALO. In statia 110/mt kv CEF Cornesti, semnalul este receptionat de un RTU care-l transforma in comanda de declansare a intrerupatorului de 110kv al transformatorului 110/mt al statiei centralei. La faza PTE a proiectului CEF si implicit a automatizarii ALO, se vor avea in vedere toate prevedrile din documentatia TE “ conținut cadru privind cerințele de realizare a automaticii de limitare operațională ”. Pentru realizarea automaticii de limitare operationala este nevoie de realizarea unei cai de comunicatie intre fiecare statie de transformare in care se regasesc elementele care prin deconectare pot crea congestii si statia 110 kv a CEF . Aceste cai de comunicatie se vor realiza prin FO ADSS pozata pe stalpii LEA 110 kv in cauza. In conditiile in care apare o informatie care poate conduce la o suprasarcina pe oricare din LEA predefinite ca putand intra in suprasarcina , automatica de limitare operationala, va declansa/limita puterea CEF. Initierea declansarea/limitare centralei va avea loc la primirea comenzii de declansare a unui element care poate sa produca suprasarcina (fara verificarea faptului ca a aparut suprasarcina) . Pentru minimizarea timpilor de functionare a automatizarii ALO, se poate avea in vedere ca initierea declansarii/limitarii CEF sa aiba loc odata cu emiterea impulsului de declansare de la oricare din protectiile care declanseaza intrerupatoarele liniilor si nu de la CSA intrerupator declansat . Toate aceste detalii se vor analiza, se vorprezenta si se vor aviza de OD/OT, la faza PTE a ALO. In acest fel s-a realizat practic o declansare ultrarapida a CEF, fata de momentul cand a fost transmisa comanda de declansare a unui element de retea care poate genera suprasarcini pe alte elemente de retea. Centrala va ramane deconectata pana la disparitia cauzei care a generat deconectarea si conectarea ei, la comanda dispecerului. Elementele de retea ale caror declansare conduce la functionarea automaticii sunt: ELEMENT DECLANSAT ,,ELEMENT IN SUPRASARCINA ,,P evacuate centrala V1 ,, LEA 110 kV Ortisoara Calacea ,,LEA 110 kV Ortisoara CEF Cornesti ,,0 ,, LEA 110 kV Sacalaz Satchinez ,,LEA 110 kV Ortisoara CEF Cornesti ,,0 ,, LEA 110 kV Satchinez Calacea ,,LEA 110 kV Ortisoara CEF Cornesti ,,0 ,, Trafo 400/110 kV Sacalaz ,,LEA 110 kV Sacalaz Bucovina ,,0 ,, Trafo 400/110 kV Timisoara ,,LEA 110 kV Sacalaz Bucovina ,,0 ,, LEA 110 kV Covaci - CEF Cornesti ,,LEA 110 kV Calacea Satchinez ,,0 ,, LEA 110 kVCovaci - CEF Cornesti ,,LEA 110 kV Ortisoara Calacea ,,0 ,, LEA 110 kV Covaci - CEF Cornesti ,,LEA 110 kV Satchinez Sacalaz ,,0 ,, LEA 110 kV Fratelia Freidorf ,,LEA 110 kV Sacalaz Bucovina ,,0 ,, LEA 110 kV Ortisoara Calacea ,,Lea 110 kV Covaci Sacalaz ,,0 ,, LEA 110 kV Ortisoara Calacea ,,Lea 110 kV CEF Cornesti - Covaci ,,0 ,, LEA 110 kV Sacalaz Covaci ,,LEA 110 kV Calacea Satchinez ,,0 ,, LEA 110 kV Sacalaz Covaci ,,LEA 110 kV Ortisoara Calacea ,,0 ,, LEA 110 kV Sacalaz Covaci ,,LEA 110 kV Satchinez Sacalaz ,,0 ,, LEA 110 kV Sacalaz Freidorf ,,LEA 110 kV Sacalaz Bucovina ,,0 ,, Cupla longitudinala 110 kV intre 1A si 1B statia Sacalaz ,,LEA 110 kV Freidorf Fratelia ,,0 ,, Cupla longitudinala 110 kV intre 1A si 1B statia Sacalaz ,,LEA 110 kV Sacalaz Freidorf ,,0 ,, LEA 110 kV Sacalaz Satchinez ,,LEA 110 kV Covaci Sacalaz ,,0 ,, LEA 110 kV Sacalaz Satchinez ,,LEA 110 kV CEF Cornesti Covaci ,,0 ,, LEA 110 kV Sacalaz Bucovina ,,LEA 110 kV Sacalaz Freidorf ,,0 ,, LEA 110 kV Sacalaz Cetate ,,LEA 110 kV Sacalaz Bucovina ,,0 ,, LEA 110 kV Satchinez Calacea ,,LEA 110 kV Covaci Sacalaz ,,0 ,, LEA 110 kV Satchinez Calacea ,,LEA 110 kV CEF Cornesti Covaci ,,0 ,, LEA 110 kV Timisoara Cetate inchiderea intrerupatorului in Fantanele spre Ortisoara ,,LEA 110 kV Sacalaz Bucovina LEA Sacalaz Covaci ,,0 0 </t>
  </si>
  <si>
    <t>FIORINO COMPANY S.R.L.</t>
  </si>
  <si>
    <t>Realizare parc fotovoltaic, racordare la S.E.N. si imprejmuire teren inscris in CF 301816, 301818, 301819, 301820</t>
  </si>
  <si>
    <t>A20 HALMAGIU-VIRFURI AR</t>
  </si>
  <si>
    <t>MOEMAX PROPERTIES SRL</t>
  </si>
  <si>
    <t>CONSTRUIRE MAGAZIN DE MOBILA SI DECORATIUNI</t>
  </si>
  <si>
    <t>S20 NR.11-DUMBRAVITA TM</t>
  </si>
  <si>
    <t>CLADIRE MULTIFUNCTIONALA</t>
  </si>
  <si>
    <t>20263643</t>
  </si>
  <si>
    <t>UNITATEA MILITARA NR. 02482</t>
  </si>
  <si>
    <t>Pavilion Z, cazarma 734</t>
  </si>
  <si>
    <t>24440258</t>
  </si>
  <si>
    <t>ECO SUD SA</t>
  </si>
  <si>
    <t>DEPOZIT ECOLOGIC PENTRU DESEURI URBANE</t>
  </si>
  <si>
    <t>24584931</t>
  </si>
  <si>
    <t>24582593</t>
  </si>
  <si>
    <t>H4L MILLENNIUM REAL ESTATE SRL</t>
  </si>
  <si>
    <t>11769628</t>
  </si>
  <si>
    <t>... Amplificare statie de transformare Pipera 110/20/10 kV prin montarea a doua transformatoare 110/20kV, 40 MVA noi si realizarea a doua sectii de bare 20 kV noi.  Valoarea totala a lucarilor descrise mai sus este de 19.045.451,49 RON fara T.V.A. </t>
  </si>
  <si>
    <t>EXCELSIOR CONSTRUCT &amp; DEVELOPMENT SRL</t>
  </si>
  <si>
    <t>19202282</t>
  </si>
  <si>
    <t>Tinand cont de incarcarea distributiei indirecte 1 loc de consum, se va promova in planul de investitii al operatorului de distributie un proiect care prevede descarcarea sarcinii acestor distribuitoare alimentate din ST OBOR. Proiectul prevede crearea unei distributii directe noi 20 kV prin pozarea a doua cabluri MT intre ST Obor si noul loc de consum.</t>
  </si>
  <si>
    <t>19080923</t>
  </si>
  <si>
    <t>ansamblu cu functiuni mixte-suplimentare</t>
  </si>
  <si>
    <t>Timpuri Noi</t>
  </si>
  <si>
    <t>19264863</t>
  </si>
  <si>
    <t>GREEN&amp;YELLOW DEVELOPMENT SRL</t>
  </si>
  <si>
    <t>IMOBILE LOCUINTE BLOC C3, C5</t>
  </si>
  <si>
    <t>IMOBIL LOCUINTE COLECTIVE- B7</t>
  </si>
  <si>
    <t>Pipera If</t>
  </si>
  <si>
    <t>19764244</t>
  </si>
  <si>
    <t>MIHEDI DEVELOPMENT GRUP</t>
  </si>
  <si>
    <t>Ansamblu locuinte colective</t>
  </si>
  <si>
    <t>Fundeni Cel</t>
  </si>
  <si>
    <t>19760063</t>
  </si>
  <si>
    <t>IMOBIL LOCUINTE COLECTIVE-B8</t>
  </si>
  <si>
    <t>19764400</t>
  </si>
  <si>
    <t>Amplificare statie 110kV/20kV Pipera prin montarea transformatoare 110kV/20kV de 40MVA si realizarea a doua sectii de bare 20kV. </t>
  </si>
  <si>
    <t>ESTORIA TOWN SRL</t>
  </si>
  <si>
    <t>IMOBIL L3 DIN DOUA CORPURI ALIPITE</t>
  </si>
  <si>
    <t>Dudesti</t>
  </si>
  <si>
    <t>18055097</t>
  </si>
  <si>
    <t>PROIECT ALEXANDRIEI 152 SRL</t>
  </si>
  <si>
    <t>19891678</t>
  </si>
  <si>
    <t>H4L MILLENIUM REAL ESTATE S.R.L.</t>
  </si>
  <si>
    <t>18322289</t>
  </si>
  <si>
    <t>Amplificare statie de transformare Pipera 110/20/1 doua transformatoare 110/20kV, 40 MVA noi si realizarea a doua sectii de bare 20 kV noi.  Valoarea totala a lucarilor descrise mai sus este de 19.045.451,49 RON fara T.V.A .</t>
  </si>
  <si>
    <t>MC RESIDENCE MOSILOR SRL</t>
  </si>
  <si>
    <t>Obor</t>
  </si>
  <si>
    <t>20178846</t>
  </si>
  <si>
    <t>SC PICATURI DE SOARE SRL</t>
  </si>
  <si>
    <t>PARC FOTOVOLTAIC 4,73MW, LOC. MITOCU DRAGOMIRNEI, (COM. MITOCU DRAGOMIRNEI), NC 57734, 42156, JUD. SUCEAVA</t>
  </si>
  <si>
    <t>ITCANI</t>
  </si>
  <si>
    <t>racord LES MT in STATIA ITCANI</t>
  </si>
  <si>
    <t>MUNICIPIUL ONESTI</t>
  </si>
  <si>
    <t>CENTRALA ELECTRICA FOTOVOLTAICA ONESTI 3MW, NC 68804, LOC. ONESTI, JUD. BACAU</t>
  </si>
  <si>
    <t>ONESTI</t>
  </si>
  <si>
    <t>garantie Ord 53/2024</t>
  </si>
  <si>
    <t>PARC FOTOVOLTAIC 3.14MW,NC 72159, LOC. HUSI, JUD. VASLUI</t>
  </si>
  <si>
    <t>HUSI</t>
  </si>
  <si>
    <t>SC ECOSOLAR BUCOVINA SRL</t>
  </si>
  <si>
    <t>PARC FOTOVOLTAIC PILUGANI 2MW CU INSTALATIE DE STOCARE, NC 31235, LOC. PILUGANI, COM. POIANA STAMPEI, JUD. SUCEAVA</t>
  </si>
  <si>
    <t>Pif estimat 31.12.2024</t>
  </si>
  <si>
    <t>PAJO AGRICULTURE SRL</t>
  </si>
  <si>
    <t>PIF estimat 31.12.2024</t>
  </si>
  <si>
    <t>SC AVICARVIL SRL FRINCESTI</t>
  </si>
  <si>
    <t>Abator si fermele 1, 2, 5 si 6 prod +con</t>
  </si>
  <si>
    <t>SC SALCIA TUDOR WIND POWER SRL</t>
  </si>
  <si>
    <t>Stalpul nr. 82 tip 15014, ce inlocuieste stalpul tip SC15007 in axul LEA 20kV Bradu-Poiana Lacului</t>
  </si>
  <si>
    <t>PIF estimat 17.10.2025</t>
  </si>
  <si>
    <t>GREEN SOLAR GENERATION SRL</t>
  </si>
  <si>
    <t>CONSTR CENTRALA FOTOVOLTAICA,IMP,ACCES A</t>
  </si>
  <si>
    <t>La stalpul 134 in axul LEA 20KV Horezu - SPP12-19,</t>
  </si>
  <si>
    <t>PIF estimat 18.10.2024</t>
  </si>
  <si>
    <t>Stalpul nr. 148,tip SC15006 existent in ax LEA 20kV Bradu-Poiana Lacului</t>
  </si>
  <si>
    <t>PIF estimat 03.07.2024</t>
  </si>
  <si>
    <t>ESTOCARE 888 SRL</t>
  </si>
  <si>
    <t>CONSTRUIRE CENTRALA ELECTRICA SI STATIE</t>
  </si>
  <si>
    <t>Statia 110 kV Parc_Stocare_Cetate</t>
  </si>
  <si>
    <t>HTL DIREKT &amp; SCHNELL S.R.L</t>
  </si>
  <si>
    <t>INFIINTARE UNITATE STOCARE ENERGIE</t>
  </si>
  <si>
    <t>Stalpul nr. 73 tip SE8 existent in axul LEA 20KV TOPOLOVENI-DOBRESTI</t>
  </si>
  <si>
    <t>TRANS MONTAN FAGARAS SRL</t>
  </si>
  <si>
    <t>CENTRALA ELECTRICA DE STOCARE A ENERGIE</t>
  </si>
  <si>
    <t>Stalp metalic nr. 17A, tip SMT 20119, nou proiectat in axul LEA 20 kV Pitesti Nord-Mioveni</t>
  </si>
  <si>
    <t xml:space="preserve"> PTAB CFR proiectat</t>
  </si>
  <si>
    <t>La bornele cutiilor terminale a LES-ului 20 kV iesire din PTCZ 1710</t>
  </si>
  <si>
    <t>Stalpul nr 7 tip SC15014 al LEA 20KV DERIVATIE PTCZ CALIBRARE CARACAL</t>
  </si>
  <si>
    <t>3100176385</t>
  </si>
  <si>
    <t>SC RPOWER BUCURESTI SRL</t>
  </si>
  <si>
    <t>bara A 20 kV din Stația 110/20 kV Buzău Crâng</t>
  </si>
  <si>
    <t>DSD GREEN ENERGY S.R.L.</t>
  </si>
  <si>
    <t>MARASESTI</t>
  </si>
  <si>
    <t>LEA 20kV Domnesti</t>
  </si>
  <si>
    <t>PVSR BUCHAREST V S.R.L.</t>
  </si>
  <si>
    <t>PTA 5452 SRPA 09 SI</t>
  </si>
  <si>
    <t>MN11298</t>
  </si>
  <si>
    <t>SN ENERGIE COMPANY SRL</t>
  </si>
  <si>
    <t>MOVILITA</t>
  </si>
  <si>
    <t>LEA 20 KV MOVILITA</t>
  </si>
  <si>
    <t>MN12873</t>
  </si>
  <si>
    <t>TIHI SRL</t>
  </si>
  <si>
    <t>LEA 20 kV Zatna – Plot 35</t>
  </si>
  <si>
    <t>MN13502</t>
  </si>
  <si>
    <t>LEA 20 kV Tintea</t>
  </si>
  <si>
    <t>BERCA</t>
  </si>
  <si>
    <t>LEA 20 kV ARBANASI</t>
  </si>
  <si>
    <t>statia 110/20 kV Baltesti</t>
  </si>
  <si>
    <t>CENTRALA ELECTRICA HIBRIDĂ 38,4 MW Cudalbi 2 (Eolian, Solar si Stocare)</t>
  </si>
  <si>
    <t>UNITATEA MILITARA 01221</t>
  </si>
  <si>
    <t>COCHIRLEANCA</t>
  </si>
  <si>
    <t>statiei 110/20/6 kV Buzau Es</t>
  </si>
  <si>
    <t>FUNSHOP PARK PLOIESTI SRL</t>
  </si>
  <si>
    <t>LES 20 KV PT 642 CIOCARLIA 3</t>
  </si>
  <si>
    <t>PTA 9060 TOMPOSTMEDIA,</t>
  </si>
  <si>
    <t>CAMPIA TURZII</t>
  </si>
  <si>
    <t>LEA 110 kV Campia Turzii - UCT circuitul 2</t>
  </si>
  <si>
    <t>DEJ</t>
  </si>
  <si>
    <t>LEA 20 kV Dej Sud - Gherla</t>
  </si>
  <si>
    <t>STATIA SEBES 110/20 KV</t>
  </si>
  <si>
    <t>TOPLITA SOLAR ONE S.R.L</t>
  </si>
  <si>
    <t>TOPLITA</t>
  </si>
  <si>
    <t>LEA 20 kV Zencani II</t>
  </si>
  <si>
    <t>DAS WATT S.R.L.</t>
  </si>
  <si>
    <t>INTORSURA BUZAULUI</t>
  </si>
  <si>
    <t>LEA 20 kV MOBILA</t>
  </si>
  <si>
    <t>CORTI SOLAR SRL</t>
  </si>
  <si>
    <t>LEA 110 KV COVASNA-I.BUZAULUI</t>
  </si>
  <si>
    <t>ECOGREENREG ENERGY SRL</t>
  </si>
  <si>
    <t>Statia 110/20kV Reghin</t>
  </si>
  <si>
    <t>HQ CURAT SRL</t>
  </si>
  <si>
    <t>Statiei 110/20 kV Sânpaul</t>
  </si>
  <si>
    <t>RENOVATIO TRADING SRL</t>
  </si>
  <si>
    <t>Statia 110/20 kV Toplita</t>
  </si>
  <si>
    <t>BEPCO SRL</t>
  </si>
  <si>
    <t>Statia 110 kV CET Brasov</t>
  </si>
  <si>
    <t xml:space="preserve"> CET Nord 1: 
 o compusa din 5 grupuri generatoare cu motoare termice pe gaz a 4,034 MW fiecare, la tensiunea de 
6,3 kV – in total 20,170 MW; 
- CET Nord 2: 
 o compusa din 4 grupuri generatoare cu motoare termice pe gaz a 4,397 MW fiecare, la tensiunea de 
10,5 kV – in total 17,588 MW 
- SPOR DE PUTERE -IS 16 MW</t>
  </si>
  <si>
    <t>REGIA AUTONOMA "AEROPORTUL TRANSILVANIA - TARGU MURES"</t>
  </si>
  <si>
    <t xml:space="preserve"> Sursa 1: Statia 110/20 kV Sanpaul Sursa 2: Statia 220/110/20 kV Ungheni,</t>
  </si>
  <si>
    <t>GENESSIS BIO 3 SRL</t>
  </si>
  <si>
    <t>la clemele de legare in LEA 20 kV Almaj-Melinesti, la stalpul numarul 13A proiectat</t>
  </si>
  <si>
    <t>Pif estimat 07.11.2025</t>
  </si>
  <si>
    <t>SC STEINEL MANAGEMENT SRL</t>
  </si>
  <si>
    <t>actualizeaza poz.133</t>
  </si>
  <si>
    <t>LES 20 KV DIF-PT 391 Craiova</t>
  </si>
  <si>
    <t>Sectionare LES 20 KV  DIF PT 109 Craiova si LES 20 KV DIF-PT 391 Craiova</t>
  </si>
  <si>
    <t>TEAM MONTAGE SRL</t>
  </si>
  <si>
    <t>In LES 20 KV racord PC TEAM MONTAGE alimentat din LEA 20 kV DIF - PTAB Zona Ford</t>
  </si>
  <si>
    <t>GREINER ASSISTEC SRL</t>
  </si>
  <si>
    <t>stalpul nr.88 al LEA 20 KV Campulung-Baraj Rausor , respectiv stalpul nr. 83 al LEA 20kV Campulung-Voina</t>
  </si>
  <si>
    <t>PIF estimat 20.11.2025</t>
  </si>
  <si>
    <t>LEA 20 KV SPP 4</t>
  </si>
  <si>
    <t>MN12093</t>
  </si>
  <si>
    <t>SOCIETATEA ENERGETICA ELECTRICA SA</t>
  </si>
  <si>
    <t>Q6K bara 20kV din Statia de transformare 110/20 kV Vulturu</t>
  </si>
  <si>
    <t>MN12917</t>
  </si>
  <si>
    <t>MIDIA GREEN ENERGY SA</t>
  </si>
  <si>
    <t>GORNET</t>
  </si>
  <si>
    <t xml:space="preserve">LEA 20 kV Magurele </t>
  </si>
  <si>
    <t>MN13214</t>
  </si>
  <si>
    <t>PNE RO SUNLIGHT 6 SRL</t>
  </si>
  <si>
    <t>ST. MAXINENI 110/20 KV</t>
  </si>
  <si>
    <t>ANIM FS RECRUITING SRL</t>
  </si>
  <si>
    <t>BALABANESTI</t>
  </si>
  <si>
    <t>LEA 20kV RADEST</t>
  </si>
  <si>
    <t>PTA 2784 SPP 3/ AE 16+17,</t>
  </si>
  <si>
    <t>MN12095</t>
  </si>
  <si>
    <t>SIDERUM INVEST SRL</t>
  </si>
  <si>
    <t>bara de 20 kV din Stația de Transformare 110 / 20 kV Dudești</t>
  </si>
  <si>
    <t>MN13706</t>
  </si>
  <si>
    <t>ALDECO HOLDING SRL</t>
  </si>
  <si>
    <t>LEA 20 kV Derivație Porcine din ax Abator – Dunărea</t>
  </si>
  <si>
    <t>MN14416</t>
  </si>
  <si>
    <t>HEIDELBERG MATERIALS ROMANIA SA</t>
  </si>
  <si>
    <t>FIENI</t>
  </si>
  <si>
    <t>statia 110 kV Fieni</t>
  </si>
  <si>
    <t>MN13839</t>
  </si>
  <si>
    <t>ALIZEU EOLIAN S.A.</t>
  </si>
  <si>
    <t>LEA 110kV Foltesti-Bujoru</t>
  </si>
  <si>
    <t>CEE+IS</t>
  </si>
  <si>
    <t>VIRIX PROD SRL</t>
  </si>
  <si>
    <t>CRANGURILE</t>
  </si>
  <si>
    <t>dambovita</t>
  </si>
  <si>
    <t>LEA 20 kV Gaesti 1, PTAB 9882 VIRIX PRO</t>
  </si>
  <si>
    <t>ROCKWOOL ROMANIA SRL</t>
  </si>
  <si>
    <t>LEA d.c. 110 kV Ploiesti Nord – Aricestii – Brazi Vest + Ploiesti Nord – Ploiesti Crang – Brazi Vest</t>
  </si>
  <si>
    <t>JUDETUL DAMBOVITA</t>
  </si>
  <si>
    <t>LES 20 kV CENTRUL COMERCIAL 2</t>
  </si>
  <si>
    <t>RENOVATIO ASSET MANAGEMENT SRL</t>
  </si>
  <si>
    <t>LES 20 kV APA EST din statia Contactoare</t>
  </si>
  <si>
    <t>SIMEX S.A.</t>
  </si>
  <si>
    <t>SIMLEU SILVANIEI</t>
  </si>
  <si>
    <t>Statia de Transformare 110/20 kV Simleu</t>
  </si>
  <si>
    <t>DAX ENERGY FOUR S.R.L.</t>
  </si>
  <si>
    <t>CRISENI</t>
  </si>
  <si>
    <t>LEA 20 KV ABATOR PASARI alimentata din Statia de Transformare 110/20 kV SALA</t>
  </si>
  <si>
    <t>TERMOFICARE NAPOCA SA</t>
  </si>
  <si>
    <t>LEA 20 kV Baciu - Apahida,</t>
  </si>
  <si>
    <t>YANNGO SRL</t>
  </si>
  <si>
    <t>APAHIDA</t>
  </si>
  <si>
    <t>LEA 20 KV JUCU - APAHIDA</t>
  </si>
  <si>
    <t>BORO SOLAR SRL</t>
  </si>
  <si>
    <t>BOROD</t>
  </si>
  <si>
    <t>LEA 20 KV SUNCUIUS - BOROZEL</t>
  </si>
  <si>
    <t>SEB 65MW SM SRL</t>
  </si>
  <si>
    <t>ARDUD</t>
  </si>
  <si>
    <t>LEA 20 kV Carpati - Stana, alimentata din Statia de Transformare 110/20 kV Carpati</t>
  </si>
  <si>
    <t>MEGA WATT PRODUCTION SRL</t>
  </si>
  <si>
    <t>BOTIZ</t>
  </si>
  <si>
    <t>LEA 20 kV Radio Botiz, alimentata din Statia de Transformare 110/20 kV Carpati</t>
  </si>
  <si>
    <t>SNK DEVELOPMENT INVEST SRL</t>
  </si>
  <si>
    <t>TN18698</t>
  </si>
  <si>
    <t>BONTIDA</t>
  </si>
  <si>
    <t>TN22347</t>
  </si>
  <si>
    <t>ENERGOSUN SRL</t>
  </si>
  <si>
    <t>Distribuitorul 20 kV Poiana - Mihai Viteazu</t>
  </si>
  <si>
    <t>TN22785</t>
  </si>
  <si>
    <t>PTZ PECO REZ</t>
  </si>
  <si>
    <t>SORTILEMN SA</t>
  </si>
  <si>
    <t>GHERLA</t>
  </si>
  <si>
    <t>Statia 110/20 kV Gherla, celula 20 kV "SORTILEMN-1" CEB-CEF</t>
  </si>
  <si>
    <t>GAMA &amp; GAMA SRL</t>
  </si>
  <si>
    <t>CULCIU</t>
  </si>
  <si>
    <t>LEA 20 KV CARP ROSIORI-SM</t>
  </si>
  <si>
    <t>Statia de Transformare 110/20/10 kV Campului;</t>
  </si>
  <si>
    <t>Statia de Transformare 110/20/6 kV Clujana</t>
  </si>
  <si>
    <t>Statia de Transformare 110/20/10 kV Cluj Nord,</t>
  </si>
  <si>
    <t>Statia de Transformare 110/20/10 kV Manastur</t>
  </si>
  <si>
    <t>Statia de Transformare 110/20/10 kV Alverna</t>
  </si>
  <si>
    <t>"TRUM 1" in Statia de Transformare 110/20 kV Carei Unio</t>
  </si>
  <si>
    <t>ISSA ESTATE SRL</t>
  </si>
  <si>
    <t>distribuitorul „Buna Ziua” axa LES 10 KV CLUJ SUD - BUNA ZIUA</t>
  </si>
  <si>
    <t>VELTOL STRONG CORPORATION SRL</t>
  </si>
  <si>
    <t>SANGEORGIU DE MURES</t>
  </si>
  <si>
    <t>LEA 20 KV COMPRIMARE ERNEI</t>
  </si>
  <si>
    <t>LEA 110 KV UNGHENI-REGHIN1,</t>
  </si>
  <si>
    <t>TS19192</t>
  </si>
  <si>
    <t>DRAGOSEL LASLEA SRL</t>
  </si>
  <si>
    <t>LEA 20 KV DUMBRAVENI-SIGHISOARA</t>
  </si>
  <si>
    <t>TS19335</t>
  </si>
  <si>
    <t>HERMANNSTADT SOLAR ENERGY S.R.L.</t>
  </si>
  <si>
    <t>Statia 110/20kV Sibiu Nord</t>
  </si>
  <si>
    <t>DJANGOWATT S.R.L.</t>
  </si>
  <si>
    <t>ZLATNA</t>
  </si>
  <si>
    <t>IS Pi=48 MW ZLATNA</t>
  </si>
  <si>
    <t>PANDA INVESTMENT SRL</t>
  </si>
  <si>
    <t>TUSNAD</t>
  </si>
  <si>
    <t>STATIA TUSNAD 110/27,5/20 KV</t>
  </si>
  <si>
    <t>INSTALATIE DE STOCARE Pi=10.35MW</t>
  </si>
  <si>
    <t>TURSIB S.A.</t>
  </si>
  <si>
    <t>LES 20 kV existent directia PT 104T - PT 98T, PTAB PC 104 20/20 KV TURNISOR</t>
  </si>
  <si>
    <t>SANDOZ S.R.L.</t>
  </si>
  <si>
    <t>"PTZ 456 20/0,4 KV SANDOZ</t>
  </si>
  <si>
    <t>MAKYOL INSAAT SANAYI TURIZM VE TICARET ANONIM SIRKETI ISTANBUL - SUCURSALA  BUCURESTI</t>
  </si>
  <si>
    <t>LEA 20 KV HARSENI 2 ST FAGARAS</t>
  </si>
  <si>
    <t>BAYER GEO ENERGY SRL</t>
  </si>
  <si>
    <t>PA 1 20/0,4 KV REMETEA</t>
  </si>
  <si>
    <t>DEPOMURES SA</t>
  </si>
  <si>
    <t>CORUNCA</t>
  </si>
  <si>
    <t>STATIA CORUNCA 110/20/6 KV</t>
  </si>
  <si>
    <t>MAKYOL INSAAT SANAYI TURIZM VE TICARETANONIM SIRKETI ISTANBUL -SUCURSALA BUCURESTI</t>
  </si>
  <si>
    <t>CARTA</t>
  </si>
  <si>
    <t>LEA 20 KV CARTISOARA-CARTISOARA1</t>
  </si>
  <si>
    <t>TS18410</t>
  </si>
  <si>
    <t xml:space="preserve"> Statia 110/20kV Remetea</t>
  </si>
  <si>
    <t>TS18199</t>
  </si>
  <si>
    <t>SELY SRL</t>
  </si>
  <si>
    <t>CEF 3100 kW producator</t>
  </si>
  <si>
    <t>A20 9603- BAIA TL</t>
  </si>
  <si>
    <t>Solutia 1 - Racord radial in LEA 20kV 96.03 in derivatia PTA 118 Moara Ceamurlia de Sus Lucrari pe tarif de racordare: - Inlocuire stalp 35 cu alveole existent (SE 10) echipat cu separatorul de post PTA cu stalp special care se va echipa cu: consola de întindere MT, lan?uri duble de întindere cu izolatoare compozit, consola de derivatie, separator vertical STEPNV 24kV, set desc?rc?toare cu ZnO 20 kV, set capete terminale 20 kV de exterior performante. La baza stâlpului se va amenaja o priza artificiala de legare la p?mânt cu Rp &lt;4ohmi. Din acest stalp se va realiza racordul in LES 20kV catre compartimentul Enel din punctul de conexiune. - Realizare stalp nou 35 bis proiectat la o distanta de 15 metrii fata de stalpul 35 echipat cu separator orizontal de post, consola de intindere, descarcatori cu ZnO. La baza stâlpului se va amenaja o priza artificiala de legare la p?mânt cu Rp&lt;4ohmi. - Din stalpul 35 realizare LES 20kV cu cablu tip XLPE 3x(1x185mm2) pe odistan?? de aproximativ 50m între celula de linie LE din PC si stalpul nou proiectat. - PC 20 kV proiectat in anvelopa de beton amplasata la cca 50m de LEA 20kV 9603, derivatie PTA118 Moara si va fi echipat cu: ? 1 celula de linie motorizata 24 kV, 630A, 16 kA cu separator de sarcina in SF6 conf. specificatii unificate Enel; ? 1 celula de masura motorizata UT cu separator si grup de masura format din dou? transformatoare de tensiune 20/0,1 kV, clasa de precizie 0,5 ?i dou? transformatoare de curent de 400/5A, clasa de precizie 0,2S si contor electronic trifazat static clasa de precizie 0,2s dotat cu Lucrari pe tarif de racordare: - Inlocuire stalp 35 cu alveole existent (SE 10) echipat cu separatorul de post PTA cu stalp special care se va echipa cu: consola de întindere MT, lan?uri duble de întindere cu izolatoare compozit, consola de derivatie, separator vertical STEPNV 24kV, set desc?rc?toare cu ZnO 20 kV, set capete terminale 20 kV de exterior performante. La baza stâlpului se va amenaja o priza artificiala de legare la p?mânt cu Rp &lt;4ohmi. Din acest stalp se va realiza racordul in LES 20kV catre compartimentul Enel din punctul de conexiune. - Realizare stalp nou 35 bis proiectat la o distanta de 15 metrii fata de stalpul 35 echipat cu separator orizontal de post, consola de intindere, descarcatori cu ZnO. La baza stâlpului se va amenaja o priza artificiala de legare la p?mânt cu Rp&lt;4ohmi. - Din stalpul 35 realizare LES 20kV cu cablu tip XLPE 3x(1x185mm2) pe o distan?? de aproximativ 50m între celula de linie LE din PC si stalpul nou proiectat. - PC 20 kV proiectat in anvelopa de beton amplasata la cca 50m de LEA 20kV 9603, derivatie PTA118 Moara si va fi echipat cu: ? 1 celula de linie motorizata 24 kV, 630A, 16 kA cu separator de sarcina in SF6 conf. specificatii unificate Enel; ? 1 celula de masura motorizata UT cu separator si grup de masura format din dou? transformatoare de tensiune 20/0,1 kV, clasa de precizie 0,5 ?i dou? transformatoare de curent de 400/5A, clasa de precizie 0,2S si contor electronic trifazat static clasa de precizie 0,2s dotat cu ?,,curba de sarcina si interfata de comunicatie RS 232 si modul comunicatie GSM, amplasat intr-o cutie de masura; cutia de masura se va amplasa intr-o nisa cu posibilitatea vizualizarii atat de catre E-Distributie cat si de catre beneficiar; ?,,? Integrarea in telecontrol a punctului de conexiuni proiectat realizata cu: UP 2020 LITE (conform GSTR002) -1 buc, baterii acumulatori -2 buc, TSA-1 buc, router pentru comunicatii 4G - CISCO IR1101, Swich-uri CISCO IE-4000-8S4G-E, dulap pentru echipamente de telecomunicatii FT- 045_TLC-M - TIP B si accesoriile de conectica: Patch-cord ftp cat.6e (lungime 1 m); Patch-cord ftp cat.6e (lungime 10 m). Punctul de conexiune 20 kV va fi amplasat la cca 50m de LEA 20kV 9603, derivatie PTA118, pe proprietatea utilizatorului cu acces din domeniu public. Terenul pe carese va amplasa PC va fi pus la dispozitia RETELE ELECTRICE DOBROGEA cu drept de uz, superficie si servitute pe toata durata existentei instalatiei electroenergetice. Achizitia si montarea contorului de decontare revin in sarcina Operatorului de Distributie Lucrari prin grija utilizatorului: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 LES 20 kV de Cu, 95 mmp, L? 20m între celulade m?sur? din compartimentul de racordare ?i celula cu înterup?tor din compartimentul utilizatorului ; ? Dispozitivul general -celula sosire cu intrerupator automat si separator in compartimentul utilizatorului (DG) cu u rmatoarele protectii: Sistemul de protectie general (SPG) asociat dispozitivului general cuprinde: ? protec?ie maximal? de curent cel pu?in pe doua faze, cu trei trepte. Prima treapta se folose?te împotriva suprasarcinii, a doua pentru a permite o functionare temporizata ?i a treia pentru a permite o interven?ie rapid?; ? protec?ie homopolar? direc?ional? cu dou? trepte (o treapta pentru punerile la pamant simple, ?i a doua treapta pentru duble puneri la pamant); ? maximala de curent directionala homopolara; Pentru racordarea producatorului in plus fata de DG (dispozitiv general) se va prevedea un dispozitiv, denumit Dispozitiv de Interfa?? (DI) in scopul de a garanta separarea instala?iei de producere de re?eaua de distribu?ie în caz de întrerupere de la re?ea.Sistemul de protectie SPI asociat DI contine relee de frecven??, de tensiune ?i eventual de tensiune homopolar?. Sistemul de protectie de interfata (SPI) asociat dispozitivului de interfata cuprinde: 1. functie protectie de tensiune minima /maxima in 2 trepte; 2. functie protectie de frecventa minima /maxima in 2 trepte; 3. functie de protectie de maxima de tensiune mediata la 10 minute. -serviciile interne in compartimentul de racordare se vor asigura din transformatorul monofazat de 4 kVA montat în compartimentul utilizatorului, dup? întrerup?torul general (DG), spre produc?tor.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 LES 20kV intre PC 20kV proiectat si CEF in lungime de 0,1 km - Posturi trafo si tablouri jt aferente parcului fotovoltaic trafo ? 2000kVA - Asigurare accesului la PC 20kV proiectat pentru OD. Materialele ?i echipamentele care se utilizeaz? la realizarea lucr?rilor de racordare trebuie s? fie noi, omologate sau certificate, dup? caz, dac? acest lucru este prev?zut în specifica?iile tehnice unificate, în conformitate cu procedurile aplicabile în grup ENEL ?i E-Distribu?ie Dobrogea. Celelalte materiale ?i echipamente, pentru care nu sunt elaborate specifica?ii tehnice unificate, trebuie s? fie noi, compatibile cu starea tehnic? a instala?iei, s? îndeplineasc? cerin?ele specifice de fiabilitate ?i siguran??.</t>
  </si>
  <si>
    <t xml:space="preserve">Retele Electrice Dobrogea SA
</t>
  </si>
  <si>
    <t>RAJA S.A.</t>
  </si>
  <si>
    <t>CONSTRUIRE CEF IN INCINTA COMPLEX INMAGAZINARE , TRATARE SI POMPARE PALAS</t>
  </si>
  <si>
    <t>S20 0422- DEPOZITE CT</t>
  </si>
  <si>
    <t>Se mentine alimentarea existenta. Nu se fac modificari de natura tehnica. Nu se va debita energie in retea. Se vor instala CEF pe partea de utilizare.</t>
  </si>
  <si>
    <t>Retele Electrice Dobrogea SA</t>
  </si>
  <si>
    <t xml:space="preserve">	
PC SUN ENERGY PRODUCTION SRL</t>
  </si>
  <si>
    <t xml:space="preserve">	
4.27574</t>
  </si>
  <si>
    <t>POIANA PV POWER PLANT SRL</t>
  </si>
  <si>
    <t>Parc Fotovoltaic CEF Mircea Voda 2</t>
  </si>
  <si>
    <t>LEA 110KV TOPALU-MEDGIDIA NORD</t>
  </si>
  <si>
    <t>Solutia 1 - Racordare CEF MIRCEA VODA 2 intrare-iesire in LEA 110kV Medgidia Nord – Topalu (in
statia de conexiuni MIRCEA VODA EST);
Punctul de racordare: se realizeaza la tensiunea de 110kV, la stalpul 140 al LEA 110kV Medgidia
Nord – Topalu.
Punctul comun de cuplare: la tensiunea de 110kV, la bara 110kV din noua statie de conexiuni
intrare-iesire Mircea Voda Est
Punctul de delimitare: la tensiunea de 110kV, noua statie de conexiuni intrare-iesire Mircea Voda Est,
la bornele separatorului 110kV plecare spre utilizator
Punctul de măsurare: la tensiunea de 110kV, in celula de masura din statia de conexiuni intrare-iesire Mircea
Voda Est.
Lucrari pe tarif de racordare:
- Se va sectiona LEA 110 kV Medgidia Nord-Topalu prin inlocuirea stalpului 140 existent cu stalp
nou proiectat de tip ITN TR 244, amplasat pe terenul utilizatorului, in aliniamentul LEA 110kV d.c.
Medgidia Nord-Topalu si Medgidia Nord – Silistea, langa stalpul existent nr. 140 care se va demonta
- Se va refolosi conductorul existent intre stapulul proiectat si stalpul adiacent mai indepartat,
montandu-se conductor nou de acelasi tip ALOL 185/32 mmp + OPGW, intre stapul proiectat si stalpul
adiacent nr.141 de sustinere inclusiv pe intreg panoul pe o lungime aprox. 4km;
- Se va monta conductor nou de acelasi tip ALOL 185/32mmp+OPGW intre stalpul nou proiectat
(nr. 140) si rigla statiei, pe o distanta de maxim 30m.
- Datorita faptului ca linia 110 kV Medgidia Nord-Topalu nu este prevazuta cu fibra optica pe toata
lungimea, integrarea Statiei de conexiuni 110kV Mircea Voda Est proiectate in sistemul de telecontrolse va
face prin montare fibra optica OPGW pe stalpi existenti, pe o lungime aprox. 3km, pe LEA 110kV Medgidia
Nord – Silistea spre statia Medgidia Nord pana la stalpul unde se afla prima cutie de jonctiune existenta
- Prin sectionarea LEA 110kV Medgidia Nord – Topalu se obtin doua linii scurte:
- LEA 110 kV Medgidia Nord – statie de conexiuni 110 kV Mircea Voda Est in lungime de
5,464 km
- LEA 110 kV statie de conexiuni 110 kV Mircea Voda Est – Topalu in lungime de 27,6 km
- Realizare statia de conexiuni 110 kV intrare-iesire Mircea Voda Est echipata cu:
 bara colectoare 110kV realizata cu bara rigida, sectionata, (cupla echipata complet cu 2
separatoare si un intrerupator) ;
 separator 110kV de by-pass in amonte de celulele de linie sosire din LEA; separator trifazat de
linie 123kV, 1600A.
 2 (doua) celule 110kV fiecare realizata cu: separator cu CLP spre linie, intrerupator cu comanda
uni-tripolara, separator de bara, 3 transformatoare de curent 400- 800/5/1/1A, 3 transformatoare de
tensiune 110/√3/2x(0,1/√3)//0,1 kV si 3 descarcatoare 110kV;
 celula masura de decontare realizata cu separator cu CLP, 3transformatoare de curent 200-
400/5/5/5A, 3 transformatoare de tensiune 110/√3/2x(0,1/√3)//0,1 kV, separator cu 2CLP;
 camera de comanda echipata cu: un dulap DQ7010 pentru protectie si control LEA 110 kV
Medgidia Nord (protectie de baza inclusiv protectia diferentiala de linie si protectia de rezerva); un dulap
DQ 7010 pentru protectie si control LEA 110 kV Topalu (protectie de baza linie si protectia de rezerva),
un dulap TPT-2020; un dulap TLC; un dulap SIS pentru sistemul integrat de securitate si alarmare la
efractie si incendiu; un dulap pentru DV 7078-Redr – statie energie; un dulap pentru DV 7078-Redresor;
un dulap DQ 1901-baterii de acumulatoare; un dulap DQ 7071 A2-SAcc - servicii auxiliare de curent
continuu; un dulap DQ 7071 A2-SAca - servicii auxiliare de curent altenativ, alimentate din TSI; un
dulap masura;
 Protectii adecvate liniilor in celulele de linie plecare spre statiile adiacente (grupa 1 pentru protectia
F22 Rev 6/P-05-10
Aviz tehnic de racordare nr 11692027 din data 07/05/2024 5/9
INTERNAL
de baza si grupa 2 pentru protectia de rezeva);
 Servicii interne c.c. si c.a.: serviciile interne de c.c. se vor asigura printr-o statie de energie, iar
serviciile de c.a. 0,4kV se vor asigura din instalatiile Utilizatorului, cu rezervare prin grup
electrogen; baterie de acumulatori 110Vc.c., dulap distributie c.c.; statie energie echipata cu
redresor; dulap distribtuei c.a. echipat cu 2 invertoare si AAR – 0,4kV inclusiv masura si control
izolatie si RTU pentru integrarea in SCADA servicii;
 Echipamente telecomunicatii, echipament central de teleconducere a statiei;
 Instalatie de legare la pamant; separator monofazat cu un cutit de legare la pamant;
 Sistem de supraveghere antiefractie;
 Gard de imprejmuire si drum de acces;
 Montare analizor pentru monitorizarea calitatii enegie electrice; Echipamentul trebuie sa asigure
in principal cerintele tehnice din specificatiile OD.
- integrarea Statiei de conexiuni 110kV Mircea Voda Est in sistemul de telecontrol prin montare de
fibra optica OPGW pe stalpi existenti, pe o lungime aprox. 3km, pe LEA 110kV Medgidia Nord – Silistea
spre statia Medgidia Nord pana la stalpul unde este montata prima cutie de jonctiune existenta;
- in Statia de transformare 110/6 kV Medgidia Nord, in celula existenta LEA 110 kV Topalu (Mircea
Voda EST) se va inlocui intrerupatorul 110kV comanda tripolara cu intrerupator 110kV comanda unitripolara; pentru asigurarea protectiilor se v-a complete camera de protectii cu urmatoarele: un dulap DQ
7010 pentru protectia si controlul LEA 110kV Medgidia Nord – Topalu (Mircea Voda EST) cu protectia de
baza inclusiv protectia diferentiala de linie si protectia de rezerva;
- In Statia de transformare 110/20 kV Topalu, in celula existenta LEA 110 kVMedgidia Nord (Mircea
Voda EST) se va inlocui intrerupatorul 110kV comanda tripolara existent cu intrerupator 110kV comanda
uni-tripolara; vor fi reintegrate functiile protectiilor existente (DRRI, RAR, comenzi locale, masurare in
statie) si se v-a completa camera de protectii cu urmatoarele: un dulap DQ 7010 pentru protectia si controlul
LEA 110 kV Topalu – Medgidia NORD (Mircea Voda EST) cu protectia de baza si protectia de rezerva;</t>
  </si>
  <si>
    <t>11692027</t>
  </si>
  <si>
    <t>SUNTRACK ALFA S.R.L.</t>
  </si>
  <si>
    <t>A20 6402 BANEASA- BANEASA CT</t>
  </si>
  <si>
    <t>Varianta unica: Racord radial in LEA 20kV 6402 la stalpul 6 dupa stalpul racord PTA Valeni (alimentata din statia 110/20kV Baneasa). Lucrari pe tarif de racordare: ,,Realizare racord radial pe LEA 20kV 6402 in stalpul 6. ,,In situatia actuala stalpul 6 este stalp centrifugat. Se va echipa stalpul 6 cu consola de derivatie si cu izolatori compozit de intindere. ,,La 10m fata de stalpul 6 se va planta un stalp nou special 6 bis. ,,Stalpul 6 bis se va echipa cu: consola de întindere MT, lanţuri duble de întindere cu izolatoare compozit, separator STEPNV 24kv in montaj vertical cu actionare de la sol, set descărcătoare cu ZnO 20 kv, set capete terminale 20 kv de exterior performante. La baza stâlpului se va amenaja câte o priza artificiala de legare la pământ cu Rp&lt;1 ohmi. ,,Pozare LES 20kv cu cablu tip XLPE 3x1x185mm2 pe o distanţă de aproximativ 20 m între celula de linie LE din PC proiectat şi stalpul 6 bis. ,,PC proiectat in anvelopa de beton amplasat langa LEA 20kv 6402 echipat cu: ,,o celula de linie 24 kV, tip LE, cu sistem trifazat de bare cu izolatie in aer, curent nominal 630A, echipata cu separator de sarcină 24 kV, cu mediul de stingere in SF 6, curent nominal admisibil de scurta durata pentru bare si derivatii 16 kA, cu CLP, motorizare 24 Vc.c., indicatoare prezenta tensiune, izolatori cu divizor de tensiune capacitiv legat la dispozitivul de semnalizare prezenta/absenta tensiune, transformatoare toroidale pentru detectarea si semnalizarea scurtcircuitelor mono si polifazate, RGDAT, rezistenta anticondens; ,,celulă de măsură 24 kV, tip UTM, sistem trifazat de bare cu izolatia in aer, curent nominal 630A, echipata cu separator de sarcina 24 kV, cu 3 pozitii, mediul de stingere un SF6, curent nominal admisibil de scurta durata pentru bare si derivatii 16 kA, un separator de punere la pamant ST 2 in amonte de grupul de masura, motorizare 24 V c.c., 2 reductori de curent 400/5A (de clasă 0,2S) si 2 reductori de tensiune 20/0,4kV(de clasa 0,2), indicatoare prezenta tensiune, rezistenta anticondens. Reductorii de curent si tensiune vor avea buletine de verificare metrologica. ,,sistem de integrare în telecontrol realizat prin: montarea de RGDAT-2 buc, UP 2020 LITE-1 buc, baterii acumulatori -2 buc, TSA-1 buc, router Rugged pentru comunicatii 4G - CISCO IR1101, Swich-uri rugged CISCO IE-4000-8S4G-E, dulap pentru echipamente de telecomunicatii FT-045_TLC-M - TIP B si accesoriile de conectica: Patch-cord ftp cat. 6e (lungime 1 m); Patch-cord ftp cat. 6e (lungime 10 m). Achizitia si montarea contorului revin in sarcina Operatorului de Distributie. Punctul de conexiune va fi cu acces din domeniu public. Terenul pe care se va amplasa PC va fi pus la dispozitia Retele Electrice Dobrogea cu drept de uz, superficie si servitute pe toata durata existentei instalatiei electroenergetice. Lucrari ce se realizeaza prin grija beneficiarului: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,,LES 20 kV de Cu, 65 mmp, L≤ 20m între celula de măsură din compartimentul de racordare şi celula cu înterupător din compartimentul utilizatorului ; ,,Dispozitivul general -celula sosire cu intrerupator automat si separator in compartimentul utilizatorului (DG) cu urmatoarele protectii: ,,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 Sistemul de protectie SPI asociat DI contine relee de frecvenţă, de tensiune şi eventual de tensiune homopolară. Sistemul de protectie de interfata (SPI) asociat dispozitivului de interfata cuprinde: ,,-functie protectie de tensiune minima /maxima in 2 trepte; ,,-functie protectie de frecventa minima /maxima in 2 trepte; ,,-functie de protectie de maxima de tensiune mediata la 10 minute. ,,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traductoarele,din instalatia de utilizare. Lungimea cablului nu trebuie sa depaseasca 20m. ,, ,,-LES 20kV intre PC 20kV proiectat si centrala CEF+IS Dobromir in lungime de 0,05 km ,,-Posturi trafo si tablouri jt aferente centralei CEF+IS Dobromir, trafo ≤ 2000kVA ,,-Asigurare accesului la PC 20kV proiectat pentru OD. In caz de defect pe derivatia Valeni de la nod 016261 CEF se va deconecta, utilizatorul asumandu-si in mod expres riscul deconectarii ca urmare a actionarii protectiilor si mentinerii starii de deconectare pana la revenirea la schema normala. Totodata, in aceasta situatie, utilizatorul renunta in mod expres la orice pretentii constand in compensatii si/ sau despagubiri pentru eventuale daune de orice natura provocate acestuia in situatia descrisa mai sus si avand legatura cu continuitatea si calitatea tehnica in alimentarea cu energie electrica. Declaratia notariala va fi transmisa impreuna cu solicitarea de emitere a avizului tehnic de racordare.</t>
  </si>
  <si>
    <t>IALOMITTA POWER STATION</t>
  </si>
  <si>
    <t>CEF 32,4 MW</t>
  </si>
  <si>
    <t>URZICENI 110/20 KV</t>
  </si>
  <si>
    <t>Varianta 1 – racordare în statia 110 kV Urziceni la tensiunea 110 kV prin intermediul unei noi celule echipate în extinderea statiei in exteriorul incintei actuale Lucrari pe tarif de racordare: -,,extinderea sistemului de bare B (cadru nou, izolatie, conductoare) cu extinderea/prelungirea barei 110 kV B existente cu trei (3) pași celulari pentru racordarea viitoarelor centrale fotovoltaice, inclusiv, CEF în analiză (CEF Alpha 29,4 MW, CEF Ialomitta 2 32,4 MW, CEF Omega 28 ,2 MW). Extinderea este posibilă prin securizarea unei suprafețe de teren necesare pentru echiparea celor trei pași celulari de aproximativ 2000 m2 . Pasul celular asociat CEF 32,4MW Ialomitta este dispus în continuarea pasului celular nou al LES 110 kV CEF 28,2 Omega MW. - Ansamblu instalație protecție diferențială de bare (PDB) la 110 kV conform NTE 011/12, care va fi prevăzută din: ▪ Unitate centrală PBD+DRRI, ▪ Unități distribuite PDB la nivel de celulă 110 kV existentă - Amplificarea sistemului de teleconducere al stației existente prin montarea unui nou TPT/RTU, - Celula (LES-bloc-transformator) de 110 kV plecare spre Utilizator echipată complet cu întreruptor si grup de măsură (contorul se vor pune la dispoziție de OD): Transformator de măsură de tensiune (TT): 0.2/3P/3P, 110/√3 kV / 0,1/√3 kV / 0,1/√3 kV / 0,1/√3 kV, respectiv, Transformator de măsură de curent (TC): 2S/5P/5P, 400-800/5/1/1A, ;celula va fi integrată în sistemul existent de circuite secundare, servicii interne şi telecontrol. Dulapurile de protecții aferente racordării vor fi amplasate în camera existentă de relee din cadrul stației 110/20 kV Urziceni - alte lucrări specifice: - extindere instalație iluminat exterior - completări ale dulapurilor de servicii interne c.c. şi c.a. cu întreruptoare pentru circuitele de alimentare ale celulei&lt;(&gt;,&lt;)&gt; - cabluri noi JT conform cerințelor SCADA, - montare analizor pentru monitorizarea calității energiei electrice. Echipamentul va trebui să asigure în principal cerințele tehnice din specificațiile tehnice (pus la dispoziție de OD) Lucrari ce se realizeaza prin grija beneficiarului : • stație de transformare 110/20 kV aferentă Utilizatorului, inclusiv celula 110 kV întreruptor (cu rol de dispozitiv general, dispozitiv de interfață cu protecțiile aferente), • racord ÎT - linie electrică subterană (LES) simplu circuit 110 kV de aproximativ 4,5 km lungime, între stația de racord şi stația 110/20 kV aferentă Utilizatorului, prevăzută cu fibră optică (OPUG), • realizare căi de comunicație de la instalațiile de monitorizare și instalațiile de reglaj secundar ale noii centrale până la interfața cu OD, • montare analizor pentru monitorizarea calității energiei electrice. Stația 20 kV CEF 32,4MW Ialomitta de colectare a puterii generate va fi echipata cu: ▪ Transformator 110/20 kV 40 MVA, ▪ celulă de transformator 110 kV echipată cu întreruptor ▪ celulă de transformator 20 kV complet echipată, ▪ celulă 20 kV racordare surse compensare putere reactivă, ▪ surse de compensare a puterii reactive, 5 MVAr, ▪ echipamente de măsură, comandă, teleprotecție Pentru terenul ocupat de instalatiile de racordare se va obtine drept de uz, servitute si superficie, de catre beneficiatul CEF in favoarea OD, cu mentionarea legislatiei in vigoare. Se va realiza drum de acces pentru personalul OD.</t>
  </si>
  <si>
    <t>NECMAR START-ENERGY S.R.L.</t>
  </si>
  <si>
    <t>CEF 3 MW-producator</t>
  </si>
  <si>
    <t>A20 10302- TRAIAN TL</t>
  </si>
  <si>
    <t>Varianta 1: Racordare intrare -iesire in LEA 20kV 10302 alimentata din statia de transformare 110/20 kV Traian Lucrări pe tarif de racordare: 1,,Demontare consola metalica si lanturi simple cu izolatori de sticla de pe stalpul existent nr. 132 si echipare stalp cu consola semiorizontala de intindere 2,,Echipare doi stalpi din beton existenti (nr. 132, nr.73), fiecare cu cate un set de lanturi duble cu izolatori compozit si cu cate un separator tripolar 24kV, 400 A cu cuțite de punere la pământ, montare verticală pe stâlp; 3,,Realizare trecere LEA 20kV in LES 20kV prin montarea pe fiecare din cei doi stalpi a unui set de terminale unipolare pentru exterior pentru cabluri MT cu camp radial cu izolatie extrudată şi un set de descărcătoare cu oxizi metalici si dispozitive de deconectare; 4,,Realizare LES 20kV cu cablu de medie tensiune tripolar, cu elice vizibila, cu izolație XLPE, cu conductori de sectiune 3x1x185 mmp, conform specificației OD pe o lungime de traseu de aproximativ 2x150m; 5,,Echiparea compartimentului de racordare al punctului de conexiuni cu: ▪ 2 celule de linie 24 kV, tip LE, cu sistem trifazat de bare cu izolatie in aer, curent nominal 630A, echipate cu separator de sarcină 24 kV, cu mediul de stingere in SF 6, curent nominal admisibil de scurta durata pentru bare si derivatii 16 kA, cu CLP, motorizare 24 Vc.c., indicatoare prezenta tensiune, izolatori cu divizor de tensiune capacitiv legat la dispozitivul de semnalizare prezenta/absenta tensiune, transformatoare toroidale pentru detectarea si semnalizarea scurtcircuitelor mono si polifazate, RGDAT, rezistenta anticondens; 6,,▪ o celulă de măsură 24 kV, tip UTM, sistem trifazat de bare cu izolatia in aer, curent nominal 630A, echipata cu separator de sarcina 24 kV, cu 3 pozitii, mediul de stingere un SF6, curent nominal admisibil de scurta durata pentru bare si derivatii 16 kA, un separator de punere la pamant ST 2 in amonte de grupul de masura, motorizare 24 V c.c., 2 reductori de curent 400/5A (de clasă 0,2S) si 2 reductori de tensiune 20/0,4kV(de clasa 0,2), indicatoare prezenta tensiune, rezistenta anticondens. Reductorii de curent si tensiune vor avea buletine de verificare metrologica. 7,,▪ integrarea in telecontrol a celulelor de linie si masura din PC 20kV proiectat prin montarea de RGDAT-2 buc , UP 2020 LITE-1 buc, baterii acumulatori -2 buc, TSA-1 buc, Router Rugged pt comunicatii 4G – CISCO IR1101, Swich-uri rugged CISCO IE-4000-8S4G-E, dulap pentru echipamente de telecomunicatii FT-045_TLC-M_ed02 – TIP B si accesoriile de conectica: Patch-cord ftp cat. 6e (lungime 10 m) Lucrări ce se realizează prin grija beneficiarului: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OD si un gabarit care sa permita montarea echipamentelor instalatiei de racordare si a inca unei celule de MT. -LES 20 kV de Cu, 95 mmp, L≤ 20m între celula de măsură din compartimentul de racordare şi celula cu înterupător din compartimentul utilizatorului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 Sistemul de protectie SPI asociat DI contine relee de frecvenţă, de tensiune şi eventual de tensiune homopolară. Sistemul de protectie de interfata (SPI) asociat dispozitivului de interfata cuprinde: •,,functie protectie de tensiune minima /maxima in 2 trepte; •,,functie protectie de frecventa minima /maxima in 2 trepte; •,,functie de protectie de maxima de tensiune mediata la 10 minute. -serviciile interne in compartimentul de racordare se vor asigura din transformatorul monofazat de 4 kVA montat în compartimentul utilizatorului, după întrerupătorul general (DG), spre producător.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-LES 20kV intre centrala si PC in lungime totala de 0,8 km in varianta 1, respectiv 8 km in varianta 2. -Posturi trafo si tablouri jt aferente centralei, trafo ≤ 2000kVA -Asigurare accesului la PC 20kV proiectat pentru OD.</t>
  </si>
  <si>
    <t>CONSAL TRADE CARIERA SRL</t>
  </si>
  <si>
    <t>LEA 110KV MEDGIDIA NORD-BALCESCU-CUZA VO</t>
  </si>
  <si>
    <t>Solutia 2: Racordare intrare-iesire in LEA 110 kV Nicolae Balcescu-Medgidia Nord intre stalpul 77 si 78; Lucrari pe tarif de racordare: Realizare racord 110kV dublu circuit (inclusiv fibra optica) pentru incadrarea statiei de conexiuni "intrare-iesire" -Realizare statie electrica de conexiune 110kV conectata intrare-iesire, intre stalpii 77 si 78, integrata in sistemul de telecontrol existent al OD. Statia de conexiuni intrare-iesire 110 kV Nicolae Balcescu Sud va fi prevazuta cu: -doua celule 110 kV echipate complet, fiecare cu cate un intrerupator cu comanda unitripolara si RAR monofazat echipate cu terminal numeric cu functii de protectie de baza (diferentiala de linie combinata cu distanta) si functii de protectie de rezerva&lt;(&gt;,&lt;)&gt; - desc rc toare cu oxizi de zinc&lt;(&gt;,&lt;)&gt; - Separator 110kV de by-pass in amonte de celulele de linie sosire din LEA; separator trifazat de linie 123kV, 1600A. - Bara colectoare 110kV simpla sectionata cu doua separatoare; - Celula 110kV plecare spre utilizator echipata cu separator 110kV si grup de masura; contorul se va achizitiona si monta de catre OD; - Protectii adecvate liniilor in celulele de linie plecare spre statiile adiacente; - Servicii interne c.c. si c.a.: serviciile interne de c.c. se vor asigura printr-o statie de energie, iar serviciile de c.a. 0,4kV se vor asigura din instalatiile Utilizatorului, cu rezervare prin grup electrogen; baterie de acumulatori 110Vc.c.&lt;(&gt;,&lt;)&gt; dulap distributie c.c.; statie energie echipat cu 2 redresoare; dulap distribtuei c.a. echipat cu 2 invertoare si AAR 0,4kV inclusiv masura si control izolatie si RTU pentru integrarea in SCADA servicii; - Echipamente telecomunicatii, echipament central de teleconducere a statiei; - Instalatie de legare la pamant; separator monofazat cu un cutit de legare la pamant; - Sistem de supraveghere antiefractie; - Gard de imprejmuire si drum de acces; - Montare analizor pentru monitorizarea calitatii enegie electrice; Montare intrerupator cu comanda uni/tripolara 110 kV in statia 110/20 kV Medgidia Nord pe celula liniei N. Balcescu Montare intrerupator cu comanda uni/tripolara 110 kV in statia 110/6 kV Cuza Voda pe celula liniei Medgidia Nord; LEA 110kV Madgidia Nord Nicolae Balcescu este echipata cu fibra optica; Montare dulapuri protectii aferente (echipate complet: grupa 1 de baza si grupa 2 de rezerva) inclusiv pentru realizare protectie la 3 capete (intre statiile Nicolae Balcescu, Cuza Voda si Medgidia Nord); Montare celula de masura pe bara 110 kV in statia Nicolae Balcescu; Se va inlocui releul de protectie al celulei 110kV CTF din statia de transformare Medgidia Nord cu un releu de protectie similar cu cel prevazut in celula de linie LEA 110kV Nicolae Balcescu Medgidia Nord (statia conexiuni 110kV Nicolae Balcescu Sud proiectata), care are inclusa si protec ia diferen ial de linie. Astfel, la preluarea celulei de linie LEA 110kV Nicolae Balcescu Medgidia Nord (statia conexiuni 110kV Nicolae Balcescu Sud proiectata) pe bara de transfer, protectiile corespunzatoare celulei de linie LEA 110kV Nicolae Balcescu Medgidia Nord se vor mentine in functiune, iar impulsurile de declan are/teledeclan are vor fi comutate, automat, de la releul de protectie al cuplei de transfer 110 kV. Aceste lucrari se vor realiza/detalia in fazele urmatoare de proiectare (Caiet de Sarcini, Proiect Tehnic si detalii de executie). Achizitia si montarea contorului de decontare revin in sarcina Operatorului de Distributie. Lucrari prin grija utilizatorului: - Realizare racord aerian 110 kV (inclusiv FO) intre celula noua 110 kV din statia de conexiune pana statia de transformare aferenta; statia de coneviune 110 kV este amplasata spate in spate cu statia de transformare; -Realizare celula 110 kV cu intrerupator dupa punctul de delimitare(cu rol de dispozitiv general, dispozitiv de interfata cu protectiile aferente inclusiv protectie diferentiala, servicii interne, etc.) -Statie de transformare 110 kV/MT aferenta utilizator, statia va fi echipata cu un transformator de 40 MVA. -Realizare cai de comunicatie de la instalatiile de monitorizare si instalatiile de reglaj secundar ale noii centrale pana la interfata cu Transelectrica. - integrarea dispozitivului general in sistemul de telecontrol al OD pentru transmitere pozitie intrerupator; - montare analizor pentru monitorizarea calitatii energiei electrice. - realizarea functiilor de protectie, conducere si teleconducere aferente celulei de transformator prin montarea unui dulap de protectie. Functiile de protectie necesar a fi asigurate sunt cele corespunzatoare - functiilor DG si DI. - terminalele numerice de protec ie (care vor respecta prevederile din NTE 011/12/00) din celula 110 kV Trafo 40 MVA, 110/20 kV, din statia 110 kV CEF Nicolae Balcescu 2 vor avea incluse si functii de protectie de antiinsularizare: - functia de protec ie de maxima tensiune, functia de protectie de maxima frecventa , functtia de protectie de minima tensiune si functia de protectie de minima frecventa.</t>
  </si>
  <si>
    <t>La nivelul tensiunii 20 kV – bara MT a stației electrice de transformare 110/20 kV Bordușani</t>
  </si>
  <si>
    <t>TOPSIDE SERVICES S.R.L.</t>
  </si>
  <si>
    <t>CENTRALA ELECTRICA EOLIANA</t>
  </si>
  <si>
    <t>ORAVITA 110/20KV</t>
  </si>
  <si>
    <t>RETELE ELECTRICE BANAT SA</t>
  </si>
  <si>
    <t>Realizarea lucrărilor de întărire cu caracter gene criteriului cu N-1 elemente in functiune in RED 110 kV: Varianta 2 - Reconductorare LEA de 110 kV Oraviţa – Ciudanoviţa-32,632 km cu conductor cu capacitate marita Imin 850 A; - Reconductorare LEA de 110 kV Ciudanoviţa – Reşiţa-31,727 km cu conductor cu capacitate marita Imin 850 A; - Reconductorare LEA de 110 kV Oraviţa – Reşiţa-57,97 km cu conductor cu capacitate marita Imin 1000 A; - Reconductorare LEA de 110 kV Ponor – Anina-8,618 km cu conductor cu capacitate marita Imin 1000 A; - Reconductorare LEA de 110 kV Anina – Reşiţa-34,237 km cu conductor cu capacitate marita Imin 1000 A; - Reconductorare LEA de 110 kV CEE Oraviţa – Oraviţa-12,3 km cu conductor cu capacitate marita Imin 850 A; - Reconductorare LEA de 110 kV Moldova Nouă – Ponor-57,022 km cu conductor cu capacitate marita Imin 1000 A; - Reconductorare LEA de 110 kV Armeniş – Balta Sărată-23,756 km cu conductor cu capacitate marita Imin 850 A, lucrari ce nu sunt incluse în planul de investitii al Retele Electrice Banat. Total=258,262 km. Realizarea lucrărilor de întărire cu caracter general pentru respectarea criteriului cu N-1 elemente in functiune in RET: Lucrari prevazute in Planul de Dezvoltare al RET al CNTEE Transelectrica. - Trecerea la tensiunea de 400 kV a axului Porțile de Fier Reșița - Timișoara - Săcălaz - Arad. Etapa I: Extindere- stație 400 kV Porțile de Fier; LEA 400 kV Porțile de Fier - Reșița; stația 400 kV Reșița - LEA 400 kV Porțile de Fier - Reșița-2024. - Trecerea la tensiunea de 400 kV a axului Porțile de Fier Reșița - Timișoara - Săcălaz - Arad. Etapa I: Extindere- stație 400 kV Porțile de Fier; LEA 400 kV Porțile de Fier - Reșița; stația 400 kV Reșița - Stația 400 kV Reșița-2025.  - Trecerea la tensiunea de 400 kV a axului Porțile de Fier - Reșița - Timișoara - Săcălaz - Arad. Etapa II : LEA 400 kV d.c. Reșița - Timișoara - Săcălaz + stația 400 kV Timișoara + stația 110 kV Timișoara - Retehnologizare stația 110 kV Timișoara și Trecerea la tensiunea de 400 kV a axului Porțile de Fier - Anina - Reșița - Timișoara - Săcălaz - Arad, etapa II: Stația 400 kV Timișoara-2026. - Trecerea la tensiunea de 400 kV a axului Porțile de Fier - Reșița - Timișoara - Săcălaz - Arad. Etapa II : LEA 400 kV d.c. Reșița - Timișoara - Săcălaz + stația 400 kV Timișoara + stația 110 kV Timișoara - LEA 400 kV d.c. Reșița - Timișoara - Săcălaz-2026. - Trecerea la tensiunea de 400 kV a axului Porțile de Fier - Reșița - Timișoara - Săcălaz - Arad. Etapa III: LEA 400 kV d.c. Timișoara - Săcălaz - Arad + stația 400/110 kV Săcălaz + extindere stația 400 Arad - Stația 400 kV Săcălaz si retehnologizare stația 110 kV Săcălaz-2028. - Trecerea la tensiunea de 400 kV a axului Porțile de Fier - Reșița - Timișoara - Săcălaz - Arad. Etapa III: LEA 400 kV d.c. Timișoara - Săcălaz - Arad + stația 400/110 kV Săcălaz + extindere stația 400 Arad - Extindere stație 400 kV Arad si retehnologizare stația de 110 kV Arad-2028. Lucrari care nu sunt prevazutre in Planul de Dezvoltare al RET al CNTEE Transelectrica Amplificarea: Autotransformator 220 / 110 kV Reşiţa -200 MVA la 250 MVA; Transformator 400 / 110 kV Reşiţa – 250 MVA la 400 MVA. Beneficiarul centralei CEE Oravita-Poieni 46,2 MW a optat prin adresa nr.1/15.01.2024 pentru prevederile ord. 81/2022 cu referire la limitarea operationala a puterii tinand cont de contingentele la care au rezultat suprasarcini in RED/RET. Descrierea sistemului de limitare operationala conform studiului de solutie: - Monitorizarea în timp real a contingenței periculoase sau/și a circulației de putere pe un element de rețea necesită montarea unui echipament de culegere, prelucrare și transmitere date, de tip Remote Terminal Unit (RTU) în stațiile de transformare identificate. - La o celulă, preluarea semnalelor necesare pentru realizarea ALO se va face cu un singur RTU (eventual redundant) indiferent de numărul de utilizatori care necesită monitorizarea datelor din celula respectivă. Modalitatea de oferire a semnalelor către toți utilizatorii interesați, precum și modul de realizare a transmiterii datelor pe căile de comunicație se va face de comun acord între utilizatori, prin convenție de exploatare. - Echipamentele de tip RTU care se montează în instalațiile OTS/OD trebuie să îndeplinească toate condițiile tehnice impuse echipamentelor din sistemele de circuite secundare, conform normei tehnice ANRE cod NTE-011/12/00 „Normă tehnică pentru proiectarea sistemelor de circuite secundare ale stațiilor electrice”. - Echipamentele de tip RTU care se montează în instalațiile OTS trebuie să îndeplinească și toate condițiile impuse terminalelor de protecție, control și automatizare din instalațiile OTS, conform normei tehnice interne Transelectrica, cod NTI-TEL-S-003-2009-01 “Detalii și specificații de echipamente pentru realizarea sistemului de comandă, control, protecție și automatizare pentru nivelul 400 kV, 220 kV și 110 kV LEA/LES/Cuple din stațiile electrice modernizate, pe tipuri de scheme primare”, pct. 0.4. „Standarde și acte normative de referință”. Se va acorda o atenție deosebită pentru SR EN Seria 61000.4-12 „Compatibilitate electromagnetică”, SR EN 61508 „Securitatea funcțională a sistemelor electrice/electronice”, IEC 60068 – „Environmental conditions” și setul IEC 60255 aplicabil. - Echipamentele destinate ALO trebuie montate separat de echipamentele de protecție, control și automatizare din instalațiile OTS, în dulapuri realizate conform NTI-TEL-S-018-2014-00 (Realizare dulapuri și cofrete circuite secundare) sau cofrete proprii. Nu se acceptă montarea acestor echipamente în dulapurile de protecție și control din instalațiile OTS/OD. - Echipamentele de automatizare vor fi montate în cabinele de relee/camera de comanda unde se află dulapurile de control și protecție aferente celulelor de 110 kV, 220 kV si 400 kV din statii. - Preluarea poziției întreruptorului sau întreruptoarelor se va face de la contactele auxiliare din dispozitivele de acționare (stații poligonale sau 1½ întreruptoare pe circuit) și trebuie aplicată pe intrări binare duale ale RTU, intrări prevăzute cu optocuploare și posibilități adecvate de reglare a pragului de acționare și de filtrare a vibrațiilor. Trebuie utilizate contacte auxiliare de semnalizare (CSA), libere de potențial, destinate exclusiv ALO, separate de cele utilizate de sistemele de protecție, control și automatizare ale liniei. - Pentru întreruptoarele prevăzute cu dispozitive de acționare monopolare, poziția deconectat și confirmat trebuie preluată prin CSA normal închise înseriate și libere de potențial. Poziția conectat și confirmat trebuie preluată prin CSA normal deschise înseriate și libere de potențial. Trebuie acordată o atenție deosebită modului de tratare a poziției întreruptorului, deoarece poziția neconformă/neconfirmată a întreruptorului va conduce la reducerea puterii generate sau la declanșarea centralei. - Preluarea semnalelor de declanșare trifazată prin protecția grupa 1, protecția grupa 2, PDB și DRRI trebuie realizată pe intrări binare ale ALO, dotate cu optocuploare și prevăzute cu posibilități adecvate de reglare a pragului de acționare și de filtrare a vibrațiilor. Dacă sunt necesare relee auxiliare de multiplicare, acestea trebuie să fie rapide (pentru încadrarea în timpul critic de reducere/declanșare centrală), corespunzătoare montării în instalațiile OTS/OD și incluse în proiectul ALO. În cazul în care dulapul/cofretul ALO se montează la depărtare de cabinele de protecție, trebuie prevăzute în proiect media-convertoare electric/optic pentru fiecare semnal binar, atât la sursă, cât și la nivelul RTU. Cablul de fibră optică trebuie să fie cuprins în proiectul ALO. - Se acceptă preluarea exclusiv a informației privind poziția întreruptoarelor, fără preluarea semnalelor de declanșare prin protecții , numai dacă timpul total de acționare al ALO menține siguranța în funcționare a SEN. - Toate semnalele binare se vor prelua din celulă prin conductoare de cupru, iar starea intrărilor binare din RTU se va monitoriza pe LED-urile echipamentului. Semnalele de declanșare de la protecții se vor automenține pe LED-uri, până la anularea manuală. - Defectarea RTU și a interfețelor de comunicație trebuie să fie semnalizată optic în dulapul/cofretul destinat ALO. - ALO trebuie să includă atât căile de comunicație (principală, respectiv de rezervă) între echipamentele dedicate culegerii de date și echipamentul din centrală, cât și eventualele convertoare necesare transmiterii de date. Calea de comunicație trebuie să fie redundantă, si se acceptă a se realiza prin protocol de comunicație de tip GSM, numai dacă timpul total de acționare al ALO menține siguranța în funcționare a SEN. Trebuie utilizate protocoale standardizate și echipamente special dedicate asigurării securității cibernetice. În cazul în care se utilizează echipamente/circuite de comunicație ale OTS, utilizatorul trebuie să asigure măsuri solide de securitate cibernetică și care să evite orice interferență asupra comunicațiilor OTS. - Utilizatorul/utilizatorii poate/pot solicita realizarea redundanței și la nivel de RTU pentru creșterea gradului de disponibilitate a ALO.</t>
  </si>
  <si>
    <t>ORASUL MOLDOVA NOUA</t>
  </si>
  <si>
    <t>DEZVOLTAREA UNEI CENTRALE FOTOVOLTAICE</t>
  </si>
  <si>
    <t>MOLDOVA NOUA 110/20/6KV</t>
  </si>
  <si>
    <t>Realizarea lucrărilor de întărire cu caracter general pentru respectarea criteriului cu N elemente in functiune in RET: Lucrari de inatrire din Planul de Dezvoltare RET 2021-2031: - Reconstruirea stației 400/220/110 kV Reșița PIF 2025 Realizarea lucrărilor de întărire pentru respectarea criteriului cu N elemente in functiune in RED: - Reconductorare LEA 110 kV Reșița - CFR Caransebeș = 26,4 km (minim 850 A) Realizarea lucrărilor de întărire cu caracter general pentru respectarea criteriului cu N-1 elemente in functiune in RED 110 kV: - Reconductorare LEA 110 kV CFR Caransebeș - Iaz = 11,8 km (minim 850 A) - Reconductorare LEA 110 kV CFR Caransebeș - Balta Sărată = 9,2 km (minim 850 A) - Reconductorare LEA 110 kV Moldova Nouă - Oravița C1 = 42,5 km (minim 850 A) - Reconductorare LEA 110 kV Moldova Nouă - Oravița C2 = 44,25 km (minim 850 A) - Reconductorare LEA 110 kV Oravița - Reșița = 58 km (minim 850 A) - Reconductorare LEA 110 kV Oravița - Ciudanovița = 32,6 km (minim 850 A) - Reconductorare LEA 110 kV Ciudanovița - Reșița = 31,7 km (minim 850 A) - Reconductorare LEA 110 kV Moldova Nouă - Ponor = 57 km (minim 850 A) - Reconductorare LEA 110 kV Ponor - Anina = 8,6 km (minim 850 A) - Reconductorare LEA 110 kV Anina - Reșița = 34,2 km (minim 850 A) Evaluarea lucrărilor de întărire:  În situația în care punctul de racordare este la medie tensiune, pe bara de medie tensiune stații de transformare 110 kV/MT, tariful specific pentru calculul componentei TI a tarifului de racordare se notează i7 și se stabilește utilizând următoarea formulă:  i7 = iST110/MT + iLE110 [lei/MVA]= 432.000 + 231.000 = 663.000lei /MVA  (Ti) = Sn x i7 = Sn x (iST110/MT + iLE110) = 1,89178 MVA x 663.000 lei/MVA = 1.254.250,14 lei fără TVA Valoarea Ti calculată pe bază de deviz general aferentă OD/OTS cu lucrări de întărire la N și N-1: La N elemente: (Ti)SS = 26.810.095,20 lei fără TVA din care: Ti RED= 26.810.095,20lei fara TVA Ti OTS = 0 lei fără TVA La N-1 elemente: (Ti)SS = 294.247.102,20 lei fără TVA din care: Ti RED = 294.247.102,20 lei fara TVA Ti OTS = 0 lei fara TVA (Ti)SStot = 26.810.095,20 lei+ 294.247.102,20 lei= 321.057.197,40 lei fără TVA Astfel valoarea componentei Ti considerata la calculul tarifului de racordare este: Ti =min (321.057.197,40 lei; 1.254.250,14 lei) = 1.254.250,14 lei fara TVA(varianta 1) Termenul posibil de realizare a lucrărilor de intarire in RED 110kV este 7.764 zile lucratoare, la N si N-1 elemente (fara limitare operationala), de la momentul obtinerii obtinerii avizelor si autorizatiilor de construire. S-a calculat timpul necesar realizarii lucrarilor de intarire pentru racordarea CEF astfel: La N: 1 x10 luni x 22 zile lucratoare + 15 zile/km x 26,4 km = 616 zile lucratoare pentru reconductorari LEA 110 kV La N-1: 10 x10 luni x 22 zile lucratoare + 15 zile/km x 329,85 km = 7.148 zile lucratoare pentru reconductorari LEA 110 kV</t>
  </si>
  <si>
    <t>Actualizare ATR 17879999</t>
  </si>
  <si>
    <t>Realizarea lucrărilor de întărire cu caracter gene criteriului cu N elemente in functiune in RED 110 kV: - in statia 110/20 kV Varfuri apartinand Distributie Energie Electrica Romania se vor inlocui transformatoarele de curent existente in celula LEA 110 kV Sebis cu 3 buc. transformatoare de curent monopolare: 2x300/5/5/5/5 A, clasa de precizie 0,2s – 3 buc Realizarea lucrărilor de întărire cu caracter general pentru respectarea criteriului cu N-1 elemente in functiune in RED 110 kV: Reconductorare linii electrice existente 110 kV prin inlocuirea conductorului existent cu conductor cu capacitate marita cu Imin=850 A: Total LEA 110 kV REB =146,9km ▪ LEA 110 kV CFR Deva-Peștiș (8,9 km) ▪ LEA 110 kV Mintia-Băița (27,4 km) ▪ LEA 110 kV Vârfurile-Crîșcior (45,4 km gestiune REB) ▪ LEA 110 kV Crîșcior-Băița (13 km) ▪ LEA 110 kV Mintia-Brad (29,1 km) ▪ LEA 110 kV Brad-Vașcău (23,1 km gestiune REB) Total LEA 110 kV DEER =199,3 km: ▪ LEA 110 kV Brad-Vașcău (27,1 kmgestiune DEER) ▪ LEA 110 kV Vârfurile-Crișcior (7,5 km gestiune DEER) ▪ LEA 110 kV Vârfurile-Vașcău (29 km) ▪ LEA 110 kV Beiuș-Oradea Sud (59,6 km) ▪ LEA 110 kV Oradea Sud-Sudrigiu (61,9 km) ▪ LEA 110 kV Vașcău-Sudrigiu (14,2 km) Total LEA 110 kV: 346,2 km Realizarea lucrărilor de întărire pentru respectarea criteriului cu N-1 elemente in functiune in RET: ▪ Amplificare T1 &amp; T2 400/110 kV Oradea Sud de la 250 MVA la 400 MVA ▪ Instalare T3 400/110 kV Oradea Sud 400 MVA Beneficiarul CEF Sebis GREEN GRID ONE doreste punerea in functiune conform cererii de racordare in anul 2026 si a optat pentru prevederile ord. 81/2022 cu referire la limitarea operationala a puterii tinand cont de contingentele la care au rezultat suprasarcini in RED/RET. Functionarea sistemului de automatizare Sistemul de automatizare are rolul de limitare operationala de tip deconectare (limitarea la 0 a puterii debitata de centrala) in situatia in care una din celulele care produc o situație de contingență este deconectata. Sistemul a fost gandit sa actioneze rapid, eficient si sigur in orice situatie de contingenta iar centrala va fi deconectata instantaneu in cazul aparitiei oricarei situatii ce poate conduce la suprasolicitarea oricarui element ramas in functiune. La o celulă, preluarea semnalelor necesare pentru realizarea ALO se va face cu un echipament tip RTU cu module de redundanta, indiferent de numărul de utilizatori care necesită monitorizarea datelor din celula respectivă. Echipamentele de tip RTU care se montează în instalațiile OTS/OD trebuie să îndeplinească condițiile tehnice impuse echipamentelor din sistemele de circuite secundare, conform normei tehnice ANRE cod NTE-011/12/00 „Normă tehnică pentru proiectarea sistemelor de circuite secundare ale stațiilor electrice”. Echipamentele de tip RTU care se montează în instalațiile OTS trebuie să îndeplinească și toate condițiile impuse terminalelor de protecție, control și automatizare din instalațiile OTS, conform normei tehnice interne Transelectrica, cod NTI-TEL-S-003-2009-01 “Detalii și specificații de echipamente pentru realizarea sistemului de comandă, control, protecție și automatizare pentru nivelul 400 kV, 220 kV și 110 kV LEA/LES/Cuple din stațiile electrice modernizate, pe tipuri de scheme primare”, pct. 0.4. „Standarde și acte normative de referință</t>
  </si>
  <si>
    <t>CEF Tomnatic</t>
  </si>
  <si>
    <t>Realizarea lucrărilor de întărire cu caracter gene criteriului cu N elemente în funcțiune în RED: Cazul 1. Intrerupatorul 110 kV aferent celulei Lovrin in statia 110/20 kV Sannicolau Mare deconectat (intrerupator RABD stare deconectat) Reconductorare LEA 110 kV Carpinis – Lovrin 22.46 km Reconductorare LEA 110 kV Carpinis – Sacalaz 24.62 km Reconductorare total 47,08 km LEA cu Ilim =850 A Amplificare grup tratare neutru existent prin inlocuire BS existenta 50 A cu bobina 30-200A inclusiv TFN/SA si dispozitiv DAN in Statia 110/20 kV Lovrin. Cazul 2. Intrerupatorul 110 kV aferent celulei Lovrin in statia 110/20 kV Sannicolau Mare conectat (intrerupator RABD stare conectat) Se va pune in functiune LEA 110 kV Arad- Teba prin inchiderea intrerupatorului aferent liniei in Statia 110/20 kV Teba. Reconductorare LEA 110 kV Carpinis – Lovrin 22.46 km Reconductorare LEA 110 kV Carpinis – Sacalaz 24.62 km Reconductorare total 47,08 km LEA cu Ilim =850 A Amplificare grup tratare neutru existent prin inlocuire BS existenta 50 A cu bobina 30-200A inclusiv TFN/SA si dispozitiv DAN in Statia 110/20 kV Lovrin. Realizarea lucrărilor de întărire cu caracter general pentru respectarea criteriului cu N elemente în funcțiune în RET: Cazul 1. Intrerupatorul 110 kV aferent celulei Lovrin in statia 110/20 kV Sannicolaul Mare deconectat (intrerupator RABD stare deconectat);-nu e cazul Cazul 2. Intrerupatorul 110 kV aferent celulei Lovrin in statia 110/20 kV Sannicolaul Mare conectat (intrerupator RABD stare conectat) -nu este aplicabil deoarece prin aplicarea limitarii operationale, CEF va fi deconectata la modificarea pozitiei intrerupatorului celulei 110 kV din statia Sannicolau Mare sosire LEA 110 kV Lovrin Realizarea lucrărilor de întărire cu caracter general pentru respectarea criteriului cu N-1 elemente în funcțiune în RED 110 kV: Cazul 1.SN cu intrerupatorul 110 kV aferent celulei Lovrin in Statia 110/20 kV Sannicolau Mare Deconectat(intrerupator RABD stare deconectat): -nu e cazul Cazul 2.SN cu intrerupatorul 110 kV aferent celulei Lovrin in Statia 110/20 kV Sannicolau Mare Conectat (intrerupator RABD stare conectat) Se va pune in functiune LEA 110 kV Arad- Teba prin inchiderea intrerupatorului aferent liniei in Statia 110/20 kV Teba. LEA 110 kV Lovrin – Sannicolau Mare 14.42 km LEA 110 kV Sannicolau Mare Semlac - 26,02 km LEA 110 kV Semlac – Teba - 33.23 km LES 110 kV Teba – Padurice - 4.1 km LES 110 kV Padurice – Muresel -1.8 km LEA 110 kV Muresel – Arad - 5.95 km Total LEA 79,62 km reconductorare cu Ilim=850 A si inlocuire LES 110 kV 3x500 l=5,9 km Realizarea lucrărilor de întărire pentru respectarea criteriului cu N-1 elemente în funcțiune în RET: Cazul 1.SN cu intrerupatorul 110 kV aferent celulei Lovrin in Statia 110/20 kV Sannicolaul Mare Deconectat (intrerupator RABD stare deconectat) -nu e cazul Cazul 2.SN cu intrerupatorul 110 kV aferent celulei Lovrin in Statia 110/20 kV Sannicolau Mare Conectat (intrerupator RABD stare conectat); -nu este aplicabil deoarece prin aplicarea limitarii operationale, CEF va fi deconectata la modificarea pozitiei intrerupatorului celulei 110 kV din statia Sannicolau Mare sosire LEA 110 kV Lovrin. Evaluarea lucrarilor de intarire Beneficiarul CEF Tomnatic 2,5 MW dorește punerea în funcțiune conform cererii de racordare si a optat pentru prevederile ord. 81/2022 cu referire la limitarea operațională a puterii ținând cont de contingențele la care au rezultat suprasarcini in RED/RET. Deconectarea centralei electrice analizate se va realiza prin sistemul automat de deconectare a centralei la declansarea liniilor stabilite in studiul de solutie pentru care apar suprasarcini in reteaua RED/RET analizata. Sistemul automat de deconectare a CE va fi realizat cu relee numerice tip PLC ( Siemens S7-1200) ce se vor monta in nodurile de racord ale liniilor de interes pentru racordarea noii CE conform prevederilor Ord 81/2022. Elementele de comanda control tip PLC ( Siemens S7-1200) sunt montate in nodurile de racord ale liniilor de interes pentru racordarea noii CE si monitorizeaza pozitia intrerupatorului pe linia RED/RET analizata. La declansarea intrerupatorului monitorizat elementul PLC comunica prin retea 4G LTE cu sistemul TCSB (Telecontrol Server Basic) montat in statia de racord a noii centrale integrat in sistemul de comanda si protectie a intrerupatorului trafo a centralei electrice analizate. Comunicarea se realizeaza prin reteaua publica de telefonie mobile (orice operator de telefonie zonal) prin modulul de comunicatie atasat fiecarui element PLC montat in statiile operatorului de distributie sau transport. Fiecare modul de comunicatie va fi echipat cu o cartela de date mobile ce va permite transmiterea de informatii si comenzi catre PLC ul din statia de transfomare a centralei electrice prin sistemul mobil wireless 4G. Solutia propusa necesita un abonament de date la un operator de telefonie mobila abonament de tip APN cu IP fix (static). Costul abonamentului va fi suportat integral de catre beneficiar; Costurile mentenantei echipamentului vor fi suportate integral de beneficiar; La primirea inputului setat pentru PLC ul montat in statia OD/OT la declansarea intrerupator analizat sau la pierderea comunicatiei PLC ului din statia OD/OT cu PLC ul din statia de transformare a centralei se comuta contactul 1 sau 2 conectate in paralel ale PLC ului si se transmite semnal catre sistemul Master din statia centralei ce comanda la randul sau deconectare intrerupator 20/110kV a transformatorului centralei. Pierderea comunicatiei sau orice eroarea de comunicatie conduce la deconectarea intrerupatorului din statia de transformare a centralei electrice; La disparitia inputului si revenirea la schema normala de functionare (anclansare a intrerupatorului din statia OD/OT) se va anclansa intrerupatorul din statia de transformare a centralei daca parametrii retelei o permit conform Ord 208 si a pragurilor setate pentru functionarea centralei conform categoriei de producator din care face parte centrala electrica analizata. Se va implementa o temporizare (stabilita de OD/OT) a anclansarii intrerupatorului 20/110 kV din statia de transformare a CE pentru evitarea conectarii centralei la functionarea RAR ului pe LEA RED/RET analizate. Costul abonamentului va fi suportat integral de către Utilizator pentru toate instalațiile montate in RED și în instalațiile proprii.</t>
  </si>
  <si>
    <t>CORNEL GREEN ENERGY SRL</t>
  </si>
  <si>
    <t>Construire Centrala Electrica Fotovoltaica si racordare la SEN</t>
  </si>
  <si>
    <t>A20 SINTEA-POLTURA AR</t>
  </si>
  <si>
    <t>Realizarea lucrărilor de întărire cu caracter general pentru respectarea criteriului cu N elemente în funcțiune în RED:
- Reconductorare LEA 20 kV Horia din Statia 110/20 kV Poltura, cu conductoare OLAl de sectiune 95 mmp, pe o lungime de 75 m cu inlocuirea stalpilor nr. 88 si 81 din Axul LEA 20 kV Horia, si a stalpilor 81/1 si 81/2 din racordul existent din stalpul nr. 81 al LEA 20 kV Horia.
- Demontarea RAT 7 existent in pe stalpul nr. 88 din axul LEA 20 kV Horia din Statia 110/20 kV Poltura si remontarea pe stalpul nou proiectat.
Evaluarea lucrarilor de intarire
În situația în care punctul de racordare este la medie tensiune, într-o linie electrică aeriană, tariful specific pentru calculul componentei TI a tarifului de racordare se notează i5 și se stabilește utilizând următoarea formulă:
i5 = iMTA + iST110/MT [lei/MVA].
iST 110/MT=432.000,00 lei/MVA
iMTA=97.000 lei/MVA
(Ti)calcul = Sevacuare x i5 = 3,283MVA x 529.000 lei/MVA = 1.736.707 lei fara TVA
Valoarea Ti calculată pe bază de deviz general (Ti )SS= 140.816,06 lei fara TVA
Astfel valoarea componentei T(I) care se va considera la calculul tarifului de racordare este:
Ti =min (140.816,06 lei; 1.736.707lei) = 140.816,06 lei fara TVA
Termenul posibil de realizare a lucrărilor de intarire in RED pentru pct. 3 solutia 1, pentru lucrarile de intarire din gestiunea Retele Electrice Banat , este 199 zile lucratoare.
S-a calculat timpul necesar realizarii lucrarilor de intarire necesare in instalatiile Retele Electrice Banat pentru racordarea CEF astfel:
La N: reconductorare LEA 20kV : 9luni xx1linie x 22 zile lucratoare+15zile/kmx0,075km=199 zile lucratoare.
Nu sunt inclusi timpii de obtinere a avizelor si acordurilor proprietarilor.</t>
  </si>
  <si>
    <t>SC FAIR PLAY SERBAN SRL</t>
  </si>
  <si>
    <t>Ferma fotovoltaica Santana</t>
  </si>
  <si>
    <t>A20 HAI SANTANA-PINCOTA AR</t>
  </si>
  <si>
    <t>Realizarea lucrărilor de întărire cu caracter gene criteriului cu N elemente în funcțiune în RET:
- inlocuire Trafo 1 400/110 kV – 250 MVA cu o unitate Trafo 400/110 kV din statia Arad – 400 MVA. 
- inlocuire Trafo 2 400/110 kV – 250 MVA cu o unitate Trafo 400/110 kV din statia Arad – 400 MVA.
Realizarea lucrărilor de întărire cu caracter general pentru respectarea criteriului cu N elemente în funcțiune în RED 110 kV:
- amplificarea statiei 110/20 kV Pancota la 2x25 MVA prin realizarea lucrarilor de crearea unei bare 20 kV noua , reconfigurare LEA MT, pe cele 2 bare 20 kV, cupla cu intrerupator, grup tratare neutru nou BS 30-200A, celule MT si IT aferente cu protectiile necesare si lucrarile conexe.
- reconductorare LEA 110 kV Arad – CEF Horia 4, in lungime de 8,85 km, cu conductoare cu capacitate marita de transport (minim 850 A);
Evaluarea lucrărilor de întărire:
Valoarea estimată a lucrărilor enunțate la pct.3.2 pe bază de indici conform art. 44 din Ordinul ANRE 11/2014 este de:
T(I)=Sn x i
Solutia 1 Art. 42. — În situația în care punctul de racordare este la medie tensiune, într-o linie electrică subterană sau pe bara de medie tensiune a unui post de transformare, tariful specific pentru calculul componentei TI a tarifului de racordare se notează i6 și se stabilește utilizând următoarea formulă: i6 = iMTS + iST110/MT [lei/MVA].
I6 = 67 000 [lei/MVA] + 432 000 [lei/MVA] = 499 000 [lei/MVA];
T(I) = 499.000,00 lei/MVA x 3,219 MVA = 1.606.281 lei fara TVA.
Solutia 1:
(Ti)SS=(Ti)amplificare statie+(Ti)RED N_elemente+(Ti)RET N_elemente = 17.700.169,20 + 4.352.173,95 + 121.778.538.75 = 143.830.881,9 lei fără TVA, din care:
La N elemente:
(Ti)SS = 143.830.881,9 lei fără TVA din care:
Ti REB= 4.352.173,95 lei + 17.700.169,20 lei = 22.052.343,15 fără TVA;
Ti OTS = 121.778.538,75 lei fără TVA.
La N-1 elemente: -
Astfel valoarea componentei T(I) care se va considera la calculul tarifului de racordare este:
Solutia 1:
Ti =min(143.830.881,9 lei; 1.606.281 lei) = 1.606.281 lei fara TVA.
Termenul posibil de realizare a lucrărilor de intarire in RED este de 881 zile lucratoare, de la momentul obtinerii obtinerii avizelor si autorizatiilor de construire.
S-a calculat timpul necesar realizarii lucrarilor de intarire la N pentru racordarea centralei CEF Santana 3 MW Fair Play Serban astfel: 528 zile lucratoare (Amplificare statie 110/20 kV Pancota+montare grup tratare nou) (1 buc x 10luni*22zile + 15 zile/km*8,85 km)=220 + 133 = 353 zile lucratoare.
Timpii de realizare a lucrarilor din instalatiile Transelectrica nu sunt inclusi in acest termen.
Nu sunt inclusi timpii de obtinere a avizelor si acordurilor proprietarilor.</t>
  </si>
  <si>
    <t>VGP PARK ARAD S.R.L.</t>
  </si>
  <si>
    <t>HALA DEPOZITARE-PRODUCTIE - DN69 ADIACENT A1</t>
  </si>
  <si>
    <t>S20 ZONA IND. SUD-FANTANELE AR</t>
  </si>
  <si>
    <t>SPITAL DR. VICTOR BABES</t>
  </si>
  <si>
    <t>SPITALUL CLINIC DE BOLI INFECTIOASE SI PNEUMOFTIZIOLOGIE DR. VICTOR BABES TIMISOARA</t>
  </si>
  <si>
    <t>S20 NR.2-PADUREA VERDE TM</t>
  </si>
  <si>
    <t>FACILITATI DE OPERARE/MENTENANTA CAZARMA</t>
  </si>
  <si>
    <t>A20 NR.6-FRATELIA TM</t>
  </si>
  <si>
    <t>FUNSHOP PARK ARAD S.R.L.</t>
  </si>
  <si>
    <t>SPOR DE PUTERE pentru locul de consum - GALERIE COM. PARTER</t>
  </si>
  <si>
    <t>S20 8M-MURESEL AR</t>
  </si>
  <si>
    <t>SPITAL</t>
  </si>
  <si>
    <t>19578806</t>
  </si>
  <si>
    <t>20968368</t>
  </si>
  <si>
    <t>UM 02499 BUCURESTI</t>
  </si>
  <si>
    <t>PAVILION NOU CENTRU MULTIFUNC?IONAL ÎN CAZARMA 3474 BUCURE?TI</t>
  </si>
  <si>
    <t>24598888</t>
  </si>
  <si>
    <t>19385095</t>
  </si>
  <si>
    <t>ORANGE ROMANIA S.A.</t>
  </si>
  <si>
    <t>SPOR PUTERE BRANSAMENT CLADIRE ORANGE ROMANIA, CALEA DUDESTI, NR. 101, SECTOR 3, MUN. BUCURESTI</t>
  </si>
  <si>
    <t>BEMCHIMMO ROMANIA SRL</t>
  </si>
  <si>
    <t>HALA DE PRODUCTIE, DEPOZITARE SI ANEXE</t>
  </si>
  <si>
    <t>24818261</t>
  </si>
  <si>
    <t>MAARIF - INSTITUTII INTERNATIONALE DE INVATAMANT</t>
  </si>
  <si>
    <t>24806643</t>
  </si>
  <si>
    <t>VASTINT ROMANIA SRL</t>
  </si>
  <si>
    <t>Imobile de birouri TN4, TN5</t>
  </si>
  <si>
    <t>19342540</t>
  </si>
  <si>
    <t>S.C. RESIDENTIAL DEVELOPERS&amp;INVESTMENTS S.R.L</t>
  </si>
  <si>
    <t>Corpuri cladire C1,C2,C3</t>
  </si>
  <si>
    <t>Amplificare statie de transformare Pipera 110/20/1 110/20 kV 40 MVA noi si realizarea a doua sectii de bare 20 kV noi. Valoarea totala a lucarilor descrise mai sus este de 19,045,451.49 RON fara T.V.A.</t>
  </si>
  <si>
    <t>QUANTUM REAL ESTATE DEVELOPMENT SRL</t>
  </si>
  <si>
    <t>IMOBIL COMPUS DIN DOUA CORPURI - C1 si C2 CU FUNCTIUNEA DE LOCUINTE COLECTIVE</t>
  </si>
  <si>
    <t>20119530</t>
  </si>
  <si>
    <t>20252973</t>
  </si>
  <si>
    <t>GREEN FOREST INVESTMENT SRL</t>
  </si>
  <si>
    <t>24928682</t>
  </si>
  <si>
    <t>PORTLAND KINGS FILM STUDIOS SRL</t>
  </si>
  <si>
    <t>CLADIRI CU FUNCTIUNI DE TIP DEPOZITARE, SERVICII, BIROURI SI LOGISTICASTUDIOURI DE FILM</t>
  </si>
  <si>
    <t>24834646</t>
  </si>
  <si>
    <t>VICTORIA GROUP SRL</t>
  </si>
  <si>
    <t>AEE HAle Afumati</t>
  </si>
  <si>
    <t>19859667</t>
  </si>
  <si>
    <t>UNITATEA MILITARA 01867</t>
  </si>
  <si>
    <t>UM 01867 Mihai Bravu ( Cazarma 3600)</t>
  </si>
  <si>
    <t>24889132</t>
  </si>
  <si>
    <t>SC AGRO INDUSTRIALA ALBESTI SRL</t>
  </si>
  <si>
    <t>Centru logistic</t>
  </si>
  <si>
    <t>24804538</t>
  </si>
  <si>
    <t>FIRST DIGIT DEVELOPMENT SRL</t>
  </si>
  <si>
    <t>HALA 2</t>
  </si>
  <si>
    <t>25024307</t>
  </si>
  <si>
    <t>U.M. 0461 BUCURESTI</t>
  </si>
  <si>
    <t>Dinu Vintila nr. 8-10</t>
  </si>
  <si>
    <t>24495206</t>
  </si>
  <si>
    <t>AFI PARK FLOREASCA SRL</t>
  </si>
  <si>
    <t>Spor putere Imobil</t>
  </si>
  <si>
    <t>25061586</t>
  </si>
  <si>
    <t>Amplificare statie de transformare Pipera 110/20/10 kV prin montarea a doua transformatoare 110/20kV, 40 MVA noi si realizarea a doua sectii de bare 20 kV noi. Termen realizare lucrari: 2 ani. Valoarea totala a lucarilor descrise mai sus este de 29.966.900,29 RON fara T.V.A</t>
  </si>
  <si>
    <t>ATLANTIC RESIDENCE SRL</t>
  </si>
  <si>
    <t>19333825</t>
  </si>
  <si>
    <t>PORTOFINO RESIDENCE SRL</t>
  </si>
  <si>
    <t>IMOBIL OCUINTE COLECTIVE</t>
  </si>
  <si>
    <t>19617686</t>
  </si>
  <si>
    <t>TOP CLASS IMOBILIARE SRL</t>
  </si>
  <si>
    <t>ANSAMBLU CLADIRI DE LOCUINTE COLECTIVE</t>
  </si>
  <si>
    <t>19645377</t>
  </si>
  <si>
    <t>GHENCEA RESIDENTIAL PROJECT SRL</t>
  </si>
  <si>
    <t>Alimentare imobile locuinte colective - Bloc C1, C2, C3</t>
  </si>
  <si>
    <t>19707826</t>
  </si>
  <si>
    <t>DNS SUD INVEST SRL</t>
  </si>
  <si>
    <t>ANSAMBLU DE LOCUINTE COLECTIVE bloc 3 si bloc 4</t>
  </si>
  <si>
    <t>19960457</t>
  </si>
  <si>
    <t>GREEN &amp; YELLOW DEVELOPMENT SRL</t>
  </si>
  <si>
    <t>ANSAMBLU DE LOCUINTE COLECTIVE</t>
  </si>
  <si>
    <t>20083704</t>
  </si>
  <si>
    <t>SIENA RESIDENCE SRL</t>
  </si>
  <si>
    <t>ANSAMBLU DE LOCUINTE COLECTIVE BLOC 5, BLOC 6</t>
  </si>
  <si>
    <t>20102264</t>
  </si>
  <si>
    <t>ANANDA RESIDENCE SRL</t>
  </si>
  <si>
    <t>20154928</t>
  </si>
  <si>
    <t>AMESA RESIDENCE SRL</t>
  </si>
  <si>
    <t>24553215</t>
  </si>
  <si>
    <t>BELLEMONDE DEVELOPMENT S.R.L.</t>
  </si>
  <si>
    <t>ANSAMBLU LOCUINTE -ETAPA 1</t>
  </si>
  <si>
    <t>24524988</t>
  </si>
  <si>
    <t>IS Iepurești</t>
  </si>
  <si>
    <t>YAROK INVESTMENT SRL</t>
  </si>
  <si>
    <t>Iepurești</t>
  </si>
  <si>
    <t>racordare in statia 400 kV Iepuresti</t>
  </si>
  <si>
    <t>164/53454</t>
  </si>
  <si>
    <t>160/51982</t>
  </si>
  <si>
    <t>AUKERA PROJECT COMPANY DELTA SRL</t>
  </si>
  <si>
    <t>IS Gura Ialomitei</t>
  </si>
  <si>
    <t>Ialomița</t>
  </si>
  <si>
    <t>400/110/20 kV Gura Ialomiței</t>
  </si>
  <si>
    <t>4P RENEWABLES GROȘI SRL</t>
  </si>
  <si>
    <t>CEF Groși</t>
  </si>
  <si>
    <t>137/37714</t>
  </si>
  <si>
    <t>Maramureș</t>
  </si>
  <si>
    <t>220/110 kV Baia Mare 3</t>
  </si>
  <si>
    <t>220/110 kV Baia Mare 4</t>
  </si>
  <si>
    <t>IS Fântânele</t>
  </si>
  <si>
    <t>Mureș</t>
  </si>
  <si>
    <t>220/110/20 kV Fântânele</t>
  </si>
  <si>
    <t>149/46658</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</si>
</sst>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 _l_e_i_-;\-* #,##0.00\ _l_e_i_-;_-* &quot;-&quot;??\ _l_e_i_-;_-@_-"/>
    <numFmt numFmtId="164" formatCode="dd\.mm\.yyyy;@"/>
    <numFmt numFmtId="165" formatCode="0.000"/>
    <numFmt numFmtId="166" formatCode="[$-F800]dddd\,\ mmmm\ dd\,\ yyyy"/>
    <numFmt numFmtId="167" formatCode="_(* #,##0.00_);_(* \(#,##0.00\);_(* &quot;-&quot;??_);_(@_)"/>
    <numFmt numFmtId="168" formatCode="_-* #,##0.00_-;\-* #,##0.00_-;_-* &quot;-&quot;??_-;_-@_-"/>
    <numFmt numFmtId="169" formatCode="#,##0.000"/>
    <numFmt numFmtId="170" formatCode="0.000000"/>
    <numFmt numFmtId="171" formatCode="0.0000"/>
    <numFmt numFmtId="172" formatCode="#,##0.00000"/>
    <numFmt numFmtId="173" formatCode="#,##0.00_);\(#,##0.00\)"/>
    <numFmt numFmtId="174" formatCode="#,##0.000_);\(#,##0.000\)"/>
    <numFmt numFmtId="175" formatCode="#,##0.00000_);\(#,##0.00000\)"/>
    <numFmt numFmtId="176" formatCode="#,##0.0000"/>
    <numFmt numFmtId="177" formatCode="0.00000"/>
    <numFmt numFmtId="178" formatCode="0.0"/>
    <numFmt numFmtId="179" formatCode="dd\.mm\.yyyy"/>
    <numFmt numFmtId="180" formatCode="_(* #,##0.000_);_(* \(#,##0.000\);_(* &quot;-&quot;??_);_(@_)"/>
    <numFmt numFmtId="181" formatCode="_-* #,##0.000_-;\-* #,##0.000_-;_-* &quot;-&quot;??_-;_-@_-"/>
    <numFmt numFmtId="182" formatCode="yyyy\-mm\-dd;@"/>
  </numFmts>
  <fonts count="40"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0"/>
      <name val="Arial"/>
      <family val="2"/>
    </font>
    <font>
      <b/>
      <sz val="10"/>
      <color theme="1"/>
      <name val="Arial"/>
      <family val="2"/>
    </font>
    <font>
      <sz val="10"/>
      <name val="Arial"/>
      <family val="2"/>
    </font>
    <font>
      <sz val="10"/>
      <name val="Arial"/>
      <family val="2"/>
      <charset val="238"/>
    </font>
    <font>
      <sz val="10"/>
      <color rgb="FFFF0000"/>
      <name val="Arial"/>
      <family val="2"/>
    </font>
    <font>
      <sz val="12"/>
      <name val="Arial"/>
      <family val="2"/>
    </font>
    <font>
      <sz val="11"/>
      <color theme="1"/>
      <name val="Arial"/>
      <family val="2"/>
    </font>
    <font>
      <sz val="10"/>
      <color rgb="FF000000"/>
      <name val="Arial"/>
      <family val="2"/>
    </font>
    <font>
      <sz val="10"/>
      <name val="Arial"/>
      <family val="2"/>
    </font>
    <font>
      <sz val="11"/>
      <color theme="1"/>
      <name val="Calibri"/>
      <family val="2"/>
      <scheme val="minor"/>
    </font>
    <font>
      <sz val="10"/>
      <color indexed="8"/>
      <name val="Arial"/>
      <family val="2"/>
    </font>
    <font>
      <sz val="11"/>
      <color indexed="8"/>
      <name val="Arial"/>
      <family val="2"/>
    </font>
    <font>
      <sz val="10"/>
      <color theme="1"/>
      <name val="Arial"/>
      <family val="2"/>
    </font>
    <font>
      <sz val="10"/>
      <name val="Arial"/>
      <family val="2"/>
      <charset val="238"/>
    </font>
    <font>
      <b/>
      <i/>
      <sz val="10"/>
      <name val="Arial"/>
      <family val="2"/>
      <charset val="238"/>
    </font>
    <font>
      <sz val="11"/>
      <color theme="1"/>
      <name val="Arial"/>
      <family val="2"/>
      <charset val="238"/>
    </font>
    <font>
      <b/>
      <sz val="10"/>
      <name val="Arial"/>
      <family val="2"/>
      <charset val="238"/>
    </font>
    <font>
      <sz val="10"/>
      <color theme="1"/>
      <name val="Arial"/>
      <family val="2"/>
      <charset val="238"/>
    </font>
    <font>
      <i/>
      <sz val="10"/>
      <name val="Arial"/>
      <family val="2"/>
      <charset val="238"/>
    </font>
    <font>
      <b/>
      <sz val="11"/>
      <color theme="1"/>
      <name val="Calibri"/>
      <family val="2"/>
      <charset val="238"/>
      <scheme val="minor"/>
    </font>
    <font>
      <sz val="11"/>
      <color rgb="FFFF0000"/>
      <name val="Calibri"/>
      <family val="2"/>
      <scheme val="minor"/>
    </font>
    <font>
      <b/>
      <sz val="10"/>
      <color rgb="FFFF0000"/>
      <name val="Arial"/>
      <family val="2"/>
      <charset val="238"/>
    </font>
    <font>
      <sz val="9"/>
      <name val="Times New Roman"/>
      <family val="1"/>
    </font>
    <font>
      <sz val="9"/>
      <color theme="1"/>
      <name val="Times New Roman"/>
      <family val="1"/>
    </font>
    <font>
      <sz val="10"/>
      <color theme="1"/>
      <name val="Calibri"/>
      <family val="2"/>
      <scheme val="minor"/>
    </font>
    <font>
      <sz val="12"/>
      <color theme="1"/>
      <name val="Times New Roman"/>
      <family val="1"/>
    </font>
    <font>
      <sz val="12"/>
      <name val="Times New Roman"/>
      <family val="1"/>
    </font>
    <font>
      <b/>
      <sz val="11"/>
      <color theme="1"/>
      <name val="Calibri"/>
      <family val="2"/>
      <scheme val="minor"/>
    </font>
    <font>
      <sz val="12"/>
      <name val="Times New Roman"/>
      <family val="1"/>
      <charset val="238"/>
    </font>
    <font>
      <b/>
      <sz val="12"/>
      <name val="Times New Roman"/>
      <family val="1"/>
    </font>
    <font>
      <sz val="11"/>
      <name val="Calibri"/>
      <family val="2"/>
      <scheme val="minor"/>
    </font>
    <font>
      <b/>
      <sz val="11"/>
      <name val="Calibri"/>
      <family val="2"/>
      <charset val="238"/>
      <scheme val="minor"/>
    </font>
    <font>
      <sz val="11"/>
      <name val="Calibri"/>
      <family val="2"/>
      <charset val="238"/>
      <scheme val="minor"/>
    </font>
    <font>
      <sz val="10"/>
      <name val="Arial"/>
    </font>
  </fonts>
  <fills count="1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CCFFFF"/>
        <bgColor indexed="64"/>
      </patternFill>
    </fill>
    <fill>
      <patternFill patternType="solid">
        <fgColor indexed="41"/>
        <bgColor indexed="64"/>
      </patternFill>
    </fill>
    <fill>
      <patternFill patternType="solid">
        <fgColor rgb="FFFF99CC"/>
        <bgColor indexed="64"/>
      </patternFill>
    </fill>
    <fill>
      <patternFill patternType="solid">
        <fgColor rgb="FF99CCFF"/>
        <bgColor indexed="64"/>
      </patternFill>
    </fill>
    <fill>
      <patternFill patternType="solid">
        <fgColor rgb="FFFFCC99"/>
        <bgColor indexed="64"/>
      </patternFill>
    </fill>
    <fill>
      <patternFill patternType="solid">
        <fgColor rgb="FF99CC00"/>
        <bgColor indexed="64"/>
      </patternFill>
    </fill>
    <fill>
      <patternFill patternType="solid">
        <fgColor rgb="FFFFCC00"/>
        <bgColor indexed="64"/>
      </patternFill>
    </fill>
    <fill>
      <patternFill patternType="solid">
        <fgColor rgb="FFCCFFCC"/>
        <bgColor indexed="64"/>
      </patternFill>
    </fill>
    <fill>
      <patternFill patternType="solid">
        <fgColor rgb="FF3366FF"/>
        <bgColor indexed="64"/>
      </patternFill>
    </fill>
    <fill>
      <patternFill patternType="solid">
        <fgColor rgb="FFCC99FF"/>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4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s>
  <cellStyleXfs count="34">
    <xf numFmtId="0" fontId="0" fillId="0" borderId="0"/>
    <xf numFmtId="0" fontId="8" fillId="0" borderId="0"/>
    <xf numFmtId="0" fontId="8" fillId="0" borderId="0"/>
    <xf numFmtId="0" fontId="12" fillId="0" borderId="0"/>
    <xf numFmtId="0" fontId="14" fillId="0" borderId="0"/>
    <xf numFmtId="0" fontId="9" fillId="0" borderId="0"/>
    <xf numFmtId="167" fontId="9"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43" fontId="8" fillId="0" borderId="0" applyNumberFormat="0" applyFont="0" applyFill="0" applyBorder="0" applyAlignment="0" applyProtection="0"/>
    <xf numFmtId="167" fontId="8" fillId="0" borderId="0" applyFont="0" applyFill="0" applyBorder="0" applyAlignment="0" applyProtection="0"/>
    <xf numFmtId="0" fontId="8" fillId="0" borderId="0"/>
    <xf numFmtId="0" fontId="8" fillId="0" borderId="0"/>
    <xf numFmtId="0" fontId="17" fillId="0" borderId="0"/>
    <xf numFmtId="0" fontId="12" fillId="0" borderId="0"/>
    <xf numFmtId="0" fontId="15" fillId="0" borderId="0"/>
    <xf numFmtId="0" fontId="15" fillId="0" borderId="0"/>
    <xf numFmtId="0" fontId="15" fillId="0" borderId="0"/>
    <xf numFmtId="0" fontId="8" fillId="0" borderId="0" applyNumberFormat="0" applyFont="0" applyFill="0" applyBorder="0" applyAlignment="0" applyProtection="0"/>
    <xf numFmtId="0" fontId="16" fillId="0" borderId="0"/>
    <xf numFmtId="0" fontId="8" fillId="0" borderId="0" applyNumberFormat="0" applyFont="0" applyFill="0" applyBorder="0" applyAlignment="0" applyProtection="0"/>
    <xf numFmtId="0" fontId="8" fillId="0" borderId="0"/>
    <xf numFmtId="0" fontId="8" fillId="0" borderId="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0" fontId="19" fillId="0" borderId="0"/>
    <xf numFmtId="0" fontId="9" fillId="0" borderId="0"/>
    <xf numFmtId="167" fontId="9" fillId="0" borderId="0" applyFont="0" applyFill="0" applyBorder="0" applyAlignment="0" applyProtection="0"/>
    <xf numFmtId="0" fontId="39" fillId="0" borderId="0"/>
  </cellStyleXfs>
  <cellXfs count="898">
    <xf numFmtId="0" fontId="0" fillId="0" borderId="0" xfId="0"/>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0" fontId="0" fillId="0" borderId="0" xfId="0" quotePrefix="1"/>
    <xf numFmtId="0" fontId="0" fillId="0" borderId="0" xfId="0" quotePrefix="1" applyAlignment="1">
      <alignment horizontal="left"/>
    </xf>
    <xf numFmtId="0" fontId="8" fillId="4" borderId="7" xfId="0" applyFont="1" applyFill="1" applyBorder="1" applyAlignment="1">
      <alignment horizontal="center" vertical="center" wrapText="1"/>
    </xf>
    <xf numFmtId="0" fontId="8" fillId="4" borderId="7" xfId="0" applyFont="1" applyFill="1" applyBorder="1" applyAlignment="1">
      <alignment horizontal="center" vertical="center"/>
    </xf>
    <xf numFmtId="14" fontId="8" fillId="4" borderId="7" xfId="0" applyNumberFormat="1" applyFont="1" applyFill="1" applyBorder="1" applyAlignment="1">
      <alignment horizontal="center" vertical="center" wrapText="1"/>
    </xf>
    <xf numFmtId="0" fontId="8" fillId="4" borderId="8" xfId="0" applyFont="1" applyFill="1" applyBorder="1" applyAlignment="1">
      <alignment horizontal="center" vertical="center"/>
    </xf>
    <xf numFmtId="0" fontId="9" fillId="4" borderId="7" xfId="1" applyFont="1" applyFill="1" applyBorder="1" applyAlignment="1">
      <alignment horizontal="center" vertical="center"/>
    </xf>
    <xf numFmtId="0" fontId="9" fillId="4" borderId="7" xfId="1" applyFont="1" applyFill="1" applyBorder="1" applyAlignment="1">
      <alignment horizontal="center" vertical="center" wrapText="1"/>
    </xf>
    <xf numFmtId="0" fontId="9" fillId="4" borderId="7" xfId="1" applyFont="1" applyFill="1" applyBorder="1" applyAlignment="1">
      <alignment horizontal="center" vertical="top" wrapText="1"/>
    </xf>
    <xf numFmtId="0" fontId="6" fillId="4" borderId="7" xfId="1" applyFont="1" applyFill="1" applyBorder="1" applyAlignment="1">
      <alignment horizontal="center" vertical="center" wrapText="1"/>
    </xf>
    <xf numFmtId="14" fontId="9" fillId="4" borderId="7" xfId="1" applyNumberFormat="1" applyFont="1" applyFill="1" applyBorder="1" applyAlignment="1">
      <alignment horizontal="center" vertical="center" wrapText="1"/>
    </xf>
    <xf numFmtId="0" fontId="6" fillId="4" borderId="6" xfId="1" applyFont="1" applyFill="1" applyBorder="1" applyAlignment="1">
      <alignment horizontal="center" vertical="center" wrapText="1"/>
    </xf>
    <xf numFmtId="0" fontId="8" fillId="5" borderId="7"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6" fillId="2" borderId="12" xfId="0" applyFont="1" applyFill="1" applyBorder="1" applyAlignment="1">
      <alignment horizontal="left"/>
    </xf>
    <xf numFmtId="0" fontId="8" fillId="0" borderId="0" xfId="0" applyFont="1" applyAlignment="1">
      <alignment horizontal="left" vertical="top"/>
    </xf>
    <xf numFmtId="0" fontId="6" fillId="2" borderId="15" xfId="0" applyFont="1" applyFill="1" applyBorder="1" applyAlignment="1">
      <alignment horizontal="left" vertical="center"/>
    </xf>
    <xf numFmtId="0" fontId="8" fillId="0" borderId="0" xfId="0" applyFont="1" applyAlignment="1">
      <alignment vertical="center"/>
    </xf>
    <xf numFmtId="0" fontId="11" fillId="4" borderId="17" xfId="0" applyFont="1" applyFill="1" applyBorder="1" applyAlignment="1">
      <alignment horizontal="left"/>
    </xf>
    <xf numFmtId="0" fontId="8" fillId="6" borderId="18" xfId="0" applyFont="1" applyFill="1" applyBorder="1" applyAlignment="1">
      <alignment horizontal="left"/>
    </xf>
    <xf numFmtId="0" fontId="8" fillId="7" borderId="18" xfId="0" applyFont="1" applyFill="1" applyBorder="1" applyAlignment="1">
      <alignment horizontal="left"/>
    </xf>
    <xf numFmtId="0" fontId="8" fillId="8" borderId="18" xfId="0" applyFont="1" applyFill="1" applyBorder="1" applyAlignment="1">
      <alignment horizontal="left"/>
    </xf>
    <xf numFmtId="0" fontId="8" fillId="9" borderId="18" xfId="0" applyFont="1" applyFill="1" applyBorder="1" applyAlignment="1">
      <alignment horizontal="left"/>
    </xf>
    <xf numFmtId="0" fontId="8" fillId="10" borderId="18" xfId="0" applyFont="1" applyFill="1" applyBorder="1" applyAlignment="1">
      <alignment horizontal="left"/>
    </xf>
    <xf numFmtId="0" fontId="8" fillId="11" borderId="18" xfId="0" applyFont="1" applyFill="1" applyBorder="1" applyAlignment="1">
      <alignment horizontal="left"/>
    </xf>
    <xf numFmtId="0" fontId="8" fillId="12" borderId="18" xfId="0" applyFont="1" applyFill="1" applyBorder="1" applyAlignment="1">
      <alignment horizontal="left"/>
    </xf>
    <xf numFmtId="0" fontId="8" fillId="13" borderId="15" xfId="0" applyFont="1" applyFill="1" applyBorder="1" applyAlignment="1">
      <alignment horizontal="left"/>
    </xf>
    <xf numFmtId="0" fontId="6" fillId="9" borderId="11" xfId="0" applyFont="1" applyFill="1" applyBorder="1" applyAlignment="1">
      <alignment horizontal="left" vertical="center"/>
    </xf>
    <xf numFmtId="0" fontId="6" fillId="9" borderId="22" xfId="0" applyFont="1" applyFill="1" applyBorder="1" applyAlignment="1">
      <alignment horizontal="left" vertical="center"/>
    </xf>
    <xf numFmtId="0" fontId="6" fillId="9" borderId="23" xfId="0" applyFont="1" applyFill="1" applyBorder="1" applyAlignment="1">
      <alignment horizontal="left" vertical="center"/>
    </xf>
    <xf numFmtId="0" fontId="6" fillId="10" borderId="11" xfId="0" applyFont="1" applyFill="1" applyBorder="1" applyAlignment="1">
      <alignment horizontal="left" vertical="center"/>
    </xf>
    <xf numFmtId="0" fontId="6" fillId="10" borderId="22" xfId="0" applyFont="1" applyFill="1" applyBorder="1" applyAlignment="1">
      <alignment horizontal="left" vertical="center"/>
    </xf>
    <xf numFmtId="0" fontId="6" fillId="10" borderId="23" xfId="0" applyFont="1" applyFill="1" applyBorder="1" applyAlignment="1">
      <alignment horizontal="left" vertical="center"/>
    </xf>
    <xf numFmtId="0" fontId="6" fillId="8" borderId="7" xfId="0" applyFont="1" applyFill="1" applyBorder="1" applyAlignment="1">
      <alignment horizontal="left" vertical="center"/>
    </xf>
    <xf numFmtId="0" fontId="6" fillId="8" borderId="8" xfId="0" applyFont="1" applyFill="1" applyBorder="1" applyAlignment="1">
      <alignment horizontal="left" vertical="center"/>
    </xf>
    <xf numFmtId="0" fontId="8" fillId="6" borderId="18" xfId="0" applyFont="1" applyFill="1" applyBorder="1" applyAlignment="1">
      <alignment horizontal="center" vertical="center" wrapText="1"/>
    </xf>
    <xf numFmtId="0" fontId="8" fillId="11" borderId="18"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8" fillId="12" borderId="18" xfId="0" applyFont="1" applyFill="1" applyBorder="1" applyAlignment="1">
      <alignment horizontal="center" vertical="center" wrapText="1"/>
    </xf>
    <xf numFmtId="0" fontId="8" fillId="4" borderId="12" xfId="1" applyFont="1" applyFill="1" applyBorder="1" applyAlignment="1">
      <alignment horizontal="center" vertical="center" wrapText="1"/>
    </xf>
    <xf numFmtId="0" fontId="8" fillId="4" borderId="13" xfId="1" applyFont="1" applyFill="1" applyBorder="1" applyAlignment="1">
      <alignment horizontal="center" vertical="center" wrapText="1"/>
    </xf>
    <xf numFmtId="14" fontId="8" fillId="4" borderId="13" xfId="1"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8" fillId="4" borderId="14" xfId="0" applyNumberFormat="1" applyFont="1" applyFill="1" applyBorder="1" applyAlignment="1">
      <alignment horizontal="center" vertical="center" wrapText="1"/>
    </xf>
    <xf numFmtId="0" fontId="8" fillId="4" borderId="25" xfId="1" applyFont="1" applyFill="1" applyBorder="1" applyAlignment="1">
      <alignment horizontal="center" vertical="center" wrapText="1"/>
    </xf>
    <xf numFmtId="0" fontId="8" fillId="4" borderId="9" xfId="1" applyFont="1" applyFill="1" applyBorder="1" applyAlignment="1">
      <alignment horizontal="center" vertical="center" wrapText="1" shrinkToFit="1"/>
    </xf>
    <xf numFmtId="14" fontId="8" fillId="4" borderId="9"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49" fontId="8" fillId="4" borderId="9" xfId="0" applyNumberFormat="1" applyFont="1" applyFill="1" applyBorder="1" applyAlignment="1">
      <alignment horizontal="center" vertical="center" wrapText="1"/>
    </xf>
    <xf numFmtId="49" fontId="8" fillId="4" borderId="16" xfId="0" applyNumberFormat="1" applyFont="1" applyFill="1" applyBorder="1" applyAlignment="1">
      <alignment horizontal="center" vertical="center" wrapText="1"/>
    </xf>
    <xf numFmtId="0" fontId="0" fillId="0" borderId="0" xfId="0" applyFill="1"/>
    <xf numFmtId="14" fontId="8" fillId="13" borderId="15" xfId="0" applyNumberFormat="1" applyFont="1" applyFill="1" applyBorder="1" applyAlignment="1">
      <alignment horizontal="center" vertical="center" wrapText="1"/>
    </xf>
    <xf numFmtId="14" fontId="8" fillId="6" borderId="18" xfId="0" applyNumberFormat="1" applyFont="1" applyFill="1" applyBorder="1" applyAlignment="1">
      <alignment horizontal="center" vertical="center" wrapText="1"/>
    </xf>
    <xf numFmtId="14" fontId="8" fillId="11" borderId="18" xfId="0" applyNumberFormat="1" applyFont="1" applyFill="1" applyBorder="1" applyAlignment="1">
      <alignment horizontal="center" vertical="center" wrapText="1"/>
    </xf>
    <xf numFmtId="14" fontId="0" fillId="0" borderId="0" xfId="0" applyNumberFormat="1"/>
    <xf numFmtId="14" fontId="7" fillId="3" borderId="2" xfId="0" applyNumberFormat="1" applyFont="1" applyFill="1" applyBorder="1" applyAlignment="1">
      <alignment horizontal="center" vertical="center" wrapText="1"/>
    </xf>
    <xf numFmtId="14" fontId="8" fillId="10" borderId="18" xfId="0" applyNumberFormat="1" applyFont="1" applyFill="1" applyBorder="1" applyAlignment="1">
      <alignment horizontal="center" vertical="center" wrapText="1"/>
    </xf>
    <xf numFmtId="14" fontId="6" fillId="2" borderId="2" xfId="0" applyNumberFormat="1" applyFont="1" applyFill="1" applyBorder="1" applyAlignment="1">
      <alignment horizontal="center" vertical="center" wrapText="1"/>
    </xf>
    <xf numFmtId="14" fontId="6" fillId="3" borderId="2" xfId="0" applyNumberFormat="1" applyFont="1" applyFill="1" applyBorder="1" applyAlignment="1">
      <alignment horizontal="center" vertical="center" wrapText="1"/>
    </xf>
    <xf numFmtId="14" fontId="8" fillId="4" borderId="13" xfId="0" applyNumberFormat="1" applyFont="1" applyFill="1" applyBorder="1" applyAlignment="1">
      <alignment horizontal="center" vertical="center" wrapText="1"/>
    </xf>
    <xf numFmtId="0" fontId="0" fillId="0" borderId="0" xfId="0" applyBorder="1"/>
    <xf numFmtId="0" fontId="13" fillId="0" borderId="0" xfId="0" applyFont="1" applyFill="1" applyBorder="1" applyAlignment="1">
      <alignment vertical="top"/>
    </xf>
    <xf numFmtId="2" fontId="8" fillId="6" borderId="18" xfId="0" applyNumberFormat="1" applyFont="1" applyFill="1" applyBorder="1" applyAlignment="1">
      <alignment horizontal="center" vertical="center" wrapText="1"/>
    </xf>
    <xf numFmtId="1" fontId="8" fillId="7" borderId="18" xfId="0" applyNumberFormat="1" applyFont="1" applyFill="1" applyBorder="1" applyAlignment="1">
      <alignment horizontal="left"/>
    </xf>
    <xf numFmtId="0" fontId="8" fillId="8" borderId="7" xfId="0" applyFont="1" applyFill="1" applyBorder="1" applyAlignment="1">
      <alignment horizontal="left"/>
    </xf>
    <xf numFmtId="1" fontId="8" fillId="8" borderId="7" xfId="0" applyNumberFormat="1" applyFont="1" applyFill="1" applyBorder="1" applyAlignment="1">
      <alignment horizontal="left"/>
    </xf>
    <xf numFmtId="1" fontId="0" fillId="0" borderId="0" xfId="0" applyNumberFormat="1"/>
    <xf numFmtId="1" fontId="6" fillId="3" borderId="2" xfId="0" applyNumberFormat="1" applyFont="1" applyFill="1" applyBorder="1" applyAlignment="1">
      <alignment horizontal="center" vertical="center" wrapText="1"/>
    </xf>
    <xf numFmtId="1" fontId="8" fillId="13" borderId="15" xfId="0" applyNumberFormat="1" applyFont="1" applyFill="1" applyBorder="1" applyAlignment="1">
      <alignment horizontal="center" vertical="center" wrapText="1"/>
    </xf>
    <xf numFmtId="1" fontId="8" fillId="6" borderId="18" xfId="0" applyNumberFormat="1" applyFont="1" applyFill="1" applyBorder="1" applyAlignment="1">
      <alignment horizontal="center" vertical="center" wrapText="1"/>
    </xf>
    <xf numFmtId="1" fontId="8" fillId="10" borderId="18" xfId="0" applyNumberFormat="1" applyFont="1" applyFill="1" applyBorder="1" applyAlignment="1">
      <alignment horizontal="center" vertical="center" wrapText="1"/>
    </xf>
    <xf numFmtId="1" fontId="8" fillId="9" borderId="18" xfId="0" applyNumberFormat="1" applyFont="1" applyFill="1" applyBorder="1" applyAlignment="1">
      <alignment horizontal="left"/>
    </xf>
    <xf numFmtId="14" fontId="8" fillId="9" borderId="18" xfId="0" applyNumberFormat="1" applyFont="1" applyFill="1" applyBorder="1" applyAlignment="1">
      <alignment horizontal="left"/>
    </xf>
    <xf numFmtId="1" fontId="8" fillId="8" borderId="18" xfId="0" applyNumberFormat="1" applyFont="1" applyFill="1" applyBorder="1" applyAlignment="1">
      <alignment horizontal="left"/>
    </xf>
    <xf numFmtId="0" fontId="8" fillId="0" borderId="18" xfId="0" applyFont="1" applyFill="1" applyBorder="1" applyAlignment="1">
      <alignment horizontal="left"/>
    </xf>
    <xf numFmtId="0" fontId="8" fillId="0" borderId="0" xfId="0" applyFont="1" applyFill="1" applyBorder="1" applyAlignment="1">
      <alignment horizontal="left"/>
    </xf>
    <xf numFmtId="0" fontId="0" fillId="14" borderId="0" xfId="0" applyFill="1"/>
    <xf numFmtId="0" fontId="0" fillId="14" borderId="0" xfId="0" applyFill="1" applyBorder="1"/>
    <xf numFmtId="0" fontId="8" fillId="14" borderId="0" xfId="0" applyFont="1" applyFill="1" applyBorder="1" applyAlignment="1">
      <alignment horizontal="left"/>
    </xf>
    <xf numFmtId="14" fontId="8" fillId="8" borderId="18" xfId="0" applyNumberFormat="1" applyFont="1" applyFill="1" applyBorder="1" applyAlignment="1">
      <alignment horizontal="left"/>
    </xf>
    <xf numFmtId="0" fontId="8" fillId="9" borderId="26" xfId="0" applyFont="1" applyFill="1" applyBorder="1" applyAlignment="1">
      <alignment horizontal="left"/>
    </xf>
    <xf numFmtId="0" fontId="8" fillId="9" borderId="24" xfId="0" applyFont="1" applyFill="1" applyBorder="1" applyAlignment="1">
      <alignment horizontal="left"/>
    </xf>
    <xf numFmtId="2" fontId="8" fillId="8" borderId="18" xfId="0" applyNumberFormat="1" applyFont="1" applyFill="1" applyBorder="1" applyAlignment="1">
      <alignment horizontal="left"/>
    </xf>
    <xf numFmtId="0" fontId="14" fillId="0" borderId="0" xfId="4"/>
    <xf numFmtId="2" fontId="8" fillId="7" borderId="18" xfId="0" applyNumberFormat="1" applyFont="1" applyFill="1" applyBorder="1" applyAlignment="1">
      <alignment horizontal="left"/>
    </xf>
    <xf numFmtId="2" fontId="0" fillId="0" borderId="0" xfId="0" applyNumberFormat="1"/>
    <xf numFmtId="0" fontId="0" fillId="0" borderId="0" xfId="0" applyBorder="1" applyAlignment="1"/>
    <xf numFmtId="0" fontId="0" fillId="14" borderId="0" xfId="0" applyFill="1" applyBorder="1" applyAlignment="1"/>
    <xf numFmtId="0" fontId="8" fillId="10" borderId="7" xfId="0" applyFont="1" applyFill="1" applyBorder="1" applyAlignment="1">
      <alignment horizontal="center" vertical="center" wrapText="1"/>
    </xf>
    <xf numFmtId="14" fontId="8" fillId="10" borderId="7" xfId="0" applyNumberFormat="1" applyFont="1" applyFill="1" applyBorder="1" applyAlignment="1">
      <alignment horizontal="center" vertical="center" wrapText="1"/>
    </xf>
    <xf numFmtId="0" fontId="8" fillId="0" borderId="0" xfId="1"/>
    <xf numFmtId="0" fontId="14" fillId="0" borderId="0" xfId="4" applyFill="1"/>
    <xf numFmtId="0" fontId="0" fillId="0" borderId="0" xfId="0" applyFill="1" applyBorder="1"/>
    <xf numFmtId="0" fontId="0" fillId="0" borderId="29" xfId="0" applyBorder="1"/>
    <xf numFmtId="0" fontId="8" fillId="8" borderId="24" xfId="0" applyFont="1" applyFill="1" applyBorder="1" applyAlignment="1">
      <alignment horizontal="left"/>
    </xf>
    <xf numFmtId="14" fontId="8" fillId="8" borderId="24" xfId="0" applyNumberFormat="1" applyFont="1" applyFill="1" applyBorder="1" applyAlignment="1">
      <alignment horizontal="left"/>
    </xf>
    <xf numFmtId="0" fontId="8" fillId="13" borderId="24" xfId="0" applyFont="1" applyFill="1" applyBorder="1" applyAlignment="1">
      <alignment horizontal="center" vertical="center" wrapText="1"/>
    </xf>
    <xf numFmtId="14" fontId="8" fillId="13" borderId="24" xfId="0" applyNumberFormat="1" applyFont="1" applyFill="1" applyBorder="1" applyAlignment="1">
      <alignment horizontal="center" vertical="center" wrapText="1"/>
    </xf>
    <xf numFmtId="0" fontId="8" fillId="4" borderId="26" xfId="1" applyFont="1" applyFill="1" applyBorder="1" applyAlignment="1">
      <alignment horizontal="center" vertical="center" wrapText="1" shrinkToFit="1"/>
    </xf>
    <xf numFmtId="0" fontId="8" fillId="4" borderId="26" xfId="2" applyFont="1" applyFill="1" applyBorder="1" applyAlignment="1">
      <alignment horizontal="center" vertical="center" wrapText="1" shrinkToFit="1"/>
    </xf>
    <xf numFmtId="0" fontId="8" fillId="5" borderId="26" xfId="1" applyFont="1" applyFill="1" applyBorder="1" applyAlignment="1">
      <alignment horizontal="center" vertical="center" wrapText="1"/>
    </xf>
    <xf numFmtId="0" fontId="8" fillId="4" borderId="26" xfId="0" applyFont="1" applyFill="1" applyBorder="1" applyAlignment="1">
      <alignment horizontal="center" vertical="center" wrapText="1"/>
    </xf>
    <xf numFmtId="14" fontId="8" fillId="4" borderId="26" xfId="0" applyNumberFormat="1" applyFont="1" applyFill="1" applyBorder="1" applyAlignment="1">
      <alignment horizontal="center" vertical="center" wrapText="1"/>
    </xf>
    <xf numFmtId="0" fontId="8" fillId="4" borderId="24" xfId="1" applyFont="1" applyFill="1" applyBorder="1" applyAlignment="1">
      <alignment horizontal="center" vertical="center" wrapText="1" shrinkToFit="1"/>
    </xf>
    <xf numFmtId="0" fontId="8" fillId="4" borderId="24" xfId="0" applyFont="1" applyFill="1" applyBorder="1" applyAlignment="1">
      <alignment horizontal="center" vertical="center" wrapText="1"/>
    </xf>
    <xf numFmtId="0" fontId="8" fillId="5" borderId="24" xfId="1" applyFont="1" applyFill="1" applyBorder="1" applyAlignment="1">
      <alignment horizontal="center" vertical="center" wrapText="1"/>
    </xf>
    <xf numFmtId="14" fontId="8" fillId="4" borderId="24" xfId="0" applyNumberFormat="1" applyFont="1" applyFill="1" applyBorder="1" applyAlignment="1">
      <alignment horizontal="center" vertical="center" wrapText="1"/>
    </xf>
    <xf numFmtId="0" fontId="8" fillId="4" borderId="24" xfId="1" applyFont="1" applyFill="1" applyBorder="1" applyAlignment="1">
      <alignment horizontal="center" vertical="center" wrapText="1"/>
    </xf>
    <xf numFmtId="165" fontId="8" fillId="4" borderId="24" xfId="1" applyNumberFormat="1" applyFont="1" applyFill="1" applyBorder="1" applyAlignment="1">
      <alignment horizontal="center" vertical="center" wrapText="1"/>
    </xf>
    <xf numFmtId="0" fontId="10" fillId="4" borderId="24" xfId="1" applyFont="1" applyFill="1" applyBorder="1" applyAlignment="1">
      <alignment horizontal="center" vertical="center" wrapText="1"/>
    </xf>
    <xf numFmtId="14" fontId="8" fillId="4" borderId="24" xfId="1" applyNumberFormat="1" applyFont="1" applyFill="1" applyBorder="1" applyAlignment="1">
      <alignment horizontal="center" vertical="center" wrapText="1"/>
    </xf>
    <xf numFmtId="0" fontId="8" fillId="4" borderId="24" xfId="5" applyFont="1" applyFill="1" applyBorder="1" applyAlignment="1">
      <alignment horizontal="center" vertical="center" wrapText="1"/>
    </xf>
    <xf numFmtId="0" fontId="10" fillId="4" borderId="24" xfId="5" applyFont="1" applyFill="1" applyBorder="1" applyAlignment="1">
      <alignment horizontal="center" vertical="center" wrapText="1"/>
    </xf>
    <xf numFmtId="0" fontId="9" fillId="4" borderId="24" xfId="1" applyFont="1" applyFill="1" applyBorder="1" applyAlignment="1">
      <alignment horizontal="center" vertical="center"/>
    </xf>
    <xf numFmtId="0" fontId="9" fillId="4" borderId="24" xfId="1" applyFont="1" applyFill="1" applyBorder="1" applyAlignment="1">
      <alignment horizontal="center" vertical="center" wrapText="1"/>
    </xf>
    <xf numFmtId="0" fontId="8" fillId="4" borderId="26" xfId="1" applyFont="1" applyFill="1" applyBorder="1" applyAlignment="1">
      <alignment horizontal="center" vertical="center" wrapText="1"/>
    </xf>
    <xf numFmtId="0" fontId="8" fillId="11" borderId="24" xfId="0" applyFont="1" applyFill="1" applyBorder="1" applyAlignment="1">
      <alignment horizontal="center" vertical="center" wrapText="1"/>
    </xf>
    <xf numFmtId="14" fontId="8" fillId="11" borderId="24" xfId="0" applyNumberFormat="1"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2" borderId="24" xfId="0" applyFont="1" applyFill="1" applyBorder="1" applyAlignment="1">
      <alignment horizontal="center" vertical="center" wrapText="1"/>
    </xf>
    <xf numFmtId="14" fontId="8" fillId="12" borderId="24" xfId="0" applyNumberFormat="1" applyFont="1" applyFill="1" applyBorder="1" applyAlignment="1">
      <alignment horizontal="center" vertical="center" wrapText="1"/>
    </xf>
    <xf numFmtId="0" fontId="8" fillId="12" borderId="23"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10" fillId="12" borderId="18" xfId="0" applyFont="1" applyFill="1" applyBorder="1" applyAlignment="1">
      <alignment horizontal="left"/>
    </xf>
    <xf numFmtId="14" fontId="8" fillId="12" borderId="18" xfId="0" applyNumberFormat="1" applyFont="1" applyFill="1" applyBorder="1" applyAlignment="1">
      <alignment horizontal="left"/>
    </xf>
    <xf numFmtId="2" fontId="8" fillId="12" borderId="24" xfId="0" applyNumberFormat="1" applyFont="1" applyFill="1" applyBorder="1" applyAlignment="1">
      <alignment horizontal="center" vertical="center" wrapText="1"/>
    </xf>
    <xf numFmtId="0" fontId="8" fillId="7" borderId="7" xfId="0" applyFont="1" applyFill="1" applyBorder="1" applyAlignment="1">
      <alignment horizontal="left"/>
    </xf>
    <xf numFmtId="0" fontId="8" fillId="14" borderId="0" xfId="0" applyFont="1" applyFill="1" applyBorder="1" applyAlignment="1">
      <alignment horizontal="center" vertical="center" wrapText="1"/>
    </xf>
    <xf numFmtId="14" fontId="8" fillId="14" borderId="0" xfId="0" applyNumberFormat="1" applyFont="1" applyFill="1" applyBorder="1" applyAlignment="1">
      <alignment horizontal="center" vertical="center" wrapText="1"/>
    </xf>
    <xf numFmtId="0" fontId="8" fillId="13" borderId="7" xfId="0" applyFont="1" applyFill="1" applyBorder="1" applyAlignment="1">
      <alignment horizontal="center" vertical="center" wrapText="1"/>
    </xf>
    <xf numFmtId="169" fontId="8" fillId="13" borderId="7" xfId="0" applyNumberFormat="1" applyFont="1" applyFill="1" applyBorder="1" applyAlignment="1">
      <alignment horizontal="center" vertical="center" wrapText="1"/>
    </xf>
    <xf numFmtId="49" fontId="8" fillId="13" borderId="7" xfId="0" applyNumberFormat="1" applyFont="1" applyFill="1" applyBorder="1" applyAlignment="1">
      <alignment horizontal="center" vertical="center" wrapText="1"/>
    </xf>
    <xf numFmtId="14" fontId="8" fillId="13" borderId="7" xfId="0" applyNumberFormat="1"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7" xfId="0" applyFont="1" applyFill="1" applyBorder="1" applyAlignment="1">
      <alignment horizontal="center" vertical="center"/>
    </xf>
    <xf numFmtId="14" fontId="8" fillId="11" borderId="7" xfId="0" applyNumberFormat="1" applyFont="1" applyFill="1" applyBorder="1" applyAlignment="1">
      <alignment horizontal="center" vertical="center"/>
    </xf>
    <xf numFmtId="49" fontId="8" fillId="11" borderId="24" xfId="0" applyNumberFormat="1" applyFont="1" applyFill="1" applyBorder="1" applyAlignment="1">
      <alignment horizontal="center" vertical="center" wrapText="1"/>
    </xf>
    <xf numFmtId="49" fontId="8" fillId="11" borderId="24" xfId="0" applyNumberFormat="1" applyFont="1" applyFill="1" applyBorder="1" applyAlignment="1">
      <alignment horizontal="center" wrapText="1"/>
    </xf>
    <xf numFmtId="39" fontId="8" fillId="11" borderId="24" xfId="0" applyNumberFormat="1" applyFont="1" applyFill="1" applyBorder="1" applyAlignment="1">
      <alignment horizontal="center" vertical="center" wrapText="1"/>
    </xf>
    <xf numFmtId="3" fontId="8" fillId="11" borderId="24" xfId="0" applyNumberFormat="1" applyFont="1" applyFill="1" applyBorder="1" applyAlignment="1">
      <alignment horizontal="center" vertical="center" wrapText="1"/>
    </xf>
    <xf numFmtId="167" fontId="8" fillId="11" borderId="24" xfId="0" applyNumberFormat="1" applyFont="1" applyFill="1" applyBorder="1" applyAlignment="1">
      <alignment horizontal="center" vertical="center" wrapText="1"/>
    </xf>
    <xf numFmtId="170" fontId="8" fillId="12" borderId="7" xfId="0" applyNumberFormat="1" applyFont="1" applyFill="1" applyBorder="1" applyAlignment="1">
      <alignment horizontal="center" vertical="center" wrapText="1"/>
    </xf>
    <xf numFmtId="0" fontId="14" fillId="14" borderId="0" xfId="4" applyFill="1" applyBorder="1"/>
    <xf numFmtId="0" fontId="8" fillId="4" borderId="30" xfId="1" applyFont="1" applyFill="1" applyBorder="1" applyAlignment="1">
      <alignment horizontal="center" vertical="center" wrapText="1"/>
    </xf>
    <xf numFmtId="0" fontId="10" fillId="4" borderId="30" xfId="1" applyFont="1" applyFill="1" applyBorder="1" applyAlignment="1">
      <alignment horizontal="center" vertical="center" wrapText="1"/>
    </xf>
    <xf numFmtId="0" fontId="8" fillId="4" borderId="30" xfId="0" applyFont="1" applyFill="1" applyBorder="1" applyAlignment="1">
      <alignment horizontal="center" vertical="center" wrapText="1"/>
    </xf>
    <xf numFmtId="0" fontId="14" fillId="0" borderId="0" xfId="4" applyFill="1" applyBorder="1"/>
    <xf numFmtId="0" fontId="14" fillId="0" borderId="0" xfId="4" applyBorder="1"/>
    <xf numFmtId="0" fontId="10" fillId="4" borderId="30" xfId="5" applyFont="1" applyFill="1" applyBorder="1" applyAlignment="1">
      <alignment horizontal="center" vertical="center" wrapText="1"/>
    </xf>
    <xf numFmtId="0" fontId="10" fillId="4" borderId="11" xfId="5" applyFont="1" applyFill="1" applyBorder="1" applyAlignment="1">
      <alignment horizontal="center" vertical="center" wrapText="1"/>
    </xf>
    <xf numFmtId="0" fontId="10" fillId="4" borderId="32" xfId="5" applyFont="1" applyFill="1" applyBorder="1" applyAlignment="1">
      <alignment horizontal="center" vertical="center" wrapText="1"/>
    </xf>
    <xf numFmtId="0" fontId="8" fillId="4" borderId="31" xfId="0" applyFont="1" applyFill="1" applyBorder="1" applyAlignment="1">
      <alignment horizontal="center" vertical="center" wrapText="1"/>
    </xf>
    <xf numFmtId="0" fontId="8" fillId="14" borderId="0" xfId="5" applyFont="1" applyFill="1" applyBorder="1" applyAlignment="1">
      <alignment horizontal="center" vertical="center" wrapText="1"/>
    </xf>
    <xf numFmtId="0" fontId="8" fillId="4" borderId="7" xfId="5" applyFont="1" applyFill="1" applyBorder="1" applyAlignment="1">
      <alignment horizontal="center" vertical="center" wrapText="1"/>
    </xf>
    <xf numFmtId="164" fontId="8" fillId="4" borderId="7" xfId="5" applyNumberFormat="1" applyFont="1" applyFill="1" applyBorder="1" applyAlignment="1">
      <alignment horizontal="center" vertical="center" wrapText="1"/>
    </xf>
    <xf numFmtId="0" fontId="10" fillId="4" borderId="7" xfId="5" applyFont="1" applyFill="1" applyBorder="1" applyAlignment="1">
      <alignment horizontal="center" vertical="center" wrapText="1"/>
    </xf>
    <xf numFmtId="0" fontId="8" fillId="4" borderId="6" xfId="5" applyFont="1" applyFill="1" applyBorder="1" applyAlignment="1">
      <alignment horizontal="center" vertical="center" wrapText="1"/>
    </xf>
    <xf numFmtId="165" fontId="8" fillId="4" borderId="7" xfId="5" applyNumberFormat="1" applyFont="1" applyFill="1" applyBorder="1" applyAlignment="1">
      <alignment horizontal="center" vertical="center" wrapText="1"/>
    </xf>
    <xf numFmtId="0" fontId="8" fillId="5" borderId="7" xfId="1" applyFont="1" applyFill="1" applyBorder="1" applyAlignment="1">
      <alignment horizontal="center" vertical="center" wrapText="1"/>
    </xf>
    <xf numFmtId="14" fontId="8" fillId="4" borderId="7" xfId="1" applyNumberFormat="1" applyFont="1" applyFill="1" applyBorder="1" applyAlignment="1">
      <alignment horizontal="center" vertical="center" wrapText="1"/>
    </xf>
    <xf numFmtId="0" fontId="10" fillId="4" borderId="6" xfId="5" applyFont="1" applyFill="1" applyBorder="1" applyAlignment="1">
      <alignment horizontal="center" vertical="center" wrapText="1"/>
    </xf>
    <xf numFmtId="0" fontId="8" fillId="4" borderId="10" xfId="5" applyFont="1" applyFill="1" applyBorder="1" applyAlignment="1">
      <alignment horizontal="center" vertical="center" wrapText="1"/>
    </xf>
    <xf numFmtId="165" fontId="8" fillId="4" borderId="10" xfId="5" applyNumberFormat="1" applyFont="1" applyFill="1" applyBorder="1" applyAlignment="1">
      <alignment horizontal="center" vertical="center" wrapText="1"/>
    </xf>
    <xf numFmtId="0" fontId="8" fillId="5" borderId="6" xfId="1" applyFont="1" applyFill="1" applyBorder="1" applyAlignment="1">
      <alignment horizontal="center" vertical="center" wrapText="1"/>
    </xf>
    <xf numFmtId="164" fontId="8" fillId="4" borderId="10" xfId="5" applyNumberFormat="1" applyFont="1" applyFill="1" applyBorder="1" applyAlignment="1">
      <alignment horizontal="center" vertical="center" wrapText="1"/>
    </xf>
    <xf numFmtId="14" fontId="8" fillId="4" borderId="6" xfId="1" applyNumberFormat="1" applyFont="1" applyFill="1" applyBorder="1" applyAlignment="1">
      <alignment horizontal="center" vertical="center" wrapText="1"/>
    </xf>
    <xf numFmtId="14" fontId="8" fillId="4" borderId="9" xfId="1" applyNumberFormat="1" applyFont="1" applyFill="1" applyBorder="1" applyAlignment="1">
      <alignment horizontal="center" vertical="center" wrapText="1"/>
    </xf>
    <xf numFmtId="0" fontId="8" fillId="7" borderId="24" xfId="0" applyFont="1" applyFill="1" applyBorder="1" applyAlignment="1">
      <alignment horizontal="left"/>
    </xf>
    <xf numFmtId="165" fontId="8" fillId="12" borderId="24" xfId="0" applyNumberFormat="1" applyFont="1" applyFill="1" applyBorder="1" applyAlignment="1">
      <alignment horizontal="center" vertical="center" wrapText="1"/>
    </xf>
    <xf numFmtId="171" fontId="8" fillId="12" borderId="24" xfId="0" applyNumberFormat="1" applyFont="1" applyFill="1" applyBorder="1" applyAlignment="1">
      <alignment horizontal="center" vertical="center" wrapText="1"/>
    </xf>
    <xf numFmtId="165" fontId="8" fillId="8" borderId="7" xfId="0" applyNumberFormat="1" applyFont="1" applyFill="1" applyBorder="1" applyAlignment="1">
      <alignment horizontal="left"/>
    </xf>
    <xf numFmtId="14" fontId="8" fillId="8" borderId="7" xfId="0" applyNumberFormat="1" applyFont="1" applyFill="1" applyBorder="1" applyAlignment="1">
      <alignment horizontal="left"/>
    </xf>
    <xf numFmtId="2" fontId="8" fillId="9" borderId="18" xfId="0" applyNumberFormat="1" applyFont="1" applyFill="1" applyBorder="1" applyAlignment="1">
      <alignment horizontal="left"/>
    </xf>
    <xf numFmtId="2" fontId="8" fillId="9" borderId="24" xfId="0" applyNumberFormat="1" applyFont="1" applyFill="1" applyBorder="1" applyAlignment="1">
      <alignment horizontal="left"/>
    </xf>
    <xf numFmtId="14" fontId="8" fillId="0" borderId="0" xfId="1" applyNumberFormat="1"/>
    <xf numFmtId="14" fontId="8" fillId="7" borderId="18" xfId="0" applyNumberFormat="1" applyFont="1" applyFill="1" applyBorder="1" applyAlignment="1">
      <alignment horizontal="left"/>
    </xf>
    <xf numFmtId="14" fontId="8" fillId="7" borderId="24" xfId="0" applyNumberFormat="1" applyFont="1" applyFill="1" applyBorder="1" applyAlignment="1">
      <alignment horizontal="left"/>
    </xf>
    <xf numFmtId="14" fontId="8" fillId="7" borderId="7" xfId="0" applyNumberFormat="1" applyFont="1" applyFill="1" applyBorder="1" applyAlignment="1">
      <alignment horizontal="left"/>
    </xf>
    <xf numFmtId="14" fontId="8" fillId="9" borderId="24" xfId="0" applyNumberFormat="1" applyFont="1" applyFill="1" applyBorder="1" applyAlignment="1">
      <alignment horizontal="left"/>
    </xf>
    <xf numFmtId="2" fontId="6" fillId="3" borderId="2" xfId="0" applyNumberFormat="1" applyFont="1" applyFill="1" applyBorder="1" applyAlignment="1">
      <alignment horizontal="center" vertical="center" wrapText="1"/>
    </xf>
    <xf numFmtId="2" fontId="8" fillId="4" borderId="26" xfId="0" applyNumberFormat="1" applyFont="1" applyFill="1" applyBorder="1" applyAlignment="1">
      <alignment horizontal="center" vertical="center" wrapText="1"/>
    </xf>
    <xf numFmtId="2" fontId="8" fillId="4" borderId="24" xfId="0" applyNumberFormat="1" applyFont="1" applyFill="1" applyBorder="1" applyAlignment="1">
      <alignment horizontal="center" vertical="center" wrapText="1"/>
    </xf>
    <xf numFmtId="2" fontId="8" fillId="4" borderId="24" xfId="1" applyNumberFormat="1" applyFont="1" applyFill="1" applyBorder="1" applyAlignment="1">
      <alignment horizontal="center" vertical="center" wrapText="1"/>
    </xf>
    <xf numFmtId="2" fontId="8" fillId="4" borderId="24" xfId="5" applyNumberFormat="1" applyFont="1" applyFill="1" applyBorder="1" applyAlignment="1">
      <alignment horizontal="center" vertical="center" wrapText="1"/>
    </xf>
    <xf numFmtId="2" fontId="8" fillId="4" borderId="7" xfId="5" applyNumberFormat="1" applyFont="1" applyFill="1" applyBorder="1" applyAlignment="1">
      <alignment horizontal="center" vertical="center" wrapText="1"/>
    </xf>
    <xf numFmtId="2" fontId="8" fillId="11" borderId="24" xfId="0" applyNumberFormat="1" applyFont="1" applyFill="1" applyBorder="1" applyAlignment="1">
      <alignment horizontal="center" vertical="center" wrapText="1"/>
    </xf>
    <xf numFmtId="2" fontId="8" fillId="8" borderId="7" xfId="0" applyNumberFormat="1" applyFont="1" applyFill="1" applyBorder="1" applyAlignment="1">
      <alignment horizontal="left"/>
    </xf>
    <xf numFmtId="14" fontId="8" fillId="4" borderId="24" xfId="5" applyNumberFormat="1" applyFont="1" applyFill="1" applyBorder="1" applyAlignment="1">
      <alignment horizontal="center" vertical="center" wrapText="1"/>
    </xf>
    <xf numFmtId="14" fontId="8" fillId="4" borderId="7" xfId="5" applyNumberFormat="1" applyFont="1" applyFill="1" applyBorder="1" applyAlignment="1">
      <alignment horizontal="center" vertical="center" wrapText="1"/>
    </xf>
    <xf numFmtId="14" fontId="8" fillId="4" borderId="10" xfId="5" applyNumberFormat="1" applyFont="1" applyFill="1" applyBorder="1" applyAlignment="1">
      <alignment horizontal="center" vertical="center" wrapText="1"/>
    </xf>
    <xf numFmtId="0" fontId="8" fillId="13" borderId="27" xfId="0" applyFont="1" applyFill="1" applyBorder="1" applyAlignment="1">
      <alignment horizontal="center" vertical="center" wrapText="1"/>
    </xf>
    <xf numFmtId="0" fontId="8" fillId="12" borderId="7" xfId="0" applyFont="1" applyFill="1" applyBorder="1" applyAlignment="1">
      <alignment horizontal="center" vertical="center" wrapText="1"/>
    </xf>
    <xf numFmtId="0" fontId="8" fillId="12" borderId="7" xfId="0" applyFont="1" applyFill="1" applyBorder="1" applyAlignment="1">
      <alignment horizontal="center" vertical="center"/>
    </xf>
    <xf numFmtId="172" fontId="8" fillId="12" borderId="7" xfId="0" applyNumberFormat="1" applyFont="1" applyFill="1" applyBorder="1" applyAlignment="1">
      <alignment horizontal="center" vertical="center"/>
    </xf>
    <xf numFmtId="14" fontId="8" fillId="12" borderId="7" xfId="0" applyNumberFormat="1" applyFont="1" applyFill="1" applyBorder="1" applyAlignment="1">
      <alignment horizontal="center" vertical="center"/>
    </xf>
    <xf numFmtId="165" fontId="8" fillId="12" borderId="7" xfId="0" applyNumberFormat="1" applyFont="1" applyFill="1" applyBorder="1" applyAlignment="1">
      <alignment horizontal="center" vertical="center" wrapText="1"/>
    </xf>
    <xf numFmtId="14" fontId="8" fillId="12" borderId="7" xfId="0" applyNumberFormat="1" applyFont="1" applyFill="1" applyBorder="1" applyAlignment="1">
      <alignment horizontal="center" vertical="center" wrapText="1"/>
    </xf>
    <xf numFmtId="2" fontId="8" fillId="11" borderId="18"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14" fontId="0" fillId="0" borderId="0" xfId="0" applyNumberFormat="1" applyBorder="1"/>
    <xf numFmtId="2" fontId="8" fillId="4" borderId="6" xfId="5" applyNumberFormat="1" applyFont="1" applyFill="1" applyBorder="1" applyAlignment="1">
      <alignment horizontal="center" vertical="center" wrapText="1"/>
    </xf>
    <xf numFmtId="2" fontId="8" fillId="4" borderId="13" xfId="1" applyNumberFormat="1" applyFont="1" applyFill="1" applyBorder="1" applyAlignment="1">
      <alignment horizontal="center" vertical="center" wrapText="1"/>
    </xf>
    <xf numFmtId="2" fontId="8" fillId="4" borderId="9" xfId="1" applyNumberFormat="1" applyFont="1" applyFill="1" applyBorder="1" applyAlignment="1">
      <alignment horizontal="center" vertical="center" wrapText="1"/>
    </xf>
    <xf numFmtId="2" fontId="8" fillId="12" borderId="7" xfId="0" applyNumberFormat="1" applyFont="1" applyFill="1" applyBorder="1" applyAlignment="1">
      <alignment horizontal="center" vertical="center" wrapText="1"/>
    </xf>
    <xf numFmtId="2" fontId="8" fillId="0" borderId="0" xfId="1" applyNumberFormat="1"/>
    <xf numFmtId="2" fontId="8" fillId="7" borderId="7" xfId="0" applyNumberFormat="1" applyFont="1" applyFill="1" applyBorder="1" applyAlignment="1">
      <alignment horizontal="left"/>
    </xf>
    <xf numFmtId="2" fontId="8" fillId="9" borderId="18" xfId="0" applyNumberFormat="1" applyFont="1" applyFill="1" applyBorder="1" applyAlignment="1">
      <alignment horizontal="left" indent="2"/>
    </xf>
    <xf numFmtId="2" fontId="8" fillId="4" borderId="13" xfId="0" applyNumberFormat="1" applyFont="1" applyFill="1" applyBorder="1" applyAlignment="1">
      <alignment horizontal="center" vertical="center" wrapText="1"/>
    </xf>
    <xf numFmtId="2" fontId="8" fillId="4" borderId="9" xfId="1" applyNumberFormat="1" applyFont="1" applyFill="1" applyBorder="1" applyAlignment="1">
      <alignment horizontal="center" vertical="center" wrapText="1" shrinkToFit="1"/>
    </xf>
    <xf numFmtId="0" fontId="0" fillId="0" borderId="0" xfId="0" applyAlignment="1"/>
    <xf numFmtId="0" fontId="0" fillId="14" borderId="0" xfId="0" applyFill="1" applyAlignment="1"/>
    <xf numFmtId="0" fontId="8" fillId="11" borderId="18" xfId="0" applyFont="1" applyFill="1" applyBorder="1" applyAlignment="1">
      <alignment horizontal="center" vertical="center"/>
    </xf>
    <xf numFmtId="2" fontId="8" fillId="11" borderId="18" xfId="0" applyNumberFormat="1" applyFont="1" applyFill="1" applyBorder="1" applyAlignment="1">
      <alignment horizontal="center" vertical="center"/>
    </xf>
    <xf numFmtId="14" fontId="8" fillId="11" borderId="18" xfId="0" applyNumberFormat="1" applyFont="1" applyFill="1" applyBorder="1" applyAlignment="1">
      <alignment horizontal="center" vertical="center"/>
    </xf>
    <xf numFmtId="173" fontId="8" fillId="11" borderId="24" xfId="0" applyNumberFormat="1" applyFont="1" applyFill="1" applyBorder="1" applyAlignment="1">
      <alignment horizontal="center" vertical="center" wrapText="1"/>
    </xf>
    <xf numFmtId="174" fontId="8" fillId="11" borderId="24" xfId="0" applyNumberFormat="1" applyFont="1" applyFill="1" applyBorder="1" applyAlignment="1">
      <alignment horizontal="center" vertical="center" wrapText="1"/>
    </xf>
    <xf numFmtId="0" fontId="8" fillId="11" borderId="24" xfId="0" applyFont="1" applyFill="1" applyBorder="1" applyAlignment="1">
      <alignment horizontal="center" vertical="center"/>
    </xf>
    <xf numFmtId="2" fontId="8" fillId="11" borderId="24" xfId="0" applyNumberFormat="1" applyFont="1" applyFill="1" applyBorder="1" applyAlignment="1">
      <alignment horizontal="center" vertical="center"/>
    </xf>
    <xf numFmtId="14" fontId="8" fillId="11" borderId="24" xfId="0" applyNumberFormat="1" applyFont="1" applyFill="1" applyBorder="1" applyAlignment="1">
      <alignment horizontal="center" vertical="center"/>
    </xf>
    <xf numFmtId="0" fontId="8" fillId="11" borderId="7" xfId="0" applyFont="1" applyFill="1" applyBorder="1" applyAlignment="1">
      <alignment horizontal="center" vertical="center" wrapText="1"/>
    </xf>
    <xf numFmtId="49" fontId="8" fillId="11" borderId="7" xfId="0" applyNumberFormat="1" applyFont="1" applyFill="1" applyBorder="1" applyAlignment="1">
      <alignment horizontal="center" vertical="center" wrapText="1"/>
    </xf>
    <xf numFmtId="49" fontId="8" fillId="11" borderId="7" xfId="0" applyNumberFormat="1" applyFont="1" applyFill="1" applyBorder="1" applyAlignment="1">
      <alignment horizontal="center" wrapText="1"/>
    </xf>
    <xf numFmtId="39" fontId="8" fillId="11" borderId="7" xfId="0" applyNumberFormat="1" applyFont="1" applyFill="1" applyBorder="1" applyAlignment="1">
      <alignment horizontal="center" vertical="center" wrapText="1"/>
    </xf>
    <xf numFmtId="14" fontId="8" fillId="11" borderId="7" xfId="0" applyNumberFormat="1" applyFont="1" applyFill="1" applyBorder="1" applyAlignment="1">
      <alignment horizontal="center" vertical="center" wrapText="1"/>
    </xf>
    <xf numFmtId="3" fontId="8" fillId="11" borderId="7" xfId="0" applyNumberFormat="1" applyFont="1" applyFill="1" applyBorder="1" applyAlignment="1">
      <alignment horizontal="center" vertical="center" wrapText="1"/>
    </xf>
    <xf numFmtId="165" fontId="8" fillId="7" borderId="18" xfId="0" applyNumberFormat="1" applyFont="1" applyFill="1" applyBorder="1" applyAlignment="1">
      <alignment horizontal="left"/>
    </xf>
    <xf numFmtId="165" fontId="8" fillId="7" borderId="24" xfId="0" applyNumberFormat="1" applyFont="1" applyFill="1" applyBorder="1" applyAlignment="1">
      <alignment horizontal="left"/>
    </xf>
    <xf numFmtId="15" fontId="8" fillId="7" borderId="7" xfId="0" applyNumberFormat="1" applyFont="1" applyFill="1" applyBorder="1" applyAlignment="1">
      <alignment horizontal="left"/>
    </xf>
    <xf numFmtId="1" fontId="8" fillId="11" borderId="18" xfId="0" applyNumberFormat="1" applyFont="1" applyFill="1" applyBorder="1" applyAlignment="1">
      <alignment horizontal="center" vertical="center" wrapText="1"/>
    </xf>
    <xf numFmtId="1" fontId="8" fillId="14" borderId="0"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14" fontId="8" fillId="6" borderId="7" xfId="0" applyNumberFormat="1" applyFont="1" applyFill="1" applyBorder="1" applyAlignment="1">
      <alignment horizontal="center" vertical="center" wrapText="1"/>
    </xf>
    <xf numFmtId="167" fontId="8" fillId="6" borderId="7" xfId="0" applyNumberFormat="1" applyFont="1" applyFill="1" applyBorder="1" applyAlignment="1">
      <alignment horizontal="center" vertical="center" wrapText="1"/>
    </xf>
    <xf numFmtId="0" fontId="18" fillId="0" borderId="0" xfId="5" applyFont="1" applyFill="1" applyBorder="1" applyAlignment="1">
      <alignment horizontal="center" vertical="center" wrapText="1"/>
    </xf>
    <xf numFmtId="170" fontId="8" fillId="12" borderId="7" xfId="0" applyNumberFormat="1" applyFont="1" applyFill="1" applyBorder="1" applyAlignment="1">
      <alignment horizontal="center" vertical="center"/>
    </xf>
    <xf numFmtId="0" fontId="9" fillId="13" borderId="7" xfId="0" applyFont="1" applyFill="1" applyBorder="1" applyAlignment="1">
      <alignment horizontal="center" vertical="center" wrapText="1"/>
    </xf>
    <xf numFmtId="0" fontId="10" fillId="4" borderId="10" xfId="5" applyFont="1" applyFill="1" applyBorder="1" applyAlignment="1">
      <alignment horizontal="center" vertical="center" wrapText="1"/>
    </xf>
    <xf numFmtId="0" fontId="10" fillId="4" borderId="28" xfId="5" applyFont="1" applyFill="1" applyBorder="1" applyAlignment="1">
      <alignment horizontal="center" vertical="center" wrapText="1"/>
    </xf>
    <xf numFmtId="0" fontId="8" fillId="5" borderId="7" xfId="1" applyFont="1" applyFill="1" applyBorder="1" applyAlignment="1">
      <alignment horizontal="center" vertical="center" wrapText="1"/>
    </xf>
    <xf numFmtId="0" fontId="9" fillId="7" borderId="7" xfId="0" applyFont="1" applyFill="1" applyBorder="1" applyAlignment="1">
      <alignment horizontal="left"/>
    </xf>
    <xf numFmtId="0" fontId="9" fillId="8" borderId="7" xfId="0" applyFont="1" applyFill="1" applyBorder="1" applyAlignment="1">
      <alignment horizontal="left"/>
    </xf>
    <xf numFmtId="49" fontId="9" fillId="13" borderId="7" xfId="0" applyNumberFormat="1" applyFont="1" applyFill="1" applyBorder="1" applyAlignment="1">
      <alignment horizontal="center" vertical="center" wrapText="1"/>
    </xf>
    <xf numFmtId="176" fontId="8" fillId="13" borderId="7" xfId="0" applyNumberFormat="1" applyFont="1" applyFill="1" applyBorder="1" applyAlignment="1">
      <alignment horizontal="center" vertical="center" wrapText="1"/>
    </xf>
    <xf numFmtId="177" fontId="8" fillId="12" borderId="7" xfId="0" applyNumberFormat="1" applyFont="1" applyFill="1" applyBorder="1" applyAlignment="1">
      <alignment horizontal="center" vertical="center"/>
    </xf>
    <xf numFmtId="0" fontId="9" fillId="9" borderId="18" xfId="0" applyFont="1" applyFill="1" applyBorder="1" applyAlignment="1">
      <alignment horizontal="left"/>
    </xf>
    <xf numFmtId="0" fontId="9" fillId="12" borderId="7" xfId="0" applyFont="1" applyFill="1" applyBorder="1" applyAlignment="1">
      <alignment horizontal="center" vertical="center" wrapText="1"/>
    </xf>
    <xf numFmtId="49" fontId="9" fillId="11" borderId="7" xfId="0" applyNumberFormat="1" applyFont="1" applyFill="1" applyBorder="1" applyAlignment="1">
      <alignment horizontal="center" vertical="center" wrapText="1"/>
    </xf>
    <xf numFmtId="49" fontId="9" fillId="11" borderId="7" xfId="0" applyNumberFormat="1" applyFont="1" applyFill="1" applyBorder="1" applyAlignment="1">
      <alignment horizontal="center" wrapText="1"/>
    </xf>
    <xf numFmtId="0" fontId="9" fillId="11" borderId="7" xfId="0" applyFont="1" applyFill="1" applyBorder="1" applyAlignment="1">
      <alignment horizontal="center" vertical="center" wrapText="1"/>
    </xf>
    <xf numFmtId="39" fontId="9" fillId="11" borderId="7" xfId="0" applyNumberFormat="1"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12" borderId="7" xfId="0" applyFont="1" applyFill="1" applyBorder="1" applyAlignment="1">
      <alignment horizontal="center" vertical="center"/>
    </xf>
    <xf numFmtId="0" fontId="8" fillId="0" borderId="0" xfId="0" applyFont="1" applyFill="1" applyBorder="1" applyAlignment="1">
      <alignment vertical="center"/>
    </xf>
    <xf numFmtId="0" fontId="0" fillId="0" borderId="7" xfId="0" applyBorder="1"/>
    <xf numFmtId="0" fontId="8" fillId="7" borderId="7" xfId="0" applyFont="1" applyFill="1" applyBorder="1" applyAlignment="1">
      <alignment horizontal="center" wrapText="1"/>
    </xf>
    <xf numFmtId="165" fontId="8" fillId="4" borderId="6" xfId="5" applyNumberFormat="1" applyFont="1" applyFill="1" applyBorder="1" applyAlignment="1">
      <alignment horizontal="center" vertical="center" wrapText="1"/>
    </xf>
    <xf numFmtId="14" fontId="8" fillId="4" borderId="6" xfId="5" applyNumberFormat="1" applyFont="1" applyFill="1" applyBorder="1" applyAlignment="1">
      <alignment horizontal="center" vertical="center" wrapText="1"/>
    </xf>
    <xf numFmtId="164" fontId="8" fillId="4" borderId="6" xfId="5" applyNumberFormat="1" applyFont="1" applyFill="1" applyBorder="1" applyAlignment="1">
      <alignment horizontal="center" vertical="center" wrapText="1"/>
    </xf>
    <xf numFmtId="0" fontId="0" fillId="0" borderId="33" xfId="0" applyBorder="1"/>
    <xf numFmtId="0" fontId="0" fillId="4" borderId="7" xfId="0" applyFill="1" applyBorder="1" applyAlignment="1">
      <alignment vertical="center" wrapText="1"/>
    </xf>
    <xf numFmtId="0" fontId="0" fillId="4" borderId="7" xfId="0" applyFill="1" applyBorder="1" applyAlignment="1">
      <alignment horizontal="right" vertical="center" wrapText="1"/>
    </xf>
    <xf numFmtId="0" fontId="0" fillId="4" borderId="7" xfId="0" applyFill="1" applyBorder="1" applyAlignment="1">
      <alignment horizontal="center" vertical="center" wrapText="1"/>
    </xf>
    <xf numFmtId="0" fontId="8" fillId="0" borderId="0" xfId="5" applyFont="1" applyFill="1" applyBorder="1" applyAlignment="1">
      <alignment horizontal="center" vertical="center" wrapText="1"/>
    </xf>
    <xf numFmtId="0" fontId="0" fillId="0" borderId="0" xfId="0" applyFill="1" applyBorder="1" applyAlignment="1">
      <alignment vertical="center" wrapText="1"/>
    </xf>
    <xf numFmtId="14" fontId="0" fillId="4" borderId="7" xfId="0" applyNumberFormat="1" applyFill="1" applyBorder="1" applyAlignment="1">
      <alignment vertical="center" wrapText="1"/>
    </xf>
    <xf numFmtId="0" fontId="9" fillId="4" borderId="7" xfId="5" applyFont="1" applyFill="1" applyBorder="1" applyAlignment="1">
      <alignment horizontal="center" vertical="center" wrapText="1"/>
    </xf>
    <xf numFmtId="0" fontId="9" fillId="4" borderId="10" xfId="5" applyFont="1" applyFill="1" applyBorder="1" applyAlignment="1">
      <alignment horizontal="center" vertical="center" wrapText="1"/>
    </xf>
    <xf numFmtId="0" fontId="9" fillId="4" borderId="6" xfId="5" applyFont="1" applyFill="1" applyBorder="1" applyAlignment="1">
      <alignment horizontal="center" vertical="center" wrapText="1"/>
    </xf>
    <xf numFmtId="0" fontId="9" fillId="8" borderId="18" xfId="0" applyFont="1" applyFill="1" applyBorder="1" applyAlignment="1">
      <alignment horizontal="left"/>
    </xf>
    <xf numFmtId="0" fontId="9" fillId="7" borderId="7" xfId="0" applyFont="1" applyFill="1" applyBorder="1" applyAlignment="1">
      <alignment horizontal="left" wrapText="1"/>
    </xf>
    <xf numFmtId="0" fontId="8" fillId="9" borderId="7" xfId="0" applyFont="1" applyFill="1" applyBorder="1" applyAlignment="1">
      <alignment horizontal="left"/>
    </xf>
    <xf numFmtId="14" fontId="8" fillId="9" borderId="7" xfId="0" applyNumberFormat="1" applyFont="1" applyFill="1" applyBorder="1" applyAlignment="1">
      <alignment horizontal="left"/>
    </xf>
    <xf numFmtId="0" fontId="21" fillId="4" borderId="7" xfId="0" applyFont="1" applyFill="1" applyBorder="1"/>
    <xf numFmtId="0" fontId="8" fillId="4" borderId="7" xfId="0" applyFont="1" applyFill="1" applyBorder="1" applyAlignment="1">
      <alignment vertical="center" wrapText="1"/>
    </xf>
    <xf numFmtId="0" fontId="9" fillId="9" borderId="7" xfId="0" applyFont="1" applyFill="1" applyBorder="1" applyAlignment="1">
      <alignment horizontal="left"/>
    </xf>
    <xf numFmtId="174" fontId="8" fillId="11" borderId="7" xfId="0" applyNumberFormat="1" applyFont="1" applyFill="1" applyBorder="1" applyAlignment="1">
      <alignment horizontal="center" vertical="center" wrapText="1"/>
    </xf>
    <xf numFmtId="175" fontId="9" fillId="11" borderId="7" xfId="0" applyNumberFormat="1" applyFont="1" applyFill="1" applyBorder="1" applyAlignment="1">
      <alignment horizontal="center" vertical="center" wrapText="1"/>
    </xf>
    <xf numFmtId="14" fontId="9" fillId="11" borderId="7" xfId="0" applyNumberFormat="1" applyFont="1" applyFill="1" applyBorder="1" applyAlignment="1">
      <alignment horizontal="center" vertical="center" wrapText="1"/>
    </xf>
    <xf numFmtId="4" fontId="9" fillId="11" borderId="7" xfId="0" applyNumberFormat="1" applyFont="1" applyFill="1" applyBorder="1" applyAlignment="1">
      <alignment horizontal="center" vertical="center" wrapText="1"/>
    </xf>
    <xf numFmtId="3" fontId="9" fillId="11" borderId="7" xfId="0" applyNumberFormat="1" applyFont="1" applyFill="1" applyBorder="1" applyAlignment="1">
      <alignment horizontal="center" vertical="center" wrapText="1"/>
    </xf>
    <xf numFmtId="0" fontId="9" fillId="11" borderId="7" xfId="0" applyFont="1" applyFill="1" applyBorder="1" applyAlignment="1">
      <alignment horizontal="center" vertical="center"/>
    </xf>
    <xf numFmtId="0" fontId="9" fillId="13" borderId="7" xfId="0" applyFont="1" applyFill="1" applyBorder="1" applyAlignment="1">
      <alignment horizontal="center" vertical="center"/>
    </xf>
    <xf numFmtId="2" fontId="8" fillId="9" borderId="7" xfId="0" applyNumberFormat="1" applyFont="1" applyFill="1" applyBorder="1" applyAlignment="1">
      <alignment horizontal="left"/>
    </xf>
    <xf numFmtId="2" fontId="9" fillId="9" borderId="7" xfId="0" applyNumberFormat="1" applyFont="1" applyFill="1" applyBorder="1" applyAlignment="1">
      <alignment horizontal="left"/>
    </xf>
    <xf numFmtId="14" fontId="9" fillId="9" borderId="7" xfId="0" applyNumberFormat="1" applyFont="1" applyFill="1" applyBorder="1" applyAlignment="1">
      <alignment horizontal="left"/>
    </xf>
    <xf numFmtId="0" fontId="0" fillId="4" borderId="6" xfId="0" applyFill="1" applyBorder="1" applyAlignment="1">
      <alignment vertical="center" wrapText="1"/>
    </xf>
    <xf numFmtId="0" fontId="0" fillId="4" borderId="6" xfId="0" applyFill="1" applyBorder="1" applyAlignment="1">
      <alignment horizontal="center" vertical="center" wrapText="1"/>
    </xf>
    <xf numFmtId="0" fontId="0" fillId="4" borderId="11" xfId="0" applyFill="1" applyBorder="1" applyAlignment="1">
      <alignment vertical="center" wrapText="1"/>
    </xf>
    <xf numFmtId="0" fontId="0" fillId="4" borderId="32" xfId="0" applyFill="1" applyBorder="1" applyAlignment="1">
      <alignment vertical="center" wrapText="1"/>
    </xf>
    <xf numFmtId="0" fontId="8" fillId="13" borderId="30" xfId="0" applyFont="1" applyFill="1" applyBorder="1" applyAlignment="1">
      <alignment horizontal="center" vertical="center" wrapText="1"/>
    </xf>
    <xf numFmtId="165" fontId="8" fillId="9" borderId="7" xfId="0" applyNumberFormat="1" applyFont="1" applyFill="1" applyBorder="1" applyAlignment="1">
      <alignment horizontal="left"/>
    </xf>
    <xf numFmtId="1" fontId="8" fillId="9" borderId="7" xfId="0" applyNumberFormat="1" applyFont="1" applyFill="1" applyBorder="1" applyAlignment="1">
      <alignment horizontal="left"/>
    </xf>
    <xf numFmtId="0" fontId="5" fillId="4" borderId="7" xfId="0" applyFont="1" applyFill="1" applyBorder="1" applyAlignment="1">
      <alignment vertical="center" wrapText="1"/>
    </xf>
    <xf numFmtId="169" fontId="9" fillId="11" borderId="7" xfId="0" applyNumberFormat="1" applyFont="1" applyFill="1" applyBorder="1" applyAlignment="1">
      <alignment horizontal="center" vertical="center" wrapText="1"/>
    </xf>
    <xf numFmtId="2" fontId="9" fillId="11" borderId="7" xfId="0" applyNumberFormat="1" applyFont="1" applyFill="1" applyBorder="1" applyAlignment="1">
      <alignment horizontal="center" vertical="center" wrapText="1"/>
    </xf>
    <xf numFmtId="0" fontId="0" fillId="0" borderId="4" xfId="0" applyBorder="1"/>
    <xf numFmtId="14" fontId="0" fillId="4" borderId="6" xfId="0" applyNumberFormat="1" applyFill="1" applyBorder="1" applyAlignment="1">
      <alignment vertical="center" wrapText="1"/>
    </xf>
    <xf numFmtId="1" fontId="8" fillId="7" borderId="7" xfId="0" applyNumberFormat="1" applyFont="1" applyFill="1" applyBorder="1" applyAlignment="1">
      <alignment horizontal="left"/>
    </xf>
    <xf numFmtId="49" fontId="8" fillId="12" borderId="7" xfId="0" applyNumberFormat="1" applyFont="1" applyFill="1" applyBorder="1" applyAlignment="1">
      <alignment horizontal="center" vertical="center" wrapText="1"/>
    </xf>
    <xf numFmtId="178" fontId="8" fillId="6" borderId="18" xfId="0" applyNumberFormat="1" applyFont="1" applyFill="1" applyBorder="1" applyAlignment="1">
      <alignment horizontal="center" vertical="center" wrapText="1"/>
    </xf>
    <xf numFmtId="0" fontId="9" fillId="12" borderId="6" xfId="0" applyFont="1" applyFill="1" applyBorder="1" applyAlignment="1">
      <alignment horizontal="center" vertical="center"/>
    </xf>
    <xf numFmtId="0" fontId="8" fillId="12" borderId="6" xfId="0" applyFont="1" applyFill="1" applyBorder="1" applyAlignment="1">
      <alignment horizontal="center" vertical="center"/>
    </xf>
    <xf numFmtId="177" fontId="8" fillId="12" borderId="6" xfId="0" applyNumberFormat="1" applyFont="1" applyFill="1" applyBorder="1" applyAlignment="1">
      <alignment horizontal="center" vertical="center"/>
    </xf>
    <xf numFmtId="14" fontId="8" fillId="12" borderId="6" xfId="0" applyNumberFormat="1" applyFont="1" applyFill="1" applyBorder="1" applyAlignment="1">
      <alignment horizontal="center" vertical="center"/>
    </xf>
    <xf numFmtId="0" fontId="0" fillId="4" borderId="0" xfId="0" applyFill="1" applyBorder="1" applyAlignment="1">
      <alignment vertical="center" wrapText="1"/>
    </xf>
    <xf numFmtId="0" fontId="0" fillId="4" borderId="10" xfId="0" applyFill="1" applyBorder="1" applyAlignment="1">
      <alignment vertical="center" wrapText="1"/>
    </xf>
    <xf numFmtId="0" fontId="21" fillId="4" borderId="10" xfId="0" applyFont="1" applyFill="1" applyBorder="1"/>
    <xf numFmtId="14" fontId="0" fillId="4" borderId="10" xfId="0" applyNumberFormat="1" applyFill="1" applyBorder="1" applyAlignment="1">
      <alignment vertical="center" wrapText="1"/>
    </xf>
    <xf numFmtId="0" fontId="8" fillId="4" borderId="10" xfId="0" applyFont="1" applyFill="1" applyBorder="1" applyAlignment="1">
      <alignment vertical="center" wrapText="1"/>
    </xf>
    <xf numFmtId="1" fontId="8" fillId="13" borderId="27" xfId="0" applyNumberFormat="1" applyFont="1" applyFill="1" applyBorder="1" applyAlignment="1">
      <alignment horizontal="center" vertical="center" wrapText="1"/>
    </xf>
    <xf numFmtId="14" fontId="8" fillId="13" borderId="27" xfId="0" applyNumberFormat="1" applyFont="1" applyFill="1" applyBorder="1" applyAlignment="1">
      <alignment horizontal="center" vertical="center" wrapText="1"/>
    </xf>
    <xf numFmtId="166" fontId="8" fillId="13" borderId="27" xfId="0" applyNumberFormat="1" applyFont="1" applyFill="1" applyBorder="1" applyAlignment="1">
      <alignment horizontal="center" vertical="center" wrapText="1"/>
    </xf>
    <xf numFmtId="0" fontId="9" fillId="4" borderId="7" xfId="0" applyFont="1" applyFill="1" applyBorder="1" applyAlignment="1">
      <alignment vertical="center" wrapText="1"/>
    </xf>
    <xf numFmtId="165" fontId="8" fillId="10" borderId="7" xfId="0" applyNumberFormat="1" applyFont="1" applyFill="1" applyBorder="1" applyAlignment="1">
      <alignment horizontal="center" vertical="center" wrapText="1"/>
    </xf>
    <xf numFmtId="179" fontId="8" fillId="10" borderId="7" xfId="0" applyNumberFormat="1" applyFont="1" applyFill="1" applyBorder="1" applyAlignment="1">
      <alignment horizontal="center" vertical="center" wrapText="1"/>
    </xf>
    <xf numFmtId="169" fontId="8" fillId="10" borderId="7" xfId="0" applyNumberFormat="1" applyFont="1" applyFill="1" applyBorder="1" applyAlignment="1">
      <alignment horizontal="center" vertical="center" wrapText="1"/>
    </xf>
    <xf numFmtId="0" fontId="9" fillId="11" borderId="6" xfId="0" applyFont="1" applyFill="1" applyBorder="1" applyAlignment="1">
      <alignment horizontal="center" vertical="center"/>
    </xf>
    <xf numFmtId="0" fontId="8" fillId="11" borderId="6" xfId="0" applyFont="1" applyFill="1" applyBorder="1" applyAlignment="1">
      <alignment horizontal="center" vertical="center"/>
    </xf>
    <xf numFmtId="0" fontId="8" fillId="11" borderId="6" xfId="0" applyFont="1" applyFill="1" applyBorder="1" applyAlignment="1">
      <alignment horizontal="center" vertical="center" wrapText="1"/>
    </xf>
    <xf numFmtId="14" fontId="8" fillId="11" borderId="6" xfId="0" applyNumberFormat="1" applyFont="1" applyFill="1" applyBorder="1" applyAlignment="1">
      <alignment horizontal="center" vertical="center"/>
    </xf>
    <xf numFmtId="170" fontId="9" fillId="12" borderId="7" xfId="0" applyNumberFormat="1" applyFont="1" applyFill="1" applyBorder="1" applyAlignment="1">
      <alignment horizontal="center" vertical="center" wrapText="1"/>
    </xf>
    <xf numFmtId="165" fontId="9" fillId="12" borderId="7" xfId="0" applyNumberFormat="1" applyFont="1" applyFill="1" applyBorder="1" applyAlignment="1">
      <alignment horizontal="center" vertical="center" wrapText="1"/>
    </xf>
    <xf numFmtId="14" fontId="9" fillId="12" borderId="7"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0" fontId="8" fillId="6" borderId="18" xfId="0" applyFont="1" applyFill="1" applyBorder="1" applyAlignment="1">
      <alignment horizontal="center" vertical="center"/>
    </xf>
    <xf numFmtId="0" fontId="8" fillId="6" borderId="27"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34" xfId="0" applyFont="1" applyFill="1" applyBorder="1" applyAlignment="1">
      <alignment horizontal="center" vertical="center" wrapText="1"/>
    </xf>
    <xf numFmtId="0" fontId="8" fillId="6" borderId="30" xfId="0" applyFont="1" applyFill="1" applyBorder="1" applyAlignment="1">
      <alignment horizontal="center" vertical="center" wrapText="1"/>
    </xf>
    <xf numFmtId="0" fontId="6" fillId="2" borderId="35" xfId="0" applyFont="1" applyFill="1" applyBorder="1" applyAlignment="1">
      <alignment horizontal="center" vertical="center" wrapText="1"/>
    </xf>
    <xf numFmtId="167" fontId="8" fillId="6" borderId="7" xfId="0" quotePrefix="1" applyNumberFormat="1" applyFont="1" applyFill="1" applyBorder="1" applyAlignment="1">
      <alignment horizontal="center" vertical="center" wrapText="1"/>
    </xf>
    <xf numFmtId="168" fontId="8" fillId="6" borderId="7" xfId="0" applyNumberFormat="1" applyFont="1" applyFill="1" applyBorder="1" applyAlignment="1">
      <alignment horizontal="center" vertical="center" wrapText="1"/>
    </xf>
    <xf numFmtId="167" fontId="8" fillId="11" borderId="7" xfId="0" applyNumberFormat="1" applyFont="1" applyFill="1" applyBorder="1" applyAlignment="1">
      <alignment horizontal="center" vertical="center"/>
    </xf>
    <xf numFmtId="0" fontId="9" fillId="6" borderId="18" xfId="0" applyFont="1" applyFill="1" applyBorder="1" applyAlignment="1">
      <alignment horizontal="center" vertical="center"/>
    </xf>
    <xf numFmtId="174" fontId="9" fillId="11" borderId="7" xfId="0" applyNumberFormat="1" applyFont="1" applyFill="1" applyBorder="1" applyAlignment="1">
      <alignment horizontal="center" vertical="center" wrapText="1"/>
    </xf>
    <xf numFmtId="14" fontId="9" fillId="12" borderId="7" xfId="0" applyNumberFormat="1" applyFont="1" applyFill="1" applyBorder="1" applyAlignment="1">
      <alignment horizontal="center" vertical="center"/>
    </xf>
    <xf numFmtId="2" fontId="9" fillId="8" borderId="7" xfId="0" applyNumberFormat="1" applyFont="1" applyFill="1" applyBorder="1" applyAlignment="1">
      <alignment horizontal="left"/>
    </xf>
    <xf numFmtId="1" fontId="9" fillId="8" borderId="7" xfId="0" applyNumberFormat="1" applyFont="1" applyFill="1" applyBorder="1" applyAlignment="1">
      <alignment horizontal="left"/>
    </xf>
    <xf numFmtId="14" fontId="9" fillId="8" borderId="7" xfId="0" applyNumberFormat="1" applyFont="1" applyFill="1" applyBorder="1" applyAlignment="1">
      <alignment horizontal="left"/>
    </xf>
    <xf numFmtId="15" fontId="8" fillId="9" borderId="18" xfId="0" applyNumberFormat="1" applyFont="1" applyFill="1" applyBorder="1" applyAlignment="1">
      <alignment horizontal="left"/>
    </xf>
    <xf numFmtId="165" fontId="8" fillId="9" borderId="18" xfId="0" applyNumberFormat="1" applyFont="1" applyFill="1" applyBorder="1" applyAlignment="1">
      <alignment horizontal="left"/>
    </xf>
    <xf numFmtId="165" fontId="8" fillId="7" borderId="7" xfId="0" applyNumberFormat="1" applyFont="1" applyFill="1" applyBorder="1" applyAlignment="1">
      <alignment horizontal="left"/>
    </xf>
    <xf numFmtId="180" fontId="8" fillId="11" borderId="7" xfId="0" applyNumberFormat="1" applyFont="1" applyFill="1" applyBorder="1" applyAlignment="1">
      <alignment horizontal="center" vertical="center"/>
    </xf>
    <xf numFmtId="0" fontId="0" fillId="0" borderId="28" xfId="0" applyBorder="1"/>
    <xf numFmtId="14" fontId="9" fillId="12" borderId="6" xfId="0" applyNumberFormat="1" applyFont="1" applyFill="1" applyBorder="1" applyAlignment="1">
      <alignment horizontal="center" vertical="center"/>
    </xf>
    <xf numFmtId="177" fontId="9" fillId="12" borderId="7" xfId="0" applyNumberFormat="1" applyFont="1" applyFill="1" applyBorder="1" applyAlignment="1">
      <alignment horizontal="center" vertical="center"/>
    </xf>
    <xf numFmtId="0" fontId="8" fillId="12" borderId="32" xfId="0" applyFont="1" applyFill="1" applyBorder="1" applyAlignment="1">
      <alignment horizontal="center" vertical="center"/>
    </xf>
    <xf numFmtId="0" fontId="8" fillId="12" borderId="11" xfId="0" applyFont="1" applyFill="1" applyBorder="1" applyAlignment="1">
      <alignment horizontal="center" vertical="center"/>
    </xf>
    <xf numFmtId="0" fontId="9" fillId="12" borderId="32" xfId="0" applyFont="1" applyFill="1" applyBorder="1" applyAlignment="1">
      <alignment horizontal="center" vertical="center"/>
    </xf>
    <xf numFmtId="2" fontId="9" fillId="11" borderId="18" xfId="0" applyNumberFormat="1" applyFont="1" applyFill="1" applyBorder="1" applyAlignment="1">
      <alignment horizontal="center" vertical="center" wrapText="1"/>
    </xf>
    <xf numFmtId="14" fontId="9" fillId="11" borderId="18" xfId="0" applyNumberFormat="1" applyFont="1" applyFill="1" applyBorder="1" applyAlignment="1">
      <alignment horizontal="center" vertical="center" wrapText="1"/>
    </xf>
    <xf numFmtId="2" fontId="9" fillId="11" borderId="18" xfId="0" applyNumberFormat="1" applyFont="1" applyFill="1" applyBorder="1" applyAlignment="1">
      <alignment horizontal="center" vertical="center"/>
    </xf>
    <xf numFmtId="14" fontId="9" fillId="11" borderId="18" xfId="0" applyNumberFormat="1" applyFont="1" applyFill="1" applyBorder="1" applyAlignment="1">
      <alignment horizontal="center" vertical="center"/>
    </xf>
    <xf numFmtId="2" fontId="9" fillId="11" borderId="24" xfId="0" applyNumberFormat="1" applyFont="1" applyFill="1" applyBorder="1" applyAlignment="1">
      <alignment horizontal="center" vertical="center" wrapText="1"/>
    </xf>
    <xf numFmtId="14" fontId="9" fillId="11" borderId="24" xfId="0" applyNumberFormat="1" applyFont="1" applyFill="1" applyBorder="1" applyAlignment="1">
      <alignment horizontal="center" vertical="center" wrapText="1"/>
    </xf>
    <xf numFmtId="14" fontId="9" fillId="11" borderId="24" xfId="0" applyNumberFormat="1" applyFont="1" applyFill="1" applyBorder="1" applyAlignment="1">
      <alignment horizontal="center" vertical="center"/>
    </xf>
    <xf numFmtId="49" fontId="9" fillId="11" borderId="24" xfId="0" applyNumberFormat="1" applyFont="1" applyFill="1" applyBorder="1" applyAlignment="1">
      <alignment horizontal="center" vertical="center" wrapText="1"/>
    </xf>
    <xf numFmtId="0" fontId="0" fillId="0" borderId="0" xfId="0" applyFill="1" applyAlignment="1"/>
    <xf numFmtId="0" fontId="20" fillId="6" borderId="18" xfId="0" applyFont="1" applyFill="1" applyBorder="1" applyAlignment="1">
      <alignment horizontal="center" vertical="center" wrapText="1"/>
    </xf>
    <xf numFmtId="165" fontId="9" fillId="8" borderId="7" xfId="0" applyNumberFormat="1" applyFont="1" applyFill="1" applyBorder="1" applyAlignment="1">
      <alignment horizontal="left"/>
    </xf>
    <xf numFmtId="14" fontId="9" fillId="6" borderId="18" xfId="0" applyNumberFormat="1" applyFont="1" applyFill="1" applyBorder="1" applyAlignment="1">
      <alignment horizontal="center" vertical="center" wrapText="1"/>
    </xf>
    <xf numFmtId="0" fontId="9" fillId="7" borderId="18" xfId="0" applyFont="1" applyFill="1" applyBorder="1" applyAlignment="1">
      <alignment horizontal="left"/>
    </xf>
    <xf numFmtId="0" fontId="8" fillId="14" borderId="0" xfId="0" applyFont="1" applyFill="1" applyBorder="1" applyAlignment="1">
      <alignment vertical="center"/>
    </xf>
    <xf numFmtId="0" fontId="23" fillId="14" borderId="0" xfId="0" applyFont="1" applyFill="1" applyAlignment="1">
      <alignment vertical="center"/>
    </xf>
    <xf numFmtId="165" fontId="9" fillId="9" borderId="7" xfId="0" applyNumberFormat="1" applyFont="1" applyFill="1" applyBorder="1" applyAlignment="1">
      <alignment horizontal="left"/>
    </xf>
    <xf numFmtId="180" fontId="9" fillId="11" borderId="7" xfId="0" applyNumberFormat="1" applyFont="1" applyFill="1" applyBorder="1" applyAlignment="1">
      <alignment horizontal="center" vertical="center" wrapText="1"/>
    </xf>
    <xf numFmtId="0" fontId="9" fillId="13" borderId="11" xfId="0" applyFont="1" applyFill="1" applyBorder="1" applyAlignment="1">
      <alignment horizontal="center" vertical="center"/>
    </xf>
    <xf numFmtId="0" fontId="8" fillId="13" borderId="7" xfId="0" applyFont="1" applyFill="1" applyBorder="1" applyAlignment="1">
      <alignment horizontal="left"/>
    </xf>
    <xf numFmtId="14" fontId="8" fillId="13" borderId="7" xfId="0" applyNumberFormat="1" applyFont="1" applyFill="1" applyBorder="1" applyAlignment="1">
      <alignment horizontal="left"/>
    </xf>
    <xf numFmtId="0" fontId="8" fillId="13" borderId="6" xfId="0" applyFont="1" applyFill="1" applyBorder="1" applyAlignment="1">
      <alignment horizontal="left"/>
    </xf>
    <xf numFmtId="14" fontId="8" fillId="13" borderId="6" xfId="0" applyNumberFormat="1" applyFont="1" applyFill="1" applyBorder="1" applyAlignment="1">
      <alignment horizontal="left"/>
    </xf>
    <xf numFmtId="49" fontId="8" fillId="13" borderId="7" xfId="0" applyNumberFormat="1" applyFont="1" applyFill="1" applyBorder="1" applyAlignment="1">
      <alignment horizontal="left"/>
    </xf>
    <xf numFmtId="181" fontId="9" fillId="12" borderId="7" xfId="0" applyNumberFormat="1" applyFont="1" applyFill="1" applyBorder="1" applyAlignment="1">
      <alignment horizontal="center" vertical="center" wrapText="1"/>
    </xf>
    <xf numFmtId="0" fontId="8" fillId="10" borderId="18" xfId="0" applyFont="1" applyFill="1" applyBorder="1" applyAlignment="1">
      <alignment horizontal="center" vertical="center"/>
    </xf>
    <xf numFmtId="0" fontId="9" fillId="10" borderId="18" xfId="0" applyFont="1" applyFill="1" applyBorder="1" applyAlignment="1">
      <alignment horizontal="center" vertical="center"/>
    </xf>
    <xf numFmtId="0" fontId="8" fillId="10" borderId="24" xfId="0" applyFont="1" applyFill="1" applyBorder="1" applyAlignment="1">
      <alignment horizontal="center" vertical="center"/>
    </xf>
    <xf numFmtId="0" fontId="9" fillId="10" borderId="24" xfId="0" applyFont="1" applyFill="1" applyBorder="1" applyAlignment="1">
      <alignment horizontal="center" vertical="center"/>
    </xf>
    <xf numFmtId="0" fontId="8" fillId="10" borderId="7" xfId="0" applyFont="1" applyFill="1" applyBorder="1" applyAlignment="1">
      <alignment horizontal="center" vertical="center"/>
    </xf>
    <xf numFmtId="0" fontId="9" fillId="10" borderId="7" xfId="0" applyFont="1" applyFill="1" applyBorder="1" applyAlignment="1">
      <alignment horizontal="center" vertical="center"/>
    </xf>
    <xf numFmtId="165" fontId="8" fillId="10" borderId="7" xfId="0" applyNumberFormat="1" applyFont="1" applyFill="1" applyBorder="1" applyAlignment="1">
      <alignment horizontal="center" vertical="center"/>
    </xf>
    <xf numFmtId="49" fontId="9" fillId="13" borderId="7" xfId="0" applyNumberFormat="1" applyFont="1" applyFill="1" applyBorder="1" applyAlignment="1">
      <alignment horizontal="left"/>
    </xf>
    <xf numFmtId="0" fontId="9" fillId="13" borderId="7" xfId="0" applyFont="1" applyFill="1" applyBorder="1" applyAlignment="1">
      <alignment horizontal="left"/>
    </xf>
    <xf numFmtId="0" fontId="0" fillId="0" borderId="7" xfId="0" applyFill="1" applyBorder="1"/>
    <xf numFmtId="0" fontId="9" fillId="11" borderId="7" xfId="0" applyFont="1" applyFill="1" applyBorder="1" applyAlignment="1">
      <alignment horizontal="center" wrapText="1"/>
    </xf>
    <xf numFmtId="49" fontId="9" fillId="13" borderId="6" xfId="0" applyNumberFormat="1" applyFont="1" applyFill="1" applyBorder="1" applyAlignment="1">
      <alignment horizontal="left"/>
    </xf>
    <xf numFmtId="177" fontId="9" fillId="12" borderId="6" xfId="0" applyNumberFormat="1" applyFont="1" applyFill="1" applyBorder="1" applyAlignment="1">
      <alignment horizontal="center" vertical="center"/>
    </xf>
    <xf numFmtId="0" fontId="9" fillId="0" borderId="0" xfId="1" applyFont="1"/>
    <xf numFmtId="1" fontId="9" fillId="12" borderId="7" xfId="0" applyNumberFormat="1" applyFont="1" applyFill="1" applyBorder="1" applyAlignment="1">
      <alignment horizontal="center" vertical="center" wrapText="1"/>
    </xf>
    <xf numFmtId="49" fontId="9" fillId="13" borderId="7" xfId="0" applyNumberFormat="1" applyFont="1" applyFill="1" applyBorder="1" applyAlignment="1">
      <alignment horizontal="center" vertical="center"/>
    </xf>
    <xf numFmtId="14" fontId="9" fillId="13" borderId="7" xfId="0" applyNumberFormat="1" applyFont="1" applyFill="1" applyBorder="1" applyAlignment="1">
      <alignment horizontal="center" vertical="center" wrapText="1"/>
    </xf>
    <xf numFmtId="14" fontId="8" fillId="13" borderId="7" xfId="0" applyNumberFormat="1" applyFont="1" applyFill="1" applyBorder="1" applyAlignment="1">
      <alignment horizontal="center" vertical="top" wrapText="1"/>
    </xf>
    <xf numFmtId="0" fontId="9" fillId="13" borderId="7" xfId="0" applyFont="1" applyFill="1" applyBorder="1" applyAlignment="1">
      <alignment horizontal="center" vertical="top" wrapText="1"/>
    </xf>
    <xf numFmtId="0" fontId="0" fillId="0" borderId="0" xfId="0" applyAlignment="1">
      <alignment vertical="top" wrapText="1"/>
    </xf>
    <xf numFmtId="0" fontId="0" fillId="0" borderId="0" xfId="0" applyFill="1" applyAlignment="1">
      <alignment vertical="top" wrapText="1"/>
    </xf>
    <xf numFmtId="14" fontId="9" fillId="13" borderId="7" xfId="0" applyNumberFormat="1" applyFont="1" applyFill="1" applyBorder="1" applyAlignment="1">
      <alignment horizontal="left"/>
    </xf>
    <xf numFmtId="0" fontId="9" fillId="13" borderId="6" xfId="0" applyFont="1" applyFill="1" applyBorder="1" applyAlignment="1">
      <alignment horizontal="left"/>
    </xf>
    <xf numFmtId="14" fontId="9" fillId="13" borderId="6" xfId="0" applyNumberFormat="1" applyFont="1" applyFill="1" applyBorder="1" applyAlignment="1">
      <alignment horizontal="left"/>
    </xf>
    <xf numFmtId="0" fontId="9" fillId="7" borderId="24" xfId="0" applyFont="1" applyFill="1" applyBorder="1" applyAlignment="1">
      <alignment horizontal="left"/>
    </xf>
    <xf numFmtId="14" fontId="9" fillId="7" borderId="24" xfId="0" applyNumberFormat="1" applyFont="1" applyFill="1" applyBorder="1" applyAlignment="1">
      <alignment horizontal="left"/>
    </xf>
    <xf numFmtId="167" fontId="9" fillId="6" borderId="7" xfId="0" applyNumberFormat="1" applyFont="1" applyFill="1" applyBorder="1" applyAlignment="1">
      <alignment horizontal="center" vertical="center" wrapText="1"/>
    </xf>
    <xf numFmtId="14" fontId="8" fillId="6" borderId="18" xfId="0" applyNumberFormat="1" applyFont="1" applyFill="1" applyBorder="1" applyAlignment="1">
      <alignment horizontal="left"/>
    </xf>
    <xf numFmtId="14" fontId="9" fillId="6" borderId="7" xfId="0" applyNumberFormat="1" applyFont="1" applyFill="1" applyBorder="1" applyAlignment="1">
      <alignment horizontal="center" vertical="center" wrapText="1"/>
    </xf>
    <xf numFmtId="2" fontId="9" fillId="6" borderId="18" xfId="0" applyNumberFormat="1" applyFont="1" applyFill="1" applyBorder="1" applyAlignment="1">
      <alignment horizontal="center" vertical="center" wrapText="1"/>
    </xf>
    <xf numFmtId="1" fontId="9" fillId="6" borderId="18" xfId="0" applyNumberFormat="1" applyFont="1" applyFill="1" applyBorder="1" applyAlignment="1">
      <alignment horizontal="center" vertical="center" wrapText="1"/>
    </xf>
    <xf numFmtId="0" fontId="9" fillId="6" borderId="24" xfId="0" applyFont="1" applyFill="1" applyBorder="1" applyAlignment="1">
      <alignment horizontal="center" vertical="center" wrapText="1"/>
    </xf>
    <xf numFmtId="2" fontId="9" fillId="6" borderId="24" xfId="0" applyNumberFormat="1" applyFont="1" applyFill="1" applyBorder="1" applyAlignment="1">
      <alignment horizontal="center" vertical="center" wrapText="1"/>
    </xf>
    <xf numFmtId="14" fontId="9" fillId="6" borderId="24" xfId="0" applyNumberFormat="1" applyFont="1" applyFill="1" applyBorder="1" applyAlignment="1">
      <alignment horizontal="center" vertical="center" wrapText="1"/>
    </xf>
    <xf numFmtId="1" fontId="9" fillId="6" borderId="7" xfId="0" applyNumberFormat="1" applyFont="1" applyFill="1" applyBorder="1" applyAlignment="1">
      <alignment horizontal="center" vertical="center" wrapText="1"/>
    </xf>
    <xf numFmtId="168" fontId="9"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168" fontId="9" fillId="6" borderId="18" xfId="0" applyNumberFormat="1" applyFont="1" applyFill="1" applyBorder="1" applyAlignment="1">
      <alignment horizontal="center" vertical="center" wrapText="1"/>
    </xf>
    <xf numFmtId="1" fontId="9" fillId="7" borderId="18" xfId="0" applyNumberFormat="1" applyFont="1" applyFill="1" applyBorder="1" applyAlignment="1">
      <alignment horizontal="left"/>
    </xf>
    <xf numFmtId="14" fontId="8" fillId="11" borderId="18" xfId="0" applyNumberFormat="1" applyFont="1" applyFill="1" applyBorder="1" applyAlignment="1">
      <alignment horizontal="left"/>
    </xf>
    <xf numFmtId="14" fontId="9" fillId="7" borderId="18" xfId="0" applyNumberFormat="1" applyFont="1" applyFill="1" applyBorder="1" applyAlignment="1">
      <alignment horizontal="left"/>
    </xf>
    <xf numFmtId="2" fontId="9" fillId="7" borderId="7" xfId="0" applyNumberFormat="1" applyFont="1" applyFill="1" applyBorder="1" applyAlignment="1">
      <alignment horizontal="left"/>
    </xf>
    <xf numFmtId="1" fontId="9" fillId="7" borderId="7" xfId="0" applyNumberFormat="1" applyFont="1" applyFill="1" applyBorder="1" applyAlignment="1">
      <alignment horizontal="left"/>
    </xf>
    <xf numFmtId="14" fontId="9" fillId="7" borderId="7" xfId="0" applyNumberFormat="1" applyFont="1" applyFill="1" applyBorder="1" applyAlignment="1">
      <alignment horizontal="left"/>
    </xf>
    <xf numFmtId="1" fontId="8" fillId="7" borderId="18" xfId="0" applyNumberFormat="1" applyFont="1" applyFill="1" applyBorder="1" applyAlignment="1">
      <alignment horizontal="center" vertical="center"/>
    </xf>
    <xf numFmtId="1" fontId="8" fillId="7" borderId="24" xfId="0" applyNumberFormat="1" applyFont="1" applyFill="1" applyBorder="1" applyAlignment="1">
      <alignment horizontal="center" vertical="center"/>
    </xf>
    <xf numFmtId="1" fontId="8" fillId="7" borderId="24" xfId="0" applyNumberFormat="1" applyFont="1" applyFill="1" applyBorder="1" applyAlignment="1">
      <alignment horizontal="left"/>
    </xf>
    <xf numFmtId="1" fontId="8" fillId="8" borderId="24" xfId="0" applyNumberFormat="1" applyFont="1" applyFill="1" applyBorder="1" applyAlignment="1">
      <alignment horizontal="left"/>
    </xf>
    <xf numFmtId="0" fontId="22" fillId="11" borderId="18" xfId="0" applyFont="1" applyFill="1" applyBorder="1" applyAlignment="1">
      <alignment horizontal="left"/>
    </xf>
    <xf numFmtId="14" fontId="9" fillId="11" borderId="7" xfId="0" applyNumberFormat="1" applyFont="1" applyFill="1" applyBorder="1" applyAlignment="1">
      <alignment horizontal="center" vertical="center"/>
    </xf>
    <xf numFmtId="1" fontId="8" fillId="11" borderId="24" xfId="0" applyNumberFormat="1" applyFont="1" applyFill="1" applyBorder="1" applyAlignment="1">
      <alignment horizontal="center" vertical="center"/>
    </xf>
    <xf numFmtId="1" fontId="8" fillId="11" borderId="7" xfId="0" applyNumberFormat="1" applyFont="1" applyFill="1" applyBorder="1" applyAlignment="1">
      <alignment horizontal="center" vertical="center"/>
    </xf>
    <xf numFmtId="49" fontId="9" fillId="11" borderId="24" xfId="0" applyNumberFormat="1" applyFont="1" applyFill="1" applyBorder="1" applyAlignment="1">
      <alignment horizontal="center" vertical="center"/>
    </xf>
    <xf numFmtId="0" fontId="22" fillId="11" borderId="18" xfId="0" applyFont="1" applyFill="1" applyBorder="1" applyAlignment="1">
      <alignment horizontal="center" vertical="center" wrapText="1"/>
    </xf>
    <xf numFmtId="0" fontId="22" fillId="13" borderId="15" xfId="0" applyFont="1" applyFill="1" applyBorder="1" applyAlignment="1">
      <alignment horizontal="center" vertical="center" wrapText="1"/>
    </xf>
    <xf numFmtId="14" fontId="22" fillId="13" borderId="15" xfId="0" applyNumberFormat="1" applyFont="1" applyFill="1" applyBorder="1" applyAlignment="1">
      <alignment horizontal="center" vertical="center" wrapText="1"/>
    </xf>
    <xf numFmtId="1" fontId="8" fillId="13" borderId="24" xfId="0" applyNumberFormat="1" applyFont="1" applyFill="1" applyBorder="1" applyAlignment="1">
      <alignment horizontal="center" vertical="center" wrapText="1"/>
    </xf>
    <xf numFmtId="1" fontId="8" fillId="13" borderId="7" xfId="0" applyNumberFormat="1" applyFont="1" applyFill="1" applyBorder="1" applyAlignment="1">
      <alignment horizontal="center" vertical="center" wrapText="1"/>
    </xf>
    <xf numFmtId="1" fontId="9" fillId="13" borderId="7" xfId="0" applyNumberFormat="1" applyFont="1" applyFill="1" applyBorder="1" applyAlignment="1">
      <alignment horizontal="center" vertical="top" wrapText="1"/>
    </xf>
    <xf numFmtId="1" fontId="9" fillId="13" borderId="7" xfId="0" applyNumberFormat="1" applyFont="1" applyFill="1" applyBorder="1" applyAlignment="1">
      <alignment horizontal="center" vertical="center"/>
    </xf>
    <xf numFmtId="165" fontId="8" fillId="13" borderId="7" xfId="0" applyNumberFormat="1" applyFont="1" applyFill="1" applyBorder="1" applyAlignment="1">
      <alignment horizontal="left"/>
    </xf>
    <xf numFmtId="0" fontId="22" fillId="13" borderId="7" xfId="0" applyFont="1" applyFill="1" applyBorder="1" applyAlignment="1">
      <alignment horizontal="left"/>
    </xf>
    <xf numFmtId="14" fontId="22" fillId="13" borderId="7" xfId="0" applyNumberFormat="1" applyFont="1" applyFill="1" applyBorder="1" applyAlignment="1">
      <alignment horizontal="left"/>
    </xf>
    <xf numFmtId="178" fontId="22" fillId="13" borderId="7" xfId="0" applyNumberFormat="1" applyFont="1" applyFill="1" applyBorder="1" applyAlignment="1">
      <alignment horizontal="left"/>
    </xf>
    <xf numFmtId="0" fontId="8" fillId="12" borderId="7" xfId="0" applyFont="1" applyFill="1" applyBorder="1" applyAlignment="1">
      <alignment horizontal="left"/>
    </xf>
    <xf numFmtId="14" fontId="8" fillId="12" borderId="7" xfId="0" applyNumberFormat="1" applyFont="1" applyFill="1" applyBorder="1" applyAlignment="1">
      <alignment horizontal="left"/>
    </xf>
    <xf numFmtId="49" fontId="8" fillId="12" borderId="24" xfId="0" applyNumberFormat="1" applyFont="1" applyFill="1" applyBorder="1" applyAlignment="1">
      <alignment horizontal="center" vertical="center" wrapText="1"/>
    </xf>
    <xf numFmtId="1" fontId="8" fillId="12" borderId="24" xfId="0" applyNumberFormat="1" applyFont="1" applyFill="1" applyBorder="1" applyAlignment="1">
      <alignment horizontal="center" vertical="center" wrapText="1"/>
    </xf>
    <xf numFmtId="15" fontId="9" fillId="7" borderId="18" xfId="0" applyNumberFormat="1" applyFont="1" applyFill="1" applyBorder="1" applyAlignment="1">
      <alignment horizontal="left"/>
    </xf>
    <xf numFmtId="0" fontId="9" fillId="7" borderId="18" xfId="0" applyFont="1" applyFill="1" applyBorder="1" applyAlignment="1">
      <alignment horizontal="left" wrapText="1"/>
    </xf>
    <xf numFmtId="2" fontId="9" fillId="7" borderId="7" xfId="0" applyNumberFormat="1" applyFont="1" applyFill="1" applyBorder="1" applyAlignment="1">
      <alignment horizontal="left" wrapText="1"/>
    </xf>
    <xf numFmtId="1" fontId="9" fillId="7" borderId="7" xfId="0" applyNumberFormat="1" applyFont="1" applyFill="1" applyBorder="1" applyAlignment="1">
      <alignment horizontal="left" wrapText="1"/>
    </xf>
    <xf numFmtId="14" fontId="9" fillId="7" borderId="7" xfId="0" applyNumberFormat="1" applyFont="1" applyFill="1" applyBorder="1" applyAlignment="1">
      <alignment horizontal="left" wrapText="1"/>
    </xf>
    <xf numFmtId="0" fontId="9" fillId="7" borderId="7" xfId="0" applyFont="1" applyFill="1" applyBorder="1" applyAlignment="1">
      <alignment horizontal="center" wrapText="1"/>
    </xf>
    <xf numFmtId="0" fontId="0" fillId="0" borderId="0" xfId="0" applyFont="1"/>
    <xf numFmtId="1" fontId="0" fillId="0" borderId="0" xfId="0" applyNumberFormat="1" applyFont="1"/>
    <xf numFmtId="0" fontId="9" fillId="11" borderId="18" xfId="0" applyFont="1" applyFill="1" applyBorder="1" applyAlignment="1">
      <alignment horizontal="left"/>
    </xf>
    <xf numFmtId="14" fontId="9" fillId="11" borderId="18" xfId="0" applyNumberFormat="1" applyFont="1" applyFill="1" applyBorder="1" applyAlignment="1">
      <alignment horizontal="left"/>
    </xf>
    <xf numFmtId="14" fontId="0" fillId="0" borderId="0" xfId="0" applyNumberFormat="1" applyFont="1"/>
    <xf numFmtId="14" fontId="9" fillId="4" borderId="7" xfId="5" applyNumberFormat="1" applyFont="1" applyFill="1" applyBorder="1" applyAlignment="1">
      <alignment horizontal="center" vertical="center" wrapText="1"/>
    </xf>
    <xf numFmtId="0" fontId="9" fillId="13" borderId="24" xfId="0" applyFont="1" applyFill="1" applyBorder="1" applyAlignment="1">
      <alignment horizontal="center" vertical="center" wrapText="1"/>
    </xf>
    <xf numFmtId="14" fontId="9" fillId="13" borderId="24" xfId="0" applyNumberFormat="1" applyFont="1" applyFill="1" applyBorder="1" applyAlignment="1">
      <alignment horizontal="center" vertical="center" wrapText="1"/>
    </xf>
    <xf numFmtId="2" fontId="0" fillId="0" borderId="0" xfId="0" applyNumberFormat="1" applyFont="1"/>
    <xf numFmtId="0" fontId="9" fillId="12" borderId="24" xfId="0" applyFont="1" applyFill="1" applyBorder="1" applyAlignment="1">
      <alignment horizontal="center" vertical="center" wrapText="1"/>
    </xf>
    <xf numFmtId="49" fontId="9" fillId="12" borderId="24" xfId="0" applyNumberFormat="1" applyFont="1" applyFill="1" applyBorder="1" applyAlignment="1">
      <alignment horizontal="center" vertical="center" wrapText="1"/>
    </xf>
    <xf numFmtId="14" fontId="9" fillId="12" borderId="24" xfId="0" applyNumberFormat="1" applyFont="1" applyFill="1" applyBorder="1" applyAlignment="1">
      <alignment horizontal="center" vertical="center" wrapText="1"/>
    </xf>
    <xf numFmtId="14" fontId="9" fillId="8" borderId="18" xfId="0" applyNumberFormat="1" applyFont="1" applyFill="1" applyBorder="1" applyAlignment="1">
      <alignment horizontal="left"/>
    </xf>
    <xf numFmtId="0" fontId="9" fillId="8" borderId="24" xfId="0" applyFont="1" applyFill="1" applyBorder="1" applyAlignment="1">
      <alignment horizontal="left"/>
    </xf>
    <xf numFmtId="14" fontId="9" fillId="8" borderId="24" xfId="0" applyNumberFormat="1" applyFont="1" applyFill="1" applyBorder="1" applyAlignment="1">
      <alignment horizontal="left"/>
    </xf>
    <xf numFmtId="0" fontId="9" fillId="11" borderId="18" xfId="0" applyFont="1" applyFill="1" applyBorder="1" applyAlignment="1">
      <alignment horizontal="center" vertical="center" wrapText="1"/>
    </xf>
    <xf numFmtId="49" fontId="9" fillId="11" borderId="18" xfId="0" applyNumberFormat="1" applyFont="1" applyFill="1" applyBorder="1" applyAlignment="1">
      <alignment horizontal="center" vertical="center" wrapText="1"/>
    </xf>
    <xf numFmtId="0" fontId="9" fillId="11" borderId="24" xfId="0" applyFont="1" applyFill="1" applyBorder="1" applyAlignment="1">
      <alignment horizontal="center" vertical="center" wrapText="1"/>
    </xf>
    <xf numFmtId="14" fontId="24" fillId="12" borderId="24" xfId="0" applyNumberFormat="1" applyFont="1" applyFill="1" applyBorder="1" applyAlignment="1">
      <alignment horizontal="center" vertical="center" wrapText="1"/>
    </xf>
    <xf numFmtId="0" fontId="24" fillId="12" borderId="7" xfId="0" applyFont="1" applyFill="1" applyBorder="1" applyAlignment="1">
      <alignment horizontal="center" vertical="center" wrapText="1"/>
    </xf>
    <xf numFmtId="14" fontId="24" fillId="12" borderId="7" xfId="0" applyNumberFormat="1" applyFont="1" applyFill="1" applyBorder="1" applyAlignment="1">
      <alignment horizontal="center" vertical="center" wrapText="1"/>
    </xf>
    <xf numFmtId="1" fontId="6" fillId="2" borderId="2" xfId="0" applyNumberFormat="1" applyFont="1" applyFill="1" applyBorder="1" applyAlignment="1">
      <alignment horizontal="center" vertical="center" wrapText="1"/>
    </xf>
    <xf numFmtId="1" fontId="8" fillId="4" borderId="7" xfId="0" applyNumberFormat="1" applyFont="1" applyFill="1" applyBorder="1" applyAlignment="1">
      <alignment horizontal="center" vertical="center" wrapText="1"/>
    </xf>
    <xf numFmtId="1" fontId="9" fillId="4" borderId="7" xfId="1" applyNumberFormat="1" applyFont="1" applyFill="1" applyBorder="1" applyAlignment="1">
      <alignment horizontal="center" vertical="center" wrapText="1"/>
    </xf>
    <xf numFmtId="165" fontId="8" fillId="13" borderId="15" xfId="0" applyNumberFormat="1" applyFont="1" applyFill="1" applyBorder="1" applyAlignment="1">
      <alignment horizontal="center" vertical="center" wrapText="1"/>
    </xf>
    <xf numFmtId="165" fontId="8" fillId="13" borderId="27" xfId="0" applyNumberFormat="1" applyFont="1" applyFill="1" applyBorder="1" applyAlignment="1">
      <alignment horizontal="center" vertical="center" wrapText="1"/>
    </xf>
    <xf numFmtId="0" fontId="9" fillId="12" borderId="7" xfId="0" applyFont="1" applyFill="1" applyBorder="1" applyAlignment="1">
      <alignment horizontal="left"/>
    </xf>
    <xf numFmtId="0" fontId="9" fillId="6" borderId="18" xfId="0" applyFont="1" applyFill="1" applyBorder="1" applyAlignment="1">
      <alignment horizontal="left"/>
    </xf>
    <xf numFmtId="14" fontId="9" fillId="6" borderId="18" xfId="0" applyNumberFormat="1" applyFont="1" applyFill="1" applyBorder="1" applyAlignment="1">
      <alignment horizontal="left"/>
    </xf>
    <xf numFmtId="178" fontId="8" fillId="13" borderId="7" xfId="0" applyNumberFormat="1" applyFont="1" applyFill="1" applyBorder="1" applyAlignment="1">
      <alignment horizontal="left"/>
    </xf>
    <xf numFmtId="0" fontId="22" fillId="13" borderId="6" xfId="0" applyFont="1" applyFill="1" applyBorder="1" applyAlignment="1">
      <alignment horizontal="left"/>
    </xf>
    <xf numFmtId="14" fontId="22" fillId="13" borderId="6" xfId="0" applyNumberFormat="1" applyFont="1" applyFill="1" applyBorder="1" applyAlignment="1">
      <alignment horizontal="left"/>
    </xf>
    <xf numFmtId="14" fontId="22" fillId="12" borderId="24" xfId="0" applyNumberFormat="1" applyFont="1" applyFill="1" applyBorder="1" applyAlignment="1">
      <alignment horizontal="center" vertical="center" wrapText="1"/>
    </xf>
    <xf numFmtId="14" fontId="22" fillId="12" borderId="7" xfId="0" applyNumberFormat="1" applyFont="1" applyFill="1" applyBorder="1" applyAlignment="1">
      <alignment horizontal="center" vertical="center" wrapText="1"/>
    </xf>
    <xf numFmtId="49" fontId="24" fillId="13" borderId="7" xfId="0" applyNumberFormat="1" applyFont="1" applyFill="1" applyBorder="1" applyAlignment="1">
      <alignment horizontal="left"/>
    </xf>
    <xf numFmtId="0" fontId="24" fillId="13" borderId="7" xfId="0" applyFont="1" applyFill="1" applyBorder="1" applyAlignment="1">
      <alignment horizontal="left"/>
    </xf>
    <xf numFmtId="0" fontId="8" fillId="6" borderId="32"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8" fillId="6" borderId="36"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8" fillId="13" borderId="27" xfId="0" applyFont="1" applyFill="1" applyBorder="1" applyAlignment="1">
      <alignment horizontal="left"/>
    </xf>
    <xf numFmtId="0" fontId="9" fillId="13" borderId="27" xfId="0" applyFont="1" applyFill="1" applyBorder="1" applyAlignment="1">
      <alignment horizontal="left"/>
    </xf>
    <xf numFmtId="14" fontId="8" fillId="13" borderId="27" xfId="0" applyNumberFormat="1" applyFont="1" applyFill="1" applyBorder="1" applyAlignment="1">
      <alignment horizontal="left"/>
    </xf>
    <xf numFmtId="0" fontId="8" fillId="13" borderId="27" xfId="0" applyFont="1" applyFill="1" applyBorder="1" applyAlignment="1">
      <alignment horizontal="left" wrapText="1"/>
    </xf>
    <xf numFmtId="0" fontId="8" fillId="13" borderId="7" xfId="0" applyFont="1" applyFill="1" applyBorder="1" applyAlignment="1">
      <alignment horizontal="left" wrapText="1"/>
    </xf>
    <xf numFmtId="170" fontId="22" fillId="12" borderId="7" xfId="0" applyNumberFormat="1" applyFont="1" applyFill="1" applyBorder="1" applyAlignment="1">
      <alignment horizontal="center" vertical="center" wrapText="1"/>
    </xf>
    <xf numFmtId="1" fontId="9" fillId="13" borderId="24" xfId="0" applyNumberFormat="1" applyFont="1" applyFill="1" applyBorder="1" applyAlignment="1">
      <alignment horizontal="center" vertical="center" wrapText="1"/>
    </xf>
    <xf numFmtId="169" fontId="9" fillId="13" borderId="7" xfId="0" applyNumberFormat="1" applyFont="1" applyFill="1" applyBorder="1" applyAlignment="1">
      <alignment horizontal="center" vertical="center" wrapText="1"/>
    </xf>
    <xf numFmtId="1" fontId="9" fillId="13" borderId="7" xfId="0" applyNumberFormat="1" applyFont="1" applyFill="1" applyBorder="1" applyAlignment="1">
      <alignment horizontal="center" vertical="center" wrapText="1"/>
    </xf>
    <xf numFmtId="165" fontId="9" fillId="13" borderId="7" xfId="0" applyNumberFormat="1" applyFont="1" applyFill="1" applyBorder="1" applyAlignment="1">
      <alignment horizontal="center" vertical="center" wrapText="1"/>
    </xf>
    <xf numFmtId="0" fontId="26" fillId="4" borderId="6" xfId="0" applyFont="1" applyFill="1" applyBorder="1" applyAlignment="1">
      <alignment vertical="center" wrapText="1"/>
    </xf>
    <xf numFmtId="14" fontId="10" fillId="4" borderId="24" xfId="1" applyNumberFormat="1" applyFont="1" applyFill="1" applyBorder="1" applyAlignment="1">
      <alignment horizontal="center" vertical="center" wrapText="1"/>
    </xf>
    <xf numFmtId="0" fontId="25" fillId="4" borderId="6" xfId="0" applyFont="1" applyFill="1" applyBorder="1" applyAlignment="1">
      <alignment vertical="center" wrapText="1"/>
    </xf>
    <xf numFmtId="0" fontId="23" fillId="4" borderId="7" xfId="1" applyFont="1" applyFill="1" applyBorder="1" applyAlignment="1">
      <alignment horizontal="center" vertical="center" wrapText="1"/>
    </xf>
    <xf numFmtId="0" fontId="18" fillId="4" borderId="26" xfId="1" applyFont="1" applyFill="1" applyBorder="1" applyAlignment="1">
      <alignment horizontal="center" vertical="center" wrapText="1" shrinkToFit="1"/>
    </xf>
    <xf numFmtId="0" fontId="18" fillId="4" borderId="24" xfId="1" applyFont="1" applyFill="1" applyBorder="1" applyAlignment="1">
      <alignment horizontal="center" vertical="center" wrapText="1" shrinkToFit="1"/>
    </xf>
    <xf numFmtId="165" fontId="18" fillId="4" borderId="24" xfId="1" applyNumberFormat="1" applyFont="1" applyFill="1" applyBorder="1" applyAlignment="1">
      <alignment horizontal="center" vertical="center" wrapText="1"/>
    </xf>
    <xf numFmtId="0" fontId="18" fillId="4" borderId="24" xfId="1" applyFont="1" applyFill="1" applyBorder="1" applyAlignment="1">
      <alignment horizontal="center" vertical="center" wrapText="1"/>
    </xf>
    <xf numFmtId="0" fontId="23" fillId="4" borderId="24" xfId="1" applyFont="1" applyFill="1" applyBorder="1" applyAlignment="1">
      <alignment horizontal="center" vertical="center" wrapText="1"/>
    </xf>
    <xf numFmtId="165" fontId="18" fillId="4" borderId="7" xfId="5" applyNumberFormat="1" applyFont="1" applyFill="1" applyBorder="1" applyAlignment="1">
      <alignment horizontal="center" vertical="center" wrapText="1"/>
    </xf>
    <xf numFmtId="165" fontId="18" fillId="4" borderId="10" xfId="5" applyNumberFormat="1" applyFont="1" applyFill="1" applyBorder="1" applyAlignment="1">
      <alignment horizontal="center" vertical="center" wrapText="1"/>
    </xf>
    <xf numFmtId="165" fontId="18" fillId="4" borderId="6" xfId="5" applyNumberFormat="1" applyFont="1" applyFill="1" applyBorder="1" applyAlignment="1">
      <alignment horizontal="center" vertical="center" wrapText="1"/>
    </xf>
    <xf numFmtId="0" fontId="15" fillId="4" borderId="7" xfId="0" applyFont="1" applyFill="1" applyBorder="1" applyAlignment="1">
      <alignment vertical="center" wrapText="1"/>
    </xf>
    <xf numFmtId="0" fontId="15" fillId="4" borderId="6" xfId="0" applyFont="1" applyFill="1" applyBorder="1" applyAlignment="1">
      <alignment vertical="center" wrapText="1"/>
    </xf>
    <xf numFmtId="0" fontId="15" fillId="4" borderId="10" xfId="0" applyFont="1" applyFill="1" applyBorder="1" applyAlignment="1">
      <alignment vertical="center" wrapText="1"/>
    </xf>
    <xf numFmtId="0" fontId="27" fillId="4" borderId="7" xfId="0" applyFont="1" applyFill="1" applyBorder="1" applyAlignment="1">
      <alignment horizontal="center" vertical="center" wrapText="1"/>
    </xf>
    <xf numFmtId="0" fontId="0" fillId="4" borderId="6" xfId="0" applyFont="1" applyFill="1" applyBorder="1" applyAlignment="1">
      <alignment vertical="center" wrapText="1"/>
    </xf>
    <xf numFmtId="0" fontId="4" fillId="4" borderId="7" xfId="0" applyFont="1" applyFill="1" applyBorder="1" applyAlignment="1">
      <alignment vertical="center" wrapText="1"/>
    </xf>
    <xf numFmtId="0" fontId="4" fillId="4" borderId="6" xfId="0" applyFont="1" applyFill="1" applyBorder="1" applyAlignment="1">
      <alignment vertical="center" wrapText="1"/>
    </xf>
    <xf numFmtId="0" fontId="8" fillId="7" borderId="6" xfId="0" applyFont="1" applyFill="1" applyBorder="1" applyAlignment="1">
      <alignment horizontal="left"/>
    </xf>
    <xf numFmtId="0" fontId="9" fillId="7" borderId="6" xfId="0" applyFont="1" applyFill="1" applyBorder="1" applyAlignment="1">
      <alignment horizontal="left" wrapText="1"/>
    </xf>
    <xf numFmtId="0" fontId="9" fillId="7" borderId="6" xfId="0" applyFont="1" applyFill="1" applyBorder="1" applyAlignment="1">
      <alignment horizontal="left"/>
    </xf>
    <xf numFmtId="1" fontId="9" fillId="7" borderId="6" xfId="0" applyNumberFormat="1" applyFont="1" applyFill="1" applyBorder="1" applyAlignment="1">
      <alignment horizontal="left" wrapText="1"/>
    </xf>
    <xf numFmtId="14" fontId="9" fillId="7" borderId="6" xfId="0" applyNumberFormat="1" applyFont="1" applyFill="1" applyBorder="1" applyAlignment="1">
      <alignment horizontal="left" wrapText="1"/>
    </xf>
    <xf numFmtId="0" fontId="9" fillId="7" borderId="6" xfId="0" applyFont="1" applyFill="1" applyBorder="1" applyAlignment="1">
      <alignment horizontal="center" wrapText="1"/>
    </xf>
    <xf numFmtId="0" fontId="21" fillId="14" borderId="0" xfId="0" applyFont="1" applyFill="1" applyBorder="1" applyAlignment="1">
      <alignment horizontal="center"/>
    </xf>
    <xf numFmtId="0" fontId="21" fillId="0" borderId="0" xfId="0" applyFont="1" applyFill="1" applyBorder="1" applyAlignment="1">
      <alignment horizontal="center"/>
    </xf>
    <xf numFmtId="1" fontId="21" fillId="0" borderId="0" xfId="0" applyNumberFormat="1" applyFont="1" applyFill="1" applyBorder="1" applyAlignment="1">
      <alignment horizontal="center"/>
    </xf>
    <xf numFmtId="14" fontId="21" fillId="0" borderId="0" xfId="0" applyNumberFormat="1" applyFont="1" applyFill="1" applyBorder="1" applyAlignment="1">
      <alignment horizontal="center"/>
    </xf>
    <xf numFmtId="1" fontId="22" fillId="7" borderId="7" xfId="0" applyNumberFormat="1" applyFont="1" applyFill="1" applyBorder="1" applyAlignment="1">
      <alignment horizontal="left" wrapText="1"/>
    </xf>
    <xf numFmtId="0" fontId="9" fillId="7" borderId="7" xfId="0" applyFont="1" applyFill="1" applyBorder="1" applyAlignment="1">
      <alignment horizontal="left" vertical="top" wrapText="1"/>
    </xf>
    <xf numFmtId="165" fontId="8" fillId="8" borderId="18" xfId="0" applyNumberFormat="1" applyFont="1" applyFill="1" applyBorder="1" applyAlignment="1">
      <alignment horizontal="left"/>
    </xf>
    <xf numFmtId="2" fontId="8" fillId="8" borderId="24" xfId="0" applyNumberFormat="1" applyFont="1" applyFill="1" applyBorder="1" applyAlignment="1">
      <alignment horizontal="left"/>
    </xf>
    <xf numFmtId="1" fontId="8" fillId="4" borderId="26" xfId="0" applyNumberFormat="1" applyFont="1" applyFill="1" applyBorder="1" applyAlignment="1">
      <alignment horizontal="center" vertical="center" wrapText="1"/>
    </xf>
    <xf numFmtId="1" fontId="8" fillId="4" borderId="24" xfId="0" applyNumberFormat="1" applyFont="1" applyFill="1" applyBorder="1" applyAlignment="1">
      <alignment horizontal="center" vertical="center" wrapText="1"/>
    </xf>
    <xf numFmtId="1" fontId="8" fillId="4" borderId="24" xfId="1" quotePrefix="1" applyNumberFormat="1" applyFont="1" applyFill="1" applyBorder="1" applyAlignment="1">
      <alignment horizontal="center" vertical="center" wrapText="1"/>
    </xf>
    <xf numFmtId="1" fontId="8" fillId="4" borderId="24" xfId="1" applyNumberFormat="1" applyFont="1" applyFill="1" applyBorder="1" applyAlignment="1">
      <alignment horizontal="center" vertical="center" wrapText="1"/>
    </xf>
    <xf numFmtId="1" fontId="8" fillId="4" borderId="24" xfId="5" applyNumberFormat="1" applyFont="1" applyFill="1" applyBorder="1" applyAlignment="1">
      <alignment horizontal="center" vertical="center" wrapText="1"/>
    </xf>
    <xf numFmtId="1" fontId="8" fillId="4" borderId="7" xfId="5" applyNumberFormat="1" applyFont="1" applyFill="1" applyBorder="1" applyAlignment="1">
      <alignment horizontal="center" vertical="center" wrapText="1"/>
    </xf>
    <xf numFmtId="1" fontId="8" fillId="4" borderId="10" xfId="5" applyNumberFormat="1" applyFont="1" applyFill="1" applyBorder="1" applyAlignment="1">
      <alignment horizontal="center" vertical="center" wrapText="1"/>
    </xf>
    <xf numFmtId="1" fontId="8" fillId="4" borderId="6" xfId="5" applyNumberFormat="1" applyFont="1" applyFill="1" applyBorder="1" applyAlignment="1">
      <alignment horizontal="center" vertical="center" wrapText="1"/>
    </xf>
    <xf numFmtId="1" fontId="0" fillId="4" borderId="7" xfId="0" applyNumberFormat="1" applyFill="1" applyBorder="1" applyAlignment="1">
      <alignment vertical="center" wrapText="1"/>
    </xf>
    <xf numFmtId="1" fontId="0" fillId="4" borderId="6" xfId="0" applyNumberFormat="1" applyFill="1" applyBorder="1" applyAlignment="1">
      <alignment horizontal="center" vertical="center" wrapText="1"/>
    </xf>
    <xf numFmtId="1" fontId="0" fillId="4" borderId="6" xfId="0" applyNumberFormat="1" applyFill="1" applyBorder="1" applyAlignment="1">
      <alignment vertical="center" wrapText="1"/>
    </xf>
    <xf numFmtId="1" fontId="0" fillId="4" borderId="10" xfId="0" applyNumberFormat="1" applyFill="1" applyBorder="1" applyAlignment="1">
      <alignment vertical="center" wrapText="1"/>
    </xf>
    <xf numFmtId="1" fontId="8" fillId="11" borderId="6" xfId="0" applyNumberFormat="1" applyFont="1" applyFill="1" applyBorder="1" applyAlignment="1">
      <alignment horizontal="center" vertical="center"/>
    </xf>
    <xf numFmtId="1" fontId="8" fillId="12" borderId="7" xfId="0" applyNumberFormat="1" applyFont="1" applyFill="1" applyBorder="1" applyAlignment="1">
      <alignment horizontal="center" vertical="center"/>
    </xf>
    <xf numFmtId="1" fontId="8" fillId="12" borderId="6" xfId="0" applyNumberFormat="1" applyFont="1" applyFill="1" applyBorder="1" applyAlignment="1">
      <alignment horizontal="center" vertical="center"/>
    </xf>
    <xf numFmtId="1" fontId="9" fillId="12" borderId="6" xfId="0" applyNumberFormat="1" applyFont="1" applyFill="1" applyBorder="1" applyAlignment="1">
      <alignment horizontal="center" vertical="center"/>
    </xf>
    <xf numFmtId="1" fontId="9" fillId="12" borderId="7" xfId="0" applyNumberFormat="1" applyFont="1" applyFill="1" applyBorder="1" applyAlignment="1">
      <alignment horizontal="center" vertical="center"/>
    </xf>
    <xf numFmtId="1" fontId="8" fillId="6" borderId="7" xfId="0" applyNumberFormat="1" applyFont="1" applyFill="1" applyBorder="1" applyAlignment="1">
      <alignment horizontal="center" vertical="center" wrapText="1"/>
    </xf>
    <xf numFmtId="1" fontId="8" fillId="10" borderId="7" xfId="0" applyNumberFormat="1" applyFont="1" applyFill="1" applyBorder="1" applyAlignment="1">
      <alignment horizontal="center" vertical="center"/>
    </xf>
    <xf numFmtId="1" fontId="8" fillId="9" borderId="24" xfId="0" applyNumberFormat="1" applyFont="1" applyFill="1" applyBorder="1" applyAlignment="1">
      <alignment horizontal="left"/>
    </xf>
    <xf numFmtId="1" fontId="9" fillId="9" borderId="7" xfId="0" applyNumberFormat="1" applyFont="1" applyFill="1" applyBorder="1" applyAlignment="1">
      <alignment horizontal="left"/>
    </xf>
    <xf numFmtId="0" fontId="8" fillId="0" borderId="0" xfId="0" applyFont="1" applyFill="1" applyBorder="1" applyAlignment="1">
      <alignment horizontal="center" vertical="center" wrapText="1"/>
    </xf>
    <xf numFmtId="0" fontId="22" fillId="11" borderId="7" xfId="0" applyFont="1" applyFill="1" applyBorder="1" applyAlignment="1">
      <alignment horizontal="center" vertical="center" wrapText="1"/>
    </xf>
    <xf numFmtId="165" fontId="22" fillId="13" borderId="7" xfId="0" applyNumberFormat="1" applyFont="1" applyFill="1" applyBorder="1" applyAlignment="1">
      <alignment horizontal="left"/>
    </xf>
    <xf numFmtId="1" fontId="8" fillId="13" borderId="27" xfId="0" applyNumberFormat="1" applyFont="1" applyFill="1" applyBorder="1" applyAlignment="1">
      <alignment horizontal="left"/>
    </xf>
    <xf numFmtId="14" fontId="0" fillId="0" borderId="7" xfId="0" applyNumberFormat="1" applyFill="1" applyBorder="1"/>
    <xf numFmtId="0" fontId="9" fillId="0" borderId="7" xfId="0" applyFont="1" applyFill="1" applyBorder="1" applyAlignment="1">
      <alignment horizontal="center" vertical="center"/>
    </xf>
    <xf numFmtId="14" fontId="9" fillId="0" borderId="7" xfId="0" applyNumberFormat="1" applyFont="1" applyFill="1" applyBorder="1" applyAlignment="1">
      <alignment horizontal="center" vertical="center"/>
    </xf>
    <xf numFmtId="177" fontId="0" fillId="0" borderId="7" xfId="0" applyNumberFormat="1" applyFill="1" applyBorder="1"/>
    <xf numFmtId="0" fontId="8" fillId="0" borderId="24" xfId="0" applyFont="1" applyFill="1" applyBorder="1" applyAlignment="1">
      <alignment horizontal="center" vertical="center" wrapText="1"/>
    </xf>
    <xf numFmtId="14" fontId="8" fillId="0" borderId="24" xfId="0" applyNumberFormat="1" applyFont="1" applyFill="1" applyBorder="1" applyAlignment="1">
      <alignment horizontal="center" vertical="center" wrapText="1"/>
    </xf>
    <xf numFmtId="177" fontId="8" fillId="0" borderId="24" xfId="0" applyNumberFormat="1" applyFont="1" applyFill="1" applyBorder="1" applyAlignment="1">
      <alignment horizontal="center" vertical="center" wrapText="1"/>
    </xf>
    <xf numFmtId="177" fontId="9" fillId="0" borderId="7" xfId="0" applyNumberFormat="1" applyFont="1" applyFill="1" applyBorder="1" applyAlignment="1">
      <alignment horizontal="center" vertical="center"/>
    </xf>
    <xf numFmtId="0" fontId="8" fillId="0" borderId="7" xfId="0" applyFont="1" applyFill="1" applyBorder="1" applyAlignment="1">
      <alignment horizontal="center" vertical="center"/>
    </xf>
    <xf numFmtId="14" fontId="8" fillId="0" borderId="7" xfId="0" applyNumberFormat="1" applyFont="1" applyFill="1" applyBorder="1" applyAlignment="1">
      <alignment horizontal="center" vertical="center"/>
    </xf>
    <xf numFmtId="177" fontId="8" fillId="0" borderId="7" xfId="0" applyNumberFormat="1" applyFont="1" applyFill="1" applyBorder="1" applyAlignment="1">
      <alignment horizontal="center" vertical="center"/>
    </xf>
    <xf numFmtId="14" fontId="22" fillId="0" borderId="24" xfId="0" applyNumberFormat="1" applyFont="1" applyFill="1" applyBorder="1" applyAlignment="1">
      <alignment horizontal="center" vertical="center" wrapText="1"/>
    </xf>
    <xf numFmtId="49" fontId="9" fillId="12" borderId="7" xfId="0" applyNumberFormat="1" applyFont="1" applyFill="1" applyBorder="1" applyAlignment="1">
      <alignment horizontal="center" vertical="center" wrapText="1"/>
    </xf>
    <xf numFmtId="0" fontId="0" fillId="4" borderId="7" xfId="0" applyNumberFormat="1" applyFill="1" applyBorder="1" applyAlignment="1">
      <alignment vertical="center" wrapText="1"/>
    </xf>
    <xf numFmtId="0" fontId="28" fillId="9" borderId="7" xfId="0" applyFont="1" applyFill="1" applyBorder="1" applyAlignment="1">
      <alignment horizontal="center"/>
    </xf>
    <xf numFmtId="14" fontId="28" fillId="9" borderId="7" xfId="0" applyNumberFormat="1" applyFont="1" applyFill="1" applyBorder="1" applyAlignment="1">
      <alignment horizontal="center"/>
    </xf>
    <xf numFmtId="0" fontId="29" fillId="9" borderId="7" xfId="0" applyFont="1" applyFill="1" applyBorder="1" applyAlignment="1">
      <alignment horizontal="center"/>
    </xf>
    <xf numFmtId="14" fontId="29" fillId="9" borderId="7" xfId="0" applyNumberFormat="1" applyFont="1" applyFill="1" applyBorder="1" applyAlignment="1">
      <alignment horizontal="center"/>
    </xf>
    <xf numFmtId="0" fontId="0" fillId="9" borderId="7" xfId="0" applyFill="1" applyBorder="1"/>
    <xf numFmtId="2" fontId="0" fillId="9" borderId="7" xfId="0" applyNumberFormat="1" applyFill="1" applyBorder="1"/>
    <xf numFmtId="1" fontId="0" fillId="9" borderId="7" xfId="0" applyNumberFormat="1" applyFill="1" applyBorder="1"/>
    <xf numFmtId="14" fontId="0" fillId="9" borderId="7" xfId="0" applyNumberFormat="1" applyFill="1" applyBorder="1"/>
    <xf numFmtId="0" fontId="8" fillId="6" borderId="6"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0" fillId="0" borderId="7" xfId="0" applyBorder="1" applyAlignment="1">
      <alignment horizontal="center"/>
    </xf>
    <xf numFmtId="0" fontId="31" fillId="0" borderId="7" xfId="0" applyFont="1" applyBorder="1" applyAlignment="1">
      <alignment horizontal="center" vertical="center"/>
    </xf>
    <xf numFmtId="1" fontId="32" fillId="0" borderId="7" xfId="32" applyNumberFormat="1" applyFont="1" applyBorder="1" applyAlignment="1">
      <alignment vertical="center" wrapText="1"/>
    </xf>
    <xf numFmtId="0" fontId="0" fillId="0" borderId="7" xfId="0" applyBorder="1" applyAlignment="1">
      <alignment horizontal="center" vertical="center"/>
    </xf>
    <xf numFmtId="0" fontId="34" fillId="0" borderId="7" xfId="0" applyFont="1" applyBorder="1" applyAlignment="1">
      <alignment vertical="center" wrapText="1"/>
    </xf>
    <xf numFmtId="0" fontId="34" fillId="0" borderId="7" xfId="0" applyFont="1" applyBorder="1" applyAlignment="1">
      <alignment horizontal="center" vertical="center"/>
    </xf>
    <xf numFmtId="0" fontId="34" fillId="0" borderId="7" xfId="0" applyFont="1" applyBorder="1" applyAlignment="1">
      <alignment horizontal="center"/>
    </xf>
    <xf numFmtId="1" fontId="31" fillId="0" borderId="7" xfId="32" applyNumberFormat="1" applyFont="1" applyBorder="1" applyAlignment="1">
      <alignment horizontal="center" vertical="center"/>
    </xf>
    <xf numFmtId="0" fontId="0" fillId="0" borderId="11" xfId="0" applyBorder="1"/>
    <xf numFmtId="0" fontId="33" fillId="0" borderId="11" xfId="0" applyFont="1" applyBorder="1"/>
    <xf numFmtId="0" fontId="0" fillId="0" borderId="11" xfId="0" applyBorder="1" applyAlignment="1">
      <alignment wrapText="1"/>
    </xf>
    <xf numFmtId="0" fontId="8" fillId="0" borderId="28" xfId="0" applyFont="1" applyFill="1" applyBorder="1" applyAlignment="1">
      <alignment vertical="center"/>
    </xf>
    <xf numFmtId="0" fontId="30" fillId="0" borderId="28" xfId="0" applyFont="1" applyBorder="1" applyAlignment="1">
      <alignment vertical="center"/>
    </xf>
    <xf numFmtId="0" fontId="31" fillId="0" borderId="6"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center" vertical="center"/>
    </xf>
    <xf numFmtId="0" fontId="31" fillId="0" borderId="6"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4" xfId="0" applyFont="1" applyBorder="1" applyAlignment="1">
      <alignment horizontal="center" vertical="center" wrapText="1"/>
    </xf>
    <xf numFmtId="0" fontId="8" fillId="6" borderId="32" xfId="0" applyFont="1" applyFill="1" applyBorder="1" applyAlignment="1">
      <alignment horizontal="left" wrapText="1"/>
    </xf>
    <xf numFmtId="0" fontId="9" fillId="6" borderId="27"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34"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0" fillId="3" borderId="7" xfId="0" applyFont="1" applyFill="1" applyBorder="1"/>
    <xf numFmtId="14" fontId="0" fillId="3" borderId="7" xfId="0" applyNumberFormat="1" applyFont="1" applyFill="1" applyBorder="1"/>
    <xf numFmtId="0" fontId="36" fillId="4" borderId="7" xfId="0" applyFont="1" applyFill="1" applyBorder="1" applyAlignment="1">
      <alignment vertical="center" wrapText="1"/>
    </xf>
    <xf numFmtId="0" fontId="36" fillId="4" borderId="6" xfId="0" applyFont="1" applyFill="1" applyBorder="1" applyAlignment="1">
      <alignment vertical="center" wrapText="1"/>
    </xf>
    <xf numFmtId="0" fontId="37" fillId="4" borderId="6" xfId="0" applyFont="1" applyFill="1" applyBorder="1" applyAlignment="1">
      <alignment vertical="center" wrapText="1"/>
    </xf>
    <xf numFmtId="0" fontId="36" fillId="4" borderId="10" xfId="0" applyFont="1" applyFill="1" applyBorder="1" applyAlignment="1">
      <alignment vertical="center" wrapText="1"/>
    </xf>
    <xf numFmtId="14" fontId="6" fillId="2" borderId="13" xfId="0" applyNumberFormat="1" applyFont="1" applyFill="1" applyBorder="1" applyAlignment="1">
      <alignment horizontal="left" vertical="top" wrapText="1"/>
    </xf>
    <xf numFmtId="0" fontId="6" fillId="2" borderId="13" xfId="0" applyNumberFormat="1" applyFont="1" applyFill="1" applyBorder="1" applyAlignment="1">
      <alignment horizontal="left" vertical="top" wrapText="1"/>
    </xf>
    <xf numFmtId="0" fontId="6" fillId="2" borderId="14" xfId="0" applyNumberFormat="1" applyFont="1" applyFill="1" applyBorder="1" applyAlignment="1">
      <alignment horizontal="left" vertical="top" wrapText="1"/>
    </xf>
    <xf numFmtId="0" fontId="6" fillId="2" borderId="9"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7" borderId="7" xfId="0" applyFont="1" applyFill="1" applyBorder="1" applyAlignment="1">
      <alignment horizontal="left" vertical="center"/>
    </xf>
    <xf numFmtId="0" fontId="6" fillId="7" borderId="8" xfId="0" applyFont="1" applyFill="1" applyBorder="1" applyAlignment="1">
      <alignment horizontal="left" vertical="center"/>
    </xf>
    <xf numFmtId="0" fontId="6" fillId="13" borderId="19" xfId="0" applyFont="1" applyFill="1" applyBorder="1" applyAlignment="1">
      <alignment horizontal="left" vertical="center"/>
    </xf>
    <xf numFmtId="0" fontId="6" fillId="13" borderId="20" xfId="0" applyFont="1" applyFill="1" applyBorder="1" applyAlignment="1">
      <alignment horizontal="left" vertical="center"/>
    </xf>
    <xf numFmtId="0" fontId="6" fillId="13" borderId="21" xfId="0" applyFont="1" applyFill="1" applyBorder="1" applyAlignment="1">
      <alignment horizontal="left" vertical="center"/>
    </xf>
    <xf numFmtId="0" fontId="6" fillId="11" borderId="11" xfId="0" applyFont="1" applyFill="1" applyBorder="1" applyAlignment="1">
      <alignment horizontal="left" vertical="center"/>
    </xf>
    <xf numFmtId="0" fontId="6" fillId="11" borderId="22" xfId="0" applyFont="1" applyFill="1" applyBorder="1" applyAlignment="1">
      <alignment horizontal="left" vertical="center"/>
    </xf>
    <xf numFmtId="0" fontId="6" fillId="11" borderId="23" xfId="0" applyFont="1" applyFill="1" applyBorder="1" applyAlignment="1">
      <alignment horizontal="left" vertical="center"/>
    </xf>
    <xf numFmtId="0" fontId="6" fillId="12" borderId="11" xfId="0" applyFont="1" applyFill="1" applyBorder="1" applyAlignment="1">
      <alignment horizontal="left" vertical="center"/>
    </xf>
    <xf numFmtId="0" fontId="6" fillId="12" borderId="22" xfId="0" applyFont="1" applyFill="1" applyBorder="1" applyAlignment="1">
      <alignment horizontal="left" vertical="center"/>
    </xf>
    <xf numFmtId="0" fontId="6" fillId="12" borderId="23" xfId="0" applyFont="1" applyFill="1" applyBorder="1" applyAlignment="1">
      <alignment horizontal="left" vertical="center"/>
    </xf>
    <xf numFmtId="0" fontId="9" fillId="3" borderId="7" xfId="0" applyFont="1" applyFill="1" applyBorder="1" applyAlignment="1">
      <alignment horizontal="center" vertical="center" wrapText="1"/>
    </xf>
    <xf numFmtId="0" fontId="9" fillId="3" borderId="7" xfId="0" applyFont="1" applyFill="1" applyBorder="1" applyAlignment="1">
      <alignment horizontal="left"/>
    </xf>
    <xf numFmtId="49" fontId="9" fillId="12" borderId="7" xfId="0" applyNumberFormat="1" applyFont="1" applyFill="1" applyBorder="1" applyAlignment="1">
      <alignment horizontal="center" vertical="center"/>
    </xf>
    <xf numFmtId="177" fontId="9" fillId="12" borderId="7" xfId="0" applyNumberFormat="1" applyFont="1" applyFill="1" applyBorder="1" applyAlignment="1">
      <alignment horizontal="center" vertical="center" wrapText="1"/>
    </xf>
    <xf numFmtId="14" fontId="6" fillId="2" borderId="13" xfId="0" applyNumberFormat="1" applyFont="1" applyFill="1" applyBorder="1" applyAlignment="1">
      <alignment horizontal="left" vertical="top" wrapText="1"/>
    </xf>
    <xf numFmtId="0" fontId="6" fillId="2" borderId="13" xfId="0" applyNumberFormat="1" applyFont="1" applyFill="1" applyBorder="1" applyAlignment="1">
      <alignment horizontal="left" vertical="top" wrapText="1"/>
    </xf>
    <xf numFmtId="0" fontId="6" fillId="2" borderId="14" xfId="0" applyNumberFormat="1" applyFont="1" applyFill="1" applyBorder="1" applyAlignment="1">
      <alignment horizontal="left" vertical="top" wrapText="1"/>
    </xf>
    <xf numFmtId="0" fontId="6" fillId="2" borderId="9"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7" borderId="7" xfId="0" applyFont="1" applyFill="1" applyBorder="1" applyAlignment="1">
      <alignment horizontal="left" vertical="center"/>
    </xf>
    <xf numFmtId="0" fontId="6" fillId="7" borderId="8" xfId="0" applyFont="1" applyFill="1" applyBorder="1" applyAlignment="1">
      <alignment horizontal="left" vertical="center"/>
    </xf>
    <xf numFmtId="0" fontId="6" fillId="13" borderId="19" xfId="0" applyFont="1" applyFill="1" applyBorder="1" applyAlignment="1">
      <alignment horizontal="left" vertical="center"/>
    </xf>
    <xf numFmtId="0" fontId="6" fillId="13" borderId="20" xfId="0" applyFont="1" applyFill="1" applyBorder="1" applyAlignment="1">
      <alignment horizontal="left" vertical="center"/>
    </xf>
    <xf numFmtId="0" fontId="6" fillId="13" borderId="21" xfId="0" applyFont="1" applyFill="1" applyBorder="1" applyAlignment="1">
      <alignment horizontal="left" vertical="center"/>
    </xf>
    <xf numFmtId="0" fontId="6" fillId="11" borderId="11" xfId="0" applyFont="1" applyFill="1" applyBorder="1" applyAlignment="1">
      <alignment horizontal="left" vertical="center"/>
    </xf>
    <xf numFmtId="0" fontId="6" fillId="11" borderId="22" xfId="0" applyFont="1" applyFill="1" applyBorder="1" applyAlignment="1">
      <alignment horizontal="left" vertical="center"/>
    </xf>
    <xf numFmtId="0" fontId="6" fillId="11" borderId="23" xfId="0" applyFont="1" applyFill="1" applyBorder="1" applyAlignment="1">
      <alignment horizontal="left" vertical="center"/>
    </xf>
    <xf numFmtId="0" fontId="6" fillId="12" borderId="11" xfId="0" applyFont="1" applyFill="1" applyBorder="1" applyAlignment="1">
      <alignment horizontal="left" vertical="center"/>
    </xf>
    <xf numFmtId="0" fontId="6" fillId="12" borderId="22" xfId="0" applyFont="1" applyFill="1" applyBorder="1" applyAlignment="1">
      <alignment horizontal="left" vertical="center"/>
    </xf>
    <xf numFmtId="0" fontId="6" fillId="12" borderId="23" xfId="0" applyFont="1" applyFill="1" applyBorder="1" applyAlignment="1">
      <alignment horizontal="left" vertical="center"/>
    </xf>
    <xf numFmtId="0" fontId="8" fillId="5" borderId="10" xfId="1" applyFont="1" applyFill="1" applyBorder="1" applyAlignment="1">
      <alignment horizontal="center" vertical="center" wrapText="1"/>
    </xf>
    <xf numFmtId="14" fontId="8" fillId="5" borderId="7" xfId="1" applyNumberFormat="1" applyFont="1" applyFill="1" applyBorder="1" applyAlignment="1">
      <alignment horizontal="center" vertical="center" wrapText="1"/>
    </xf>
    <xf numFmtId="1" fontId="0" fillId="3" borderId="7" xfId="0" applyNumberFormat="1" applyFont="1" applyFill="1" applyBorder="1"/>
    <xf numFmtId="0" fontId="0" fillId="3" borderId="0" xfId="0" applyFill="1"/>
    <xf numFmtId="0" fontId="9" fillId="9" borderId="7" xfId="0" applyFont="1" applyFill="1" applyBorder="1" applyAlignment="1">
      <alignment horizontal="left" vertical="center"/>
    </xf>
    <xf numFmtId="2" fontId="9" fillId="9" borderId="7" xfId="0" applyNumberFormat="1" applyFont="1" applyFill="1" applyBorder="1" applyAlignment="1">
      <alignment horizontal="left" vertical="center"/>
    </xf>
    <xf numFmtId="14" fontId="9" fillId="9" borderId="7" xfId="0" applyNumberFormat="1" applyFont="1" applyFill="1" applyBorder="1" applyAlignment="1">
      <alignment horizontal="left" vertical="center"/>
    </xf>
    <xf numFmtId="0" fontId="0" fillId="15" borderId="7" xfId="0" applyFill="1" applyBorder="1"/>
    <xf numFmtId="0" fontId="0" fillId="15" borderId="7" xfId="0" quotePrefix="1" applyFill="1" applyBorder="1" applyAlignment="1">
      <alignment wrapText="1"/>
    </xf>
    <xf numFmtId="14" fontId="0" fillId="15" borderId="7" xfId="0" applyNumberFormat="1" applyFill="1" applyBorder="1"/>
    <xf numFmtId="0" fontId="3" fillId="15" borderId="7" xfId="0" applyFont="1" applyFill="1" applyBorder="1" applyAlignment="1">
      <alignment horizontal="center" vertical="center"/>
    </xf>
    <xf numFmtId="14" fontId="3" fillId="15" borderId="7" xfId="0" applyNumberFormat="1" applyFont="1" applyFill="1" applyBorder="1" applyAlignment="1">
      <alignment horizontal="center" vertical="center"/>
    </xf>
    <xf numFmtId="0" fontId="3" fillId="15" borderId="7" xfId="0" applyFont="1" applyFill="1" applyBorder="1"/>
    <xf numFmtId="165" fontId="3" fillId="15" borderId="7" xfId="0" applyNumberFormat="1" applyFont="1" applyFill="1" applyBorder="1"/>
    <xf numFmtId="165" fontId="3" fillId="15" borderId="7" xfId="0" applyNumberFormat="1" applyFont="1" applyFill="1" applyBorder="1" applyAlignment="1">
      <alignment horizontal="center" vertical="center"/>
    </xf>
    <xf numFmtId="0" fontId="38" fillId="15" borderId="7" xfId="0" applyFont="1" applyFill="1" applyBorder="1" applyAlignment="1">
      <alignment horizontal="center" vertical="center"/>
    </xf>
    <xf numFmtId="179" fontId="38" fillId="15" borderId="7" xfId="0" applyNumberFormat="1" applyFont="1" applyFill="1" applyBorder="1" applyAlignment="1">
      <alignment horizontal="center" vertical="center"/>
    </xf>
    <xf numFmtId="169" fontId="3" fillId="15" borderId="7" xfId="0" applyNumberFormat="1" applyFont="1" applyFill="1" applyBorder="1" applyAlignment="1">
      <alignment horizontal="center" vertical="center" wrapText="1"/>
    </xf>
    <xf numFmtId="0" fontId="3" fillId="15" borderId="7" xfId="0" applyFont="1" applyFill="1" applyBorder="1" applyAlignment="1"/>
    <xf numFmtId="0" fontId="0" fillId="15" borderId="7" xfId="0" applyFill="1" applyBorder="1" applyAlignment="1">
      <alignment horizontal="center" vertical="center"/>
    </xf>
    <xf numFmtId="0" fontId="3" fillId="15" borderId="7" xfId="0" applyFont="1" applyFill="1" applyBorder="1" applyAlignment="1">
      <alignment horizontal="center"/>
    </xf>
    <xf numFmtId="0" fontId="38" fillId="15" borderId="7" xfId="0" applyNumberFormat="1" applyFont="1" applyFill="1" applyBorder="1" applyAlignment="1">
      <alignment horizontal="center" vertical="top" wrapText="1"/>
    </xf>
    <xf numFmtId="179" fontId="38" fillId="15" borderId="7" xfId="0" applyNumberFormat="1" applyFont="1" applyFill="1" applyBorder="1" applyAlignment="1">
      <alignment horizontal="center" vertical="top" wrapText="1"/>
    </xf>
    <xf numFmtId="14" fontId="3" fillId="15" borderId="7" xfId="0" applyNumberFormat="1" applyFont="1" applyFill="1" applyBorder="1" applyAlignment="1">
      <alignment horizontal="center"/>
    </xf>
    <xf numFmtId="0" fontId="3" fillId="15" borderId="7" xfId="0" applyNumberFormat="1" applyFont="1" applyFill="1" applyBorder="1" applyAlignment="1">
      <alignment horizontal="center" vertical="center" wrapText="1"/>
    </xf>
    <xf numFmtId="179" fontId="3" fillId="15" borderId="7" xfId="0" applyNumberFormat="1" applyFont="1" applyFill="1" applyBorder="1" applyAlignment="1">
      <alignment horizontal="center" vertical="center" wrapText="1"/>
    </xf>
    <xf numFmtId="179" fontId="3" fillId="15" borderId="7" xfId="0" applyNumberFormat="1" applyFont="1" applyFill="1" applyBorder="1" applyAlignment="1">
      <alignment horizontal="center"/>
    </xf>
    <xf numFmtId="0" fontId="3" fillId="15" borderId="7" xfId="0" applyFont="1" applyFill="1" applyBorder="1" applyAlignment="1">
      <alignment horizontal="center" vertical="top" wrapText="1"/>
    </xf>
    <xf numFmtId="179" fontId="3" fillId="15" borderId="7" xfId="0" applyNumberFormat="1" applyFont="1" applyFill="1" applyBorder="1" applyAlignment="1">
      <alignment horizontal="center" vertical="top" wrapText="1"/>
    </xf>
    <xf numFmtId="0" fontId="3" fillId="15" borderId="7" xfId="0" applyFont="1" applyFill="1" applyBorder="1" applyAlignment="1">
      <alignment vertical="top" wrapText="1"/>
    </xf>
    <xf numFmtId="165" fontId="3" fillId="15" borderId="7" xfId="0" applyNumberFormat="1" applyFont="1" applyFill="1" applyBorder="1" applyAlignment="1">
      <alignment vertical="top" wrapText="1"/>
    </xf>
    <xf numFmtId="0" fontId="38" fillId="15" borderId="7" xfId="0" applyFont="1" applyFill="1" applyBorder="1" applyAlignment="1">
      <alignment horizontal="center" vertical="top" wrapText="1"/>
    </xf>
    <xf numFmtId="0" fontId="3" fillId="15" borderId="7" xfId="0" applyFont="1" applyFill="1" applyBorder="1" applyAlignment="1">
      <alignment horizontal="center" vertical="top"/>
    </xf>
    <xf numFmtId="165" fontId="3" fillId="15" borderId="7" xfId="0" applyNumberFormat="1" applyFont="1" applyFill="1" applyBorder="1" applyAlignment="1">
      <alignment horizontal="right" vertical="top" wrapText="1"/>
    </xf>
    <xf numFmtId="14" fontId="3" fillId="15" borderId="7" xfId="0" applyNumberFormat="1" applyFont="1" applyFill="1" applyBorder="1" applyAlignment="1">
      <alignment horizontal="center" vertical="top"/>
    </xf>
    <xf numFmtId="0" fontId="38" fillId="15" borderId="7" xfId="0" applyFont="1" applyFill="1" applyBorder="1" applyAlignment="1">
      <alignment horizontal="center" vertical="top"/>
    </xf>
    <xf numFmtId="179" fontId="38" fillId="15" borderId="7" xfId="0" applyNumberFormat="1" applyFont="1" applyFill="1" applyBorder="1" applyAlignment="1">
      <alignment horizontal="center" vertical="top"/>
    </xf>
    <xf numFmtId="179" fontId="3" fillId="15" borderId="7" xfId="0" applyNumberFormat="1" applyFont="1" applyFill="1" applyBorder="1" applyAlignment="1">
      <alignment horizontal="center" vertical="top"/>
    </xf>
    <xf numFmtId="165" fontId="3" fillId="15" borderId="7" xfId="0" applyNumberFormat="1" applyFont="1" applyFill="1" applyBorder="1" applyAlignment="1">
      <alignment horizontal="right" vertical="top"/>
    </xf>
    <xf numFmtId="169" fontId="3" fillId="15" borderId="7" xfId="0" applyNumberFormat="1" applyFont="1" applyFill="1" applyBorder="1" applyAlignment="1">
      <alignment horizontal="right" vertical="top" wrapText="1"/>
    </xf>
    <xf numFmtId="169" fontId="38" fillId="15" borderId="7" xfId="0" applyNumberFormat="1" applyFont="1" applyFill="1" applyBorder="1" applyAlignment="1">
      <alignment horizontal="right" vertical="top" wrapText="1"/>
    </xf>
    <xf numFmtId="169" fontId="38" fillId="15" borderId="7" xfId="0" applyNumberFormat="1" applyFont="1" applyFill="1" applyBorder="1" applyAlignment="1">
      <alignment horizontal="center" vertical="top" wrapText="1"/>
    </xf>
    <xf numFmtId="1" fontId="38" fillId="15" borderId="7" xfId="0" applyNumberFormat="1" applyFont="1" applyFill="1" applyBorder="1" applyAlignment="1">
      <alignment horizontal="center" vertical="top" wrapText="1"/>
    </xf>
    <xf numFmtId="14" fontId="38" fillId="15" borderId="7" xfId="0" applyNumberFormat="1" applyFont="1" applyFill="1" applyBorder="1" applyAlignment="1">
      <alignment horizontal="center" vertical="top" wrapText="1"/>
    </xf>
    <xf numFmtId="165" fontId="3" fillId="15" borderId="7" xfId="0" applyNumberFormat="1" applyFont="1" applyFill="1" applyBorder="1" applyAlignment="1"/>
    <xf numFmtId="0" fontId="0" fillId="15" borderId="7" xfId="0" applyFill="1" applyBorder="1" applyAlignment="1">
      <alignment horizontal="center"/>
    </xf>
    <xf numFmtId="14" fontId="0" fillId="15" borderId="7" xfId="0" applyNumberFormat="1" applyFill="1" applyBorder="1" applyAlignment="1">
      <alignment horizontal="center"/>
    </xf>
    <xf numFmtId="165" fontId="0" fillId="15" borderId="7" xfId="0" applyNumberFormat="1" applyFill="1" applyBorder="1"/>
    <xf numFmtId="14" fontId="0" fillId="15" borderId="7" xfId="0" applyNumberFormat="1" applyFill="1" applyBorder="1" applyAlignment="1">
      <alignment horizontal="center" vertical="center"/>
    </xf>
    <xf numFmtId="169" fontId="8" fillId="10" borderId="7" xfId="0" applyNumberFormat="1" applyFont="1" applyFill="1" applyBorder="1" applyAlignment="1">
      <alignment horizontal="center" vertical="center"/>
    </xf>
    <xf numFmtId="165" fontId="38" fillId="15" borderId="7" xfId="0" applyNumberFormat="1" applyFont="1" applyFill="1" applyBorder="1" applyAlignment="1">
      <alignment horizontal="right" vertical="top" wrapText="1"/>
    </xf>
    <xf numFmtId="1" fontId="8" fillId="10" borderId="7" xfId="0" applyNumberFormat="1" applyFont="1" applyFill="1" applyBorder="1" applyAlignment="1">
      <alignment horizontal="center" vertical="center" wrapText="1"/>
    </xf>
    <xf numFmtId="49" fontId="0" fillId="4" borderId="7" xfId="0" applyNumberFormat="1" applyFill="1" applyBorder="1" applyAlignment="1">
      <alignment vertical="center" wrapText="1"/>
    </xf>
    <xf numFmtId="14" fontId="8" fillId="5" borderId="6" xfId="1" applyNumberFormat="1" applyFont="1" applyFill="1" applyBorder="1" applyAlignment="1">
      <alignment horizontal="center" vertical="center" wrapText="1"/>
    </xf>
    <xf numFmtId="0" fontId="6" fillId="3" borderId="7" xfId="0" applyFont="1" applyFill="1" applyBorder="1" applyAlignment="1">
      <alignment horizontal="center" vertical="center" wrapText="1"/>
    </xf>
    <xf numFmtId="49" fontId="6" fillId="3" borderId="7" xfId="0" applyNumberFormat="1" applyFont="1" applyFill="1" applyBorder="1" applyAlignment="1">
      <alignment horizontal="center" vertical="center" wrapText="1"/>
    </xf>
    <xf numFmtId="14" fontId="6" fillId="3" borderId="7" xfId="0" applyNumberFormat="1" applyFont="1" applyFill="1" applyBorder="1" applyAlignment="1">
      <alignment horizontal="center" vertical="center" wrapText="1"/>
    </xf>
    <xf numFmtId="4" fontId="8" fillId="6" borderId="7" xfId="0" applyNumberFormat="1" applyFont="1" applyFill="1" applyBorder="1" applyAlignment="1">
      <alignment horizontal="center" vertical="center" wrapText="1"/>
    </xf>
    <xf numFmtId="14" fontId="8" fillId="6" borderId="30" xfId="0" applyNumberFormat="1" applyFont="1" applyFill="1" applyBorder="1" applyAlignment="1">
      <alignment horizontal="center" vertical="center" wrapText="1"/>
    </xf>
    <xf numFmtId="14" fontId="8" fillId="6" borderId="11" xfId="0" applyNumberFormat="1" applyFont="1" applyFill="1" applyBorder="1" applyAlignment="1">
      <alignment horizontal="center" vertical="center" wrapText="1"/>
    </xf>
    <xf numFmtId="14" fontId="9" fillId="6" borderId="11" xfId="0" applyNumberFormat="1" applyFont="1" applyFill="1" applyBorder="1" applyAlignment="1">
      <alignment horizontal="center" vertical="center" wrapText="1"/>
    </xf>
    <xf numFmtId="14" fontId="9" fillId="6" borderId="33" xfId="0" applyNumberFormat="1" applyFont="1" applyFill="1" applyBorder="1" applyAlignment="1">
      <alignment horizontal="center" vertical="center" wrapText="1"/>
    </xf>
    <xf numFmtId="14" fontId="8" fillId="6" borderId="33" xfId="0" applyNumberFormat="1" applyFont="1" applyFill="1" applyBorder="1" applyAlignment="1">
      <alignment horizontal="center" vertical="center" wrapText="1"/>
    </xf>
    <xf numFmtId="14" fontId="8" fillId="3" borderId="7" xfId="0" applyNumberFormat="1"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 borderId="13" xfId="0" applyFont="1" applyFill="1" applyBorder="1" applyAlignment="1">
      <alignment horizontal="center" vertical="center" wrapText="1"/>
    </xf>
    <xf numFmtId="0" fontId="7" fillId="3" borderId="13" xfId="0"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0" fontId="7" fillId="2" borderId="13" xfId="0" applyFont="1" applyFill="1" applyBorder="1" applyAlignment="1">
      <alignment horizontal="center" vertical="center" wrapText="1"/>
    </xf>
    <xf numFmtId="0" fontId="8" fillId="6" borderId="18" xfId="0" applyFont="1" applyFill="1" applyBorder="1" applyAlignment="1">
      <alignment horizontal="left" vertical="center"/>
    </xf>
    <xf numFmtId="0" fontId="8" fillId="6" borderId="18" xfId="0" applyFont="1" applyFill="1" applyBorder="1" applyAlignment="1">
      <alignment horizontal="left" vertical="center" wrapText="1"/>
    </xf>
    <xf numFmtId="0" fontId="0" fillId="0" borderId="0" xfId="0" applyAlignment="1">
      <alignment vertical="center"/>
    </xf>
    <xf numFmtId="14" fontId="8" fillId="6" borderId="18" xfId="0" applyNumberFormat="1" applyFont="1" applyFill="1" applyBorder="1" applyAlignment="1">
      <alignment horizontal="left" vertical="center"/>
    </xf>
    <xf numFmtId="0" fontId="0" fillId="3" borderId="7" xfId="0" applyFill="1" applyBorder="1" applyAlignment="1">
      <alignment horizontal="center" vertical="center"/>
    </xf>
    <xf numFmtId="0" fontId="8" fillId="3" borderId="7" xfId="0" applyFont="1" applyFill="1" applyBorder="1" applyAlignment="1">
      <alignment horizontal="left"/>
    </xf>
    <xf numFmtId="0" fontId="6" fillId="2" borderId="37" xfId="0" applyFont="1" applyFill="1" applyBorder="1" applyAlignment="1">
      <alignment horizontal="center" vertical="center" wrapText="1"/>
    </xf>
    <xf numFmtId="0" fontId="6" fillId="2" borderId="38" xfId="0" applyFont="1" applyFill="1" applyBorder="1" applyAlignment="1">
      <alignment horizontal="center" vertical="center"/>
    </xf>
    <xf numFmtId="0" fontId="6" fillId="2" borderId="38" xfId="0" applyFont="1" applyFill="1" applyBorder="1" applyAlignment="1">
      <alignment horizontal="center" vertical="center" wrapText="1"/>
    </xf>
    <xf numFmtId="2" fontId="6" fillId="3" borderId="38" xfId="0" applyNumberFormat="1" applyFont="1" applyFill="1" applyBorder="1" applyAlignment="1">
      <alignment horizontal="center" vertical="center" wrapText="1"/>
    </xf>
    <xf numFmtId="14" fontId="7" fillId="3" borderId="38" xfId="0" applyNumberFormat="1" applyFont="1" applyFill="1" applyBorder="1" applyAlignment="1">
      <alignment horizontal="center" vertical="center" wrapText="1"/>
    </xf>
    <xf numFmtId="2" fontId="6" fillId="2" borderId="38" xfId="0" applyNumberFormat="1" applyFont="1" applyFill="1" applyBorder="1" applyAlignment="1">
      <alignment horizontal="center" vertical="center" wrapText="1"/>
    </xf>
    <xf numFmtId="14" fontId="6" fillId="2" borderId="38" xfId="0" applyNumberFormat="1" applyFont="1" applyFill="1" applyBorder="1" applyAlignment="1">
      <alignment horizontal="center" vertical="center" wrapText="1"/>
    </xf>
    <xf numFmtId="49" fontId="6" fillId="3" borderId="38" xfId="0" applyNumberFormat="1" applyFont="1" applyFill="1" applyBorder="1" applyAlignment="1">
      <alignment horizontal="center" vertical="center" wrapText="1"/>
    </xf>
    <xf numFmtId="0" fontId="7" fillId="3" borderId="38" xfId="0" applyFont="1" applyFill="1" applyBorder="1" applyAlignment="1">
      <alignment horizontal="center" vertical="center" wrapText="1"/>
    </xf>
    <xf numFmtId="0" fontId="7" fillId="2" borderId="38" xfId="0" applyFont="1" applyFill="1" applyBorder="1" applyAlignment="1">
      <alignment horizontal="center" vertical="center" wrapText="1"/>
    </xf>
    <xf numFmtId="14" fontId="7" fillId="3" borderId="13" xfId="0" applyNumberFormat="1" applyFont="1" applyFill="1" applyBorder="1" applyAlignment="1">
      <alignment horizontal="center" vertical="center" wrapText="1"/>
    </xf>
    <xf numFmtId="1" fontId="6" fillId="3" borderId="13" xfId="0" applyNumberFormat="1" applyFont="1" applyFill="1" applyBorder="1" applyAlignment="1">
      <alignment horizontal="center" vertical="center" wrapText="1"/>
    </xf>
    <xf numFmtId="1" fontId="8" fillId="6" borderId="18" xfId="0" applyNumberFormat="1" applyFont="1" applyFill="1" applyBorder="1" applyAlignment="1">
      <alignment horizontal="left" vertical="center"/>
    </xf>
    <xf numFmtId="14" fontId="6" fillId="2" borderId="13" xfId="0" applyNumberFormat="1" applyFont="1" applyFill="1" applyBorder="1" applyAlignment="1">
      <alignment horizontal="center" vertical="center" wrapText="1"/>
    </xf>
    <xf numFmtId="0" fontId="8" fillId="7" borderId="7" xfId="0" applyFont="1" applyFill="1" applyBorder="1" applyAlignment="1">
      <alignment horizontal="left" vertical="center"/>
    </xf>
    <xf numFmtId="1" fontId="8" fillId="7" borderId="7" xfId="0" applyNumberFormat="1" applyFont="1" applyFill="1" applyBorder="1" applyAlignment="1">
      <alignment horizontal="left" vertical="center"/>
    </xf>
    <xf numFmtId="14" fontId="8" fillId="7" borderId="7" xfId="0" applyNumberFormat="1" applyFont="1" applyFill="1" applyBorder="1" applyAlignment="1">
      <alignment horizontal="left" vertical="center"/>
    </xf>
    <xf numFmtId="176" fontId="9" fillId="11" borderId="7" xfId="0" applyNumberFormat="1" applyFont="1" applyFill="1" applyBorder="1" applyAlignment="1">
      <alignment horizontal="center" vertical="center" wrapText="1"/>
    </xf>
    <xf numFmtId="14" fontId="9" fillId="13" borderId="7" xfId="0" applyNumberFormat="1" applyFont="1" applyFill="1" applyBorder="1" applyAlignment="1">
      <alignment horizontal="center" vertical="top" wrapText="1"/>
    </xf>
    <xf numFmtId="14" fontId="9" fillId="13" borderId="7" xfId="0" applyNumberFormat="1" applyFont="1" applyFill="1" applyBorder="1" applyAlignment="1">
      <alignment horizontal="center" vertical="center"/>
    </xf>
    <xf numFmtId="49" fontId="24" fillId="13" borderId="6" xfId="0" applyNumberFormat="1" applyFont="1" applyFill="1" applyBorder="1" applyAlignment="1">
      <alignment horizontal="left"/>
    </xf>
    <xf numFmtId="14" fontId="0" fillId="3" borderId="7" xfId="0" applyNumberFormat="1" applyFill="1" applyBorder="1" applyAlignment="1">
      <alignment horizontal="center" vertical="center" wrapText="1"/>
    </xf>
    <xf numFmtId="0" fontId="0" fillId="3" borderId="7" xfId="0" applyFill="1" applyBorder="1" applyAlignment="1">
      <alignment vertical="center" wrapText="1"/>
    </xf>
    <xf numFmtId="0" fontId="8" fillId="0" borderId="0" xfId="1" applyFont="1" applyFill="1" applyBorder="1" applyAlignment="1">
      <alignment horizontal="center" vertical="center" wrapText="1"/>
    </xf>
    <xf numFmtId="0" fontId="21" fillId="0" borderId="0" xfId="0" applyFont="1" applyFill="1" applyBorder="1"/>
    <xf numFmtId="0" fontId="9" fillId="0" borderId="0" xfId="0" applyFont="1" applyFill="1" applyBorder="1" applyAlignment="1">
      <alignment vertical="center" wrapText="1"/>
    </xf>
    <xf numFmtId="0" fontId="0" fillId="0" borderId="0" xfId="0" applyNumberFormat="1" applyFill="1" applyBorder="1" applyAlignment="1">
      <alignment vertical="center" wrapText="1"/>
    </xf>
    <xf numFmtId="14" fontId="0" fillId="0" borderId="0" xfId="0" applyNumberFormat="1" applyFill="1" applyBorder="1" applyAlignment="1">
      <alignment vertical="center" wrapText="1"/>
    </xf>
    <xf numFmtId="0" fontId="15" fillId="0" borderId="0" xfId="0" applyFont="1" applyFill="1" applyBorder="1" applyAlignment="1">
      <alignment vertical="center" wrapText="1"/>
    </xf>
    <xf numFmtId="0" fontId="7" fillId="3" borderId="7" xfId="0" applyFont="1" applyFill="1" applyBorder="1" applyAlignment="1">
      <alignment horizontal="center" vertical="center" wrapText="1"/>
    </xf>
    <xf numFmtId="14" fontId="7" fillId="3" borderId="7" xfId="0" applyNumberFormat="1" applyFont="1" applyFill="1" applyBorder="1" applyAlignment="1">
      <alignment horizontal="center" vertical="center" wrapText="1"/>
    </xf>
    <xf numFmtId="0" fontId="0" fillId="3" borderId="7" xfId="0" applyFill="1" applyBorder="1"/>
    <xf numFmtId="2" fontId="8" fillId="7" borderId="7" xfId="0" applyNumberFormat="1" applyFont="1" applyFill="1" applyBorder="1" applyAlignment="1">
      <alignment horizontal="left" vertical="center"/>
    </xf>
    <xf numFmtId="1" fontId="7" fillId="3" borderId="2" xfId="0" applyNumberFormat="1" applyFont="1" applyFill="1" applyBorder="1" applyAlignment="1">
      <alignment horizontal="center" vertical="center" wrapText="1"/>
    </xf>
    <xf numFmtId="1" fontId="8" fillId="4" borderId="13" xfId="0" applyNumberFormat="1" applyFont="1" applyFill="1" applyBorder="1" applyAlignment="1">
      <alignment horizontal="center" vertical="center" wrapText="1"/>
    </xf>
    <xf numFmtId="1" fontId="8" fillId="4" borderId="9" xfId="1" applyNumberFormat="1" applyFont="1" applyFill="1" applyBorder="1" applyAlignment="1">
      <alignment horizontal="center" vertical="center" wrapText="1"/>
    </xf>
    <xf numFmtId="1" fontId="8" fillId="13" borderId="7" xfId="0" applyNumberFormat="1" applyFont="1" applyFill="1" applyBorder="1" applyAlignment="1">
      <alignment horizontal="left"/>
    </xf>
    <xf numFmtId="1" fontId="9" fillId="13" borderId="7" xfId="0" applyNumberFormat="1" applyFont="1" applyFill="1" applyBorder="1" applyAlignment="1">
      <alignment horizontal="left"/>
    </xf>
    <xf numFmtId="1" fontId="22" fillId="13" borderId="7" xfId="0" applyNumberFormat="1" applyFont="1" applyFill="1" applyBorder="1" applyAlignment="1">
      <alignment horizontal="left"/>
    </xf>
    <xf numFmtId="1" fontId="22" fillId="13" borderId="6" xfId="0" applyNumberFormat="1" applyFont="1" applyFill="1" applyBorder="1" applyAlignment="1">
      <alignment horizontal="left"/>
    </xf>
    <xf numFmtId="1" fontId="8" fillId="13" borderId="6" xfId="0" applyNumberFormat="1" applyFont="1" applyFill="1" applyBorder="1" applyAlignment="1">
      <alignment horizontal="left"/>
    </xf>
    <xf numFmtId="1" fontId="8" fillId="11" borderId="18" xfId="0" applyNumberFormat="1" applyFont="1" applyFill="1" applyBorder="1" applyAlignment="1">
      <alignment horizontal="center" vertical="center"/>
    </xf>
    <xf numFmtId="1" fontId="8" fillId="11" borderId="24" xfId="0" applyNumberFormat="1" applyFont="1" applyFill="1" applyBorder="1" applyAlignment="1">
      <alignment horizontal="center" vertical="center" wrapText="1"/>
    </xf>
    <xf numFmtId="1" fontId="8" fillId="11" borderId="7" xfId="0" applyNumberFormat="1" applyFont="1" applyFill="1" applyBorder="1" applyAlignment="1">
      <alignment horizontal="center" vertical="center" wrapText="1"/>
    </xf>
    <xf numFmtId="1" fontId="9" fillId="11" borderId="7" xfId="0" applyNumberFormat="1" applyFont="1" applyFill="1" applyBorder="1" applyAlignment="1">
      <alignment horizontal="center" vertical="center" wrapText="1"/>
    </xf>
    <xf numFmtId="1" fontId="8" fillId="12" borderId="7" xfId="0" applyNumberFormat="1" applyFont="1" applyFill="1" applyBorder="1" applyAlignment="1">
      <alignment horizontal="center" vertical="center" wrapText="1"/>
    </xf>
    <xf numFmtId="1" fontId="22" fillId="12" borderId="7" xfId="0" applyNumberFormat="1" applyFont="1" applyFill="1" applyBorder="1" applyAlignment="1">
      <alignment horizontal="center" vertical="center" wrapText="1"/>
    </xf>
    <xf numFmtId="1" fontId="8" fillId="0" borderId="0" xfId="1" applyNumberFormat="1"/>
    <xf numFmtId="0" fontId="2" fillId="15" borderId="7" xfId="0" applyFont="1" applyFill="1" applyBorder="1" applyAlignment="1">
      <alignment horizontal="center"/>
    </xf>
    <xf numFmtId="14" fontId="2" fillId="15" borderId="7" xfId="0" applyNumberFormat="1" applyFont="1" applyFill="1" applyBorder="1" applyAlignment="1">
      <alignment horizontal="center"/>
    </xf>
    <xf numFmtId="0" fontId="2" fillId="15" borderId="7" xfId="0" applyFont="1" applyFill="1" applyBorder="1" applyAlignment="1">
      <alignment horizontal="center" vertical="top"/>
    </xf>
    <xf numFmtId="0" fontId="2" fillId="15" borderId="7" xfId="0" applyFont="1" applyFill="1" applyBorder="1" applyAlignment="1">
      <alignment horizontal="center" vertical="top" wrapText="1"/>
    </xf>
    <xf numFmtId="3" fontId="8" fillId="11" borderId="7" xfId="0" applyNumberFormat="1" applyFont="1" applyFill="1" applyBorder="1" applyAlignment="1">
      <alignment horizontal="center" vertical="center"/>
    </xf>
    <xf numFmtId="0" fontId="21" fillId="4" borderId="6" xfId="0" applyFont="1" applyFill="1" applyBorder="1"/>
    <xf numFmtId="0" fontId="9" fillId="4" borderId="6" xfId="0" applyFont="1" applyFill="1" applyBorder="1" applyAlignment="1">
      <alignment vertical="center" wrapText="1"/>
    </xf>
    <xf numFmtId="0" fontId="0" fillId="4" borderId="6" xfId="0" applyNumberFormat="1" applyFill="1" applyBorder="1" applyAlignment="1">
      <alignment vertical="center" wrapText="1"/>
    </xf>
    <xf numFmtId="0" fontId="8" fillId="6" borderId="7" xfId="0" applyFont="1" applyFill="1" applyBorder="1" applyAlignment="1">
      <alignment horizontal="left" vertical="center"/>
    </xf>
    <xf numFmtId="0" fontId="8" fillId="6" borderId="7" xfId="0" applyFont="1" applyFill="1" applyBorder="1" applyAlignment="1">
      <alignment horizontal="left" vertical="center" wrapText="1"/>
    </xf>
    <xf numFmtId="4" fontId="8" fillId="6" borderId="7" xfId="0" applyNumberFormat="1" applyFont="1" applyFill="1" applyBorder="1" applyAlignment="1">
      <alignment horizontal="left" vertical="center"/>
    </xf>
    <xf numFmtId="14" fontId="8" fillId="6" borderId="7" xfId="0" applyNumberFormat="1" applyFont="1" applyFill="1" applyBorder="1" applyAlignment="1">
      <alignment horizontal="left" vertical="center"/>
    </xf>
    <xf numFmtId="0" fontId="8" fillId="3" borderId="7" xfId="0" applyFont="1" applyFill="1" applyBorder="1" applyAlignment="1">
      <alignment horizontal="left" vertical="center"/>
    </xf>
    <xf numFmtId="0" fontId="1" fillId="15" borderId="7" xfId="0" applyFont="1" applyFill="1" applyBorder="1" applyAlignment="1">
      <alignment vertical="center" wrapText="1"/>
    </xf>
    <xf numFmtId="165" fontId="1" fillId="15" borderId="7" xfId="0" applyNumberFormat="1" applyFont="1" applyFill="1" applyBorder="1" applyAlignment="1">
      <alignment vertical="center" wrapText="1"/>
    </xf>
    <xf numFmtId="179" fontId="1" fillId="15" borderId="7" xfId="0" applyNumberFormat="1" applyFont="1" applyFill="1" applyBorder="1" applyAlignment="1">
      <alignment vertical="center" wrapText="1"/>
    </xf>
    <xf numFmtId="0" fontId="1" fillId="15" borderId="7" xfId="0" applyFont="1" applyFill="1" applyBorder="1" applyAlignment="1">
      <alignment vertical="center"/>
    </xf>
    <xf numFmtId="179" fontId="1" fillId="15" borderId="7" xfId="0" applyNumberFormat="1" applyFont="1" applyFill="1" applyBorder="1" applyAlignment="1">
      <alignment vertical="center"/>
    </xf>
    <xf numFmtId="14" fontId="1" fillId="15" borderId="7" xfId="0" applyNumberFormat="1" applyFont="1" applyFill="1" applyBorder="1" applyAlignment="1">
      <alignment vertical="center"/>
    </xf>
    <xf numFmtId="0" fontId="0" fillId="15" borderId="7" xfId="0" applyFill="1" applyBorder="1" applyAlignment="1">
      <alignment wrapText="1"/>
    </xf>
    <xf numFmtId="0" fontId="0" fillId="15" borderId="7" xfId="0" applyFill="1" applyBorder="1" applyAlignment="1">
      <alignment vertical="center"/>
    </xf>
    <xf numFmtId="0" fontId="0" fillId="15" borderId="7" xfId="0" applyFill="1" applyBorder="1" applyAlignment="1">
      <alignment vertical="top"/>
    </xf>
    <xf numFmtId="14" fontId="0" fillId="15" borderId="7" xfId="0" applyNumberFormat="1" applyFill="1" applyBorder="1" applyAlignment="1">
      <alignment horizontal="right" vertical="top"/>
    </xf>
    <xf numFmtId="179" fontId="0" fillId="15" borderId="7" xfId="0" applyNumberFormat="1" applyFill="1" applyBorder="1" applyAlignment="1">
      <alignment horizontal="center"/>
    </xf>
    <xf numFmtId="0" fontId="8" fillId="3" borderId="7" xfId="0" applyFont="1" applyFill="1" applyBorder="1" applyAlignment="1">
      <alignment horizontal="center" vertical="center"/>
    </xf>
    <xf numFmtId="0" fontId="0" fillId="16" borderId="0" xfId="0" applyFill="1" applyAlignment="1">
      <alignment vertical="top"/>
    </xf>
    <xf numFmtId="182" fontId="0" fillId="15" borderId="7" xfId="0" applyNumberFormat="1" applyFont="1" applyFill="1" applyBorder="1" applyAlignment="1">
      <alignment vertical="top" wrapText="1"/>
    </xf>
    <xf numFmtId="182" fontId="0" fillId="15" borderId="7" xfId="0" applyNumberFormat="1" applyFont="1" applyFill="1" applyBorder="1" applyAlignment="1">
      <alignment horizontal="left" vertical="top" wrapText="1"/>
    </xf>
    <xf numFmtId="14" fontId="0" fillId="15" borderId="7" xfId="0" applyNumberFormat="1" applyFont="1" applyFill="1" applyBorder="1" applyAlignment="1">
      <alignment horizontal="center" vertical="top"/>
    </xf>
    <xf numFmtId="165" fontId="0" fillId="15" borderId="7" xfId="0" applyNumberFormat="1" applyFont="1" applyFill="1" applyBorder="1" applyAlignment="1">
      <alignment horizontal="right" vertical="top" wrapText="1"/>
    </xf>
    <xf numFmtId="0" fontId="0" fillId="15" borderId="7" xfId="0" applyFont="1" applyFill="1" applyBorder="1" applyAlignment="1">
      <alignment horizontal="right" vertical="top" wrapText="1"/>
    </xf>
    <xf numFmtId="0" fontId="0" fillId="15" borderId="7" xfId="0" applyFont="1" applyFill="1" applyBorder="1" applyAlignment="1">
      <alignment vertical="top" wrapText="1"/>
    </xf>
    <xf numFmtId="0" fontId="18" fillId="15" borderId="7" xfId="0" applyFont="1" applyFill="1" applyBorder="1" applyAlignment="1">
      <alignment horizontal="left" vertical="top"/>
    </xf>
    <xf numFmtId="0" fontId="0" fillId="15" borderId="7" xfId="0" applyFont="1" applyFill="1" applyBorder="1" applyAlignment="1">
      <alignment horizontal="center" vertical="top" wrapText="1"/>
    </xf>
    <xf numFmtId="14" fontId="18" fillId="15" borderId="7" xfId="0" applyNumberFormat="1" applyFont="1" applyFill="1" applyBorder="1" applyAlignment="1">
      <alignment horizontal="center" vertical="top"/>
    </xf>
    <xf numFmtId="0" fontId="8" fillId="15" borderId="7" xfId="0" applyFont="1" applyFill="1" applyBorder="1" applyAlignment="1">
      <alignment horizontal="center" vertical="top"/>
    </xf>
    <xf numFmtId="179" fontId="8" fillId="15" borderId="7" xfId="0" applyNumberFormat="1" applyFont="1" applyFill="1" applyBorder="1" applyAlignment="1">
      <alignment horizontal="center" vertical="top"/>
    </xf>
    <xf numFmtId="0" fontId="8" fillId="15" borderId="4" xfId="0" applyFont="1" applyFill="1" applyBorder="1" applyAlignment="1">
      <alignment horizontal="left" vertical="top"/>
    </xf>
    <xf numFmtId="14" fontId="0" fillId="15" borderId="7" xfId="0" applyNumberFormat="1" applyFill="1" applyBorder="1" applyAlignment="1">
      <alignment vertical="top"/>
    </xf>
    <xf numFmtId="0" fontId="0" fillId="15" borderId="7" xfId="0" applyFill="1" applyBorder="1" applyAlignment="1">
      <alignment vertical="center" wrapText="1"/>
    </xf>
    <xf numFmtId="14" fontId="0" fillId="15" borderId="7" xfId="0" applyNumberFormat="1" applyFill="1" applyBorder="1" applyAlignment="1">
      <alignment vertical="center"/>
    </xf>
    <xf numFmtId="0" fontId="39" fillId="15" borderId="7" xfId="33" applyFill="1" applyBorder="1" applyAlignment="1">
      <alignment vertical="center"/>
    </xf>
    <xf numFmtId="0" fontId="39" fillId="15" borderId="7" xfId="33" applyFill="1" applyBorder="1" applyAlignment="1">
      <alignment vertical="center" wrapText="1"/>
    </xf>
    <xf numFmtId="14" fontId="39" fillId="15" borderId="7" xfId="33" applyNumberFormat="1" applyFill="1" applyBorder="1" applyAlignment="1">
      <alignment horizontal="right" vertical="center"/>
    </xf>
    <xf numFmtId="0" fontId="0" fillId="15" borderId="7" xfId="0" applyFill="1" applyBorder="1" applyAlignment="1"/>
    <xf numFmtId="165" fontId="0" fillId="15" borderId="7" xfId="0" applyNumberFormat="1" applyFill="1" applyBorder="1" applyAlignment="1"/>
    <xf numFmtId="0" fontId="1" fillId="15" borderId="7" xfId="0" applyFont="1" applyFill="1" applyBorder="1" applyAlignment="1"/>
    <xf numFmtId="0" fontId="0" fillId="15" borderId="7" xfId="0" applyFill="1" applyBorder="1" applyAlignment="1">
      <alignment horizontal="right"/>
    </xf>
    <xf numFmtId="14" fontId="0" fillId="15" borderId="7" xfId="0" applyNumberFormat="1" applyFill="1" applyBorder="1" applyAlignment="1"/>
    <xf numFmtId="0" fontId="0" fillId="15" borderId="0" xfId="0" applyFill="1" applyAlignment="1">
      <alignment vertical="top"/>
    </xf>
    <xf numFmtId="14" fontId="0" fillId="15" borderId="0" xfId="0" applyNumberFormat="1" applyFill="1" applyAlignment="1">
      <alignment horizontal="right" vertical="top"/>
    </xf>
    <xf numFmtId="0" fontId="1" fillId="15" borderId="7" xfId="0" applyFont="1" applyFill="1" applyBorder="1" applyAlignment="1">
      <alignment horizontal="right" vertical="top"/>
    </xf>
    <xf numFmtId="14" fontId="1" fillId="15" borderId="7" xfId="0" applyNumberFormat="1" applyFont="1" applyFill="1" applyBorder="1" applyAlignment="1">
      <alignment vertical="top"/>
    </xf>
    <xf numFmtId="14" fontId="6" fillId="2" borderId="13" xfId="0" applyNumberFormat="1" applyFont="1" applyFill="1" applyBorder="1" applyAlignment="1">
      <alignment horizontal="left" vertical="top" wrapText="1"/>
    </xf>
    <xf numFmtId="0" fontId="6" fillId="2" borderId="13" xfId="0" applyNumberFormat="1" applyFont="1" applyFill="1" applyBorder="1" applyAlignment="1">
      <alignment horizontal="left" vertical="top" wrapText="1"/>
    </xf>
    <xf numFmtId="0" fontId="6" fillId="2" borderId="14" xfId="0" applyNumberFormat="1" applyFont="1" applyFill="1" applyBorder="1" applyAlignment="1">
      <alignment horizontal="left" vertical="top" wrapText="1"/>
    </xf>
    <xf numFmtId="0" fontId="6" fillId="2" borderId="9"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7" borderId="7" xfId="0" applyFont="1" applyFill="1" applyBorder="1" applyAlignment="1">
      <alignment horizontal="left" vertical="center"/>
    </xf>
    <xf numFmtId="0" fontId="6" fillId="7" borderId="8" xfId="0" applyFont="1" applyFill="1" applyBorder="1" applyAlignment="1">
      <alignment horizontal="left" vertical="center"/>
    </xf>
    <xf numFmtId="0" fontId="6" fillId="13" borderId="19" xfId="0" applyFont="1" applyFill="1" applyBorder="1" applyAlignment="1">
      <alignment horizontal="left" vertical="center"/>
    </xf>
    <xf numFmtId="0" fontId="6" fillId="13" borderId="20" xfId="0" applyFont="1" applyFill="1" applyBorder="1" applyAlignment="1">
      <alignment horizontal="left" vertical="center"/>
    </xf>
    <xf numFmtId="0" fontId="6" fillId="13" borderId="21" xfId="0" applyFont="1" applyFill="1" applyBorder="1" applyAlignment="1">
      <alignment horizontal="left" vertical="center"/>
    </xf>
    <xf numFmtId="0" fontId="6" fillId="11" borderId="11" xfId="0" applyFont="1" applyFill="1" applyBorder="1" applyAlignment="1">
      <alignment horizontal="left" vertical="center"/>
    </xf>
    <xf numFmtId="0" fontId="6" fillId="11" borderId="22" xfId="0" applyFont="1" applyFill="1" applyBorder="1" applyAlignment="1">
      <alignment horizontal="left" vertical="center"/>
    </xf>
    <xf numFmtId="0" fontId="6" fillId="11" borderId="23" xfId="0" applyFont="1" applyFill="1" applyBorder="1" applyAlignment="1">
      <alignment horizontal="left" vertical="center"/>
    </xf>
    <xf numFmtId="0" fontId="6" fillId="12" borderId="11" xfId="0" applyFont="1" applyFill="1" applyBorder="1" applyAlignment="1">
      <alignment horizontal="left" vertical="center"/>
    </xf>
    <xf numFmtId="0" fontId="6" fillId="12" borderId="22" xfId="0" applyFont="1" applyFill="1" applyBorder="1" applyAlignment="1">
      <alignment horizontal="left" vertical="center"/>
    </xf>
    <xf numFmtId="0" fontId="6" fillId="12" borderId="23" xfId="0" applyFont="1" applyFill="1" applyBorder="1" applyAlignment="1">
      <alignment horizontal="left" vertical="center"/>
    </xf>
    <xf numFmtId="0" fontId="8" fillId="6" borderId="6"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6" xfId="0" applyFont="1" applyFill="1" applyBorder="1" applyAlignment="1">
      <alignment horizontal="center" vertical="center" wrapText="1"/>
    </xf>
    <xf numFmtId="1" fontId="8" fillId="12" borderId="18" xfId="0" applyNumberFormat="1" applyFont="1" applyFill="1" applyBorder="1" applyAlignment="1">
      <alignment horizontal="left"/>
    </xf>
    <xf numFmtId="1" fontId="8" fillId="12" borderId="7" xfId="0" applyNumberFormat="1" applyFont="1" applyFill="1" applyBorder="1" applyAlignment="1">
      <alignment horizontal="left"/>
    </xf>
    <xf numFmtId="1" fontId="9" fillId="11" borderId="18" xfId="0" applyNumberFormat="1" applyFont="1" applyFill="1" applyBorder="1" applyAlignment="1">
      <alignment horizontal="left"/>
    </xf>
    <xf numFmtId="1" fontId="1" fillId="15" borderId="7" xfId="0" applyNumberFormat="1" applyFont="1" applyFill="1" applyBorder="1" applyAlignment="1">
      <alignment vertical="center"/>
    </xf>
    <xf numFmtId="0" fontId="0" fillId="15" borderId="7" xfId="0" applyFill="1" applyBorder="1" applyAlignment="1">
      <alignment horizontal="right" vertical="top"/>
    </xf>
    <xf numFmtId="0" fontId="8" fillId="10" borderId="6" xfId="0" applyFont="1" applyFill="1" applyBorder="1" applyAlignment="1">
      <alignment horizontal="center" vertical="center" wrapText="1"/>
    </xf>
    <xf numFmtId="0" fontId="0" fillId="15" borderId="6" xfId="0" applyFill="1" applyBorder="1" applyAlignment="1"/>
    <xf numFmtId="0" fontId="9" fillId="10" borderId="6" xfId="0" applyFont="1" applyFill="1" applyBorder="1" applyAlignment="1">
      <alignment horizontal="center" vertical="center" wrapText="1"/>
    </xf>
    <xf numFmtId="0" fontId="0" fillId="15" borderId="6" xfId="0" applyFill="1" applyBorder="1" applyAlignment="1">
      <alignment horizontal="center" vertical="center"/>
    </xf>
    <xf numFmtId="165" fontId="0" fillId="15" borderId="6" xfId="0" applyNumberFormat="1" applyFill="1" applyBorder="1" applyAlignment="1"/>
    <xf numFmtId="0" fontId="1" fillId="15" borderId="6" xfId="0" applyFont="1" applyFill="1" applyBorder="1" applyAlignment="1"/>
    <xf numFmtId="0" fontId="0" fillId="15" borderId="6" xfId="0" applyFill="1" applyBorder="1" applyAlignment="1">
      <alignment wrapText="1"/>
    </xf>
    <xf numFmtId="0" fontId="1" fillId="15" borderId="6" xfId="0" applyFont="1" applyFill="1" applyBorder="1" applyAlignment="1">
      <alignment horizontal="right" vertical="top"/>
    </xf>
    <xf numFmtId="14" fontId="1" fillId="15" borderId="6" xfId="0" applyNumberFormat="1" applyFont="1" applyFill="1" applyBorder="1" applyAlignment="1">
      <alignment vertical="top"/>
    </xf>
    <xf numFmtId="0" fontId="0" fillId="15" borderId="6" xfId="0" applyFill="1" applyBorder="1" applyAlignment="1">
      <alignment horizontal="center"/>
    </xf>
    <xf numFmtId="14" fontId="0" fillId="15" borderId="6" xfId="0" applyNumberFormat="1" applyFill="1" applyBorder="1" applyAlignment="1"/>
    <xf numFmtId="2" fontId="0" fillId="15" borderId="7" xfId="0" applyNumberFormat="1" applyFill="1" applyBorder="1" applyAlignment="1">
      <alignment horizontal="center" vertical="center"/>
    </xf>
    <xf numFmtId="2" fontId="0" fillId="15" borderId="7" xfId="0" applyNumberFormat="1" applyFill="1" applyBorder="1" applyAlignment="1">
      <alignment wrapText="1"/>
    </xf>
    <xf numFmtId="0" fontId="9" fillId="3" borderId="7" xfId="0" applyFont="1" applyFill="1" applyBorder="1" applyAlignment="1">
      <alignment horizontal="center" vertical="center"/>
    </xf>
    <xf numFmtId="169" fontId="8" fillId="11" borderId="7"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81" fontId="8" fillId="13" borderId="7" xfId="0" applyNumberFormat="1" applyFont="1" applyFill="1" applyBorder="1" applyAlignment="1">
      <alignment horizontal="left"/>
    </xf>
    <xf numFmtId="49" fontId="9" fillId="3" borderId="7" xfId="0" applyNumberFormat="1" applyFont="1" applyFill="1" applyBorder="1" applyAlignment="1">
      <alignment horizontal="left"/>
    </xf>
    <xf numFmtId="0" fontId="9" fillId="3" borderId="7" xfId="0" applyFont="1" applyFill="1" applyBorder="1" applyAlignment="1">
      <alignment vertical="center" wrapText="1"/>
    </xf>
    <xf numFmtId="0" fontId="8" fillId="4" borderId="39" xfId="1" applyFont="1" applyFill="1" applyBorder="1" applyAlignment="1">
      <alignment horizontal="center" vertical="center" wrapText="1"/>
    </xf>
    <xf numFmtId="0" fontId="8" fillId="4" borderId="7" xfId="1" applyFont="1" applyFill="1" applyBorder="1" applyAlignment="1">
      <alignment horizontal="center" vertical="center" wrapText="1"/>
    </xf>
    <xf numFmtId="0" fontId="21" fillId="4" borderId="7" xfId="0" applyFont="1" applyFill="1" applyBorder="1" applyAlignment="1">
      <alignment wrapText="1"/>
    </xf>
  </cellXfs>
  <cellStyles count="34">
    <cellStyle name="%" xfId="31"/>
    <cellStyle name="Comma 2" xfId="7"/>
    <cellStyle name="Comma 2 2" xfId="8"/>
    <cellStyle name="Comma 2 2 2" xfId="26"/>
    <cellStyle name="Comma 2 3" xfId="9"/>
    <cellStyle name="Comma 2 3 2" xfId="27"/>
    <cellStyle name="Comma 2 4" xfId="25"/>
    <cellStyle name="Comma 2 5" xfId="32"/>
    <cellStyle name="Comma 3" xfId="10"/>
    <cellStyle name="Comma 3 2" xfId="11"/>
    <cellStyle name="Comma 3 3" xfId="12"/>
    <cellStyle name="Comma 3 3 2" xfId="29"/>
    <cellStyle name="Comma 3 4" xfId="28"/>
    <cellStyle name="Comma 4" xfId="6"/>
    <cellStyle name="Normal" xfId="0" builtinId="0"/>
    <cellStyle name="Normal 2" xfId="1"/>
    <cellStyle name="Normal 2 2" xfId="13"/>
    <cellStyle name="Normal 2 2 2" xfId="2"/>
    <cellStyle name="Normal 2 3" xfId="14"/>
    <cellStyle name="Normal 3" xfId="3"/>
    <cellStyle name="Normal 3 2" xfId="16"/>
    <cellStyle name="Normal 3 3" xfId="24"/>
    <cellStyle name="Normal 3 4" xfId="15"/>
    <cellStyle name="Normal 4" xfId="4"/>
    <cellStyle name="Normal 4 2" xfId="18"/>
    <cellStyle name="Normal 4 3" xfId="19"/>
    <cellStyle name="Normal 4 4" xfId="17"/>
    <cellStyle name="Normal 5" xfId="20"/>
    <cellStyle name="Normal 5 2" xfId="22"/>
    <cellStyle name="Normal 6" xfId="23"/>
    <cellStyle name="Normal 7" xfId="5"/>
    <cellStyle name="Normal 8" xfId="30"/>
    <cellStyle name="Normal 9" xfId="33"/>
    <cellStyle name="Normale_Foglio1" xfId="2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99CC00"/>
      <color rgb="FF99CCFF"/>
      <color rgb="FF3366FF"/>
      <color rgb="FFFFCC99"/>
      <color rgb="FF3399FF"/>
      <color rgb="FF66CCFF"/>
      <color rgb="FF00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l02824/AppData/Local/Microsoft/Windows/INetCache/Content.Outlook/X6YO5I3G/rapoarte%20descarcate/prod%20peste%201%20MW%20report1657732978145.ht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657732978145"/>
    </sheetNames>
    <sheetDataSet>
      <sheetData sheetId="0" refreshError="1">
        <row r="5">
          <cell r="H5" t="str">
            <v>IMOBLES FORM SRL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
  <sheetViews>
    <sheetView zoomScale="70" zoomScaleNormal="70" workbookViewId="0">
      <selection activeCell="G7" sqref="G7"/>
    </sheetView>
  </sheetViews>
  <sheetFormatPr defaultRowHeight="15" x14ac:dyDescent="0.25"/>
  <cols>
    <col min="1" max="1" width="5.85546875" customWidth="1"/>
    <col min="2" max="2" width="41.85546875" customWidth="1"/>
    <col min="3" max="3" width="34" customWidth="1"/>
    <col min="4" max="4" width="14.7109375" customWidth="1"/>
    <col min="5" max="5" width="13" customWidth="1"/>
    <col min="7" max="7" width="33" customWidth="1"/>
    <col min="8" max="8" width="53.28515625" customWidth="1"/>
    <col min="9" max="9" width="24" customWidth="1"/>
    <col min="10" max="10" width="24" style="76" customWidth="1"/>
    <col min="11" max="11" width="24" style="64" customWidth="1"/>
    <col min="12" max="12" width="25" style="76" customWidth="1"/>
    <col min="13" max="13" width="14.140625" style="64"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5" ht="15.75" thickBot="1" x14ac:dyDescent="0.3"/>
    <row r="2" spans="1:25" x14ac:dyDescent="0.25">
      <c r="B2" s="23" t="s">
        <v>794</v>
      </c>
      <c r="C2" s="847">
        <v>45636</v>
      </c>
      <c r="D2" s="848"/>
      <c r="E2" s="848"/>
      <c r="F2" s="849"/>
      <c r="G2" s="24"/>
    </row>
    <row r="3" spans="1:25" ht="15.75" thickBot="1" x14ac:dyDescent="0.3">
      <c r="B3" s="25" t="s">
        <v>795</v>
      </c>
      <c r="C3" s="850" t="s">
        <v>796</v>
      </c>
      <c r="D3" s="850"/>
      <c r="E3" s="850"/>
      <c r="F3" s="851"/>
      <c r="G3" s="26"/>
    </row>
    <row r="4" spans="1:25" ht="15.75" x14ac:dyDescent="0.25">
      <c r="B4" s="27"/>
      <c r="C4" s="852" t="s">
        <v>797</v>
      </c>
      <c r="D4" s="852"/>
      <c r="E4" s="852"/>
      <c r="F4" s="853"/>
      <c r="G4" s="26"/>
    </row>
    <row r="5" spans="1:25" ht="15.75" thickBot="1" x14ac:dyDescent="0.3">
      <c r="B5" s="35"/>
      <c r="C5" s="858" t="s">
        <v>801</v>
      </c>
      <c r="D5" s="859"/>
      <c r="E5" s="859"/>
      <c r="F5" s="860"/>
    </row>
    <row r="6" spans="1:25" x14ac:dyDescent="0.25">
      <c r="B6" s="33"/>
      <c r="C6" s="861" t="s">
        <v>802</v>
      </c>
      <c r="D6" s="862"/>
      <c r="E6" s="862"/>
      <c r="F6" s="863"/>
    </row>
    <row r="7" spans="1:25" x14ac:dyDescent="0.25">
      <c r="B7" s="34"/>
      <c r="C7" s="864" t="s">
        <v>803</v>
      </c>
      <c r="D7" s="865"/>
      <c r="E7" s="865"/>
      <c r="F7" s="866"/>
    </row>
    <row r="8" spans="1:25" x14ac:dyDescent="0.25">
      <c r="B8" s="28"/>
      <c r="C8" s="854" t="s">
        <v>800</v>
      </c>
      <c r="D8" s="854"/>
      <c r="E8" s="854"/>
      <c r="F8" s="855"/>
      <c r="G8" s="26"/>
    </row>
    <row r="9" spans="1:25" x14ac:dyDescent="0.25">
      <c r="B9" s="32"/>
      <c r="C9" s="39" t="s">
        <v>799</v>
      </c>
      <c r="D9" s="40"/>
      <c r="E9" s="40"/>
      <c r="F9" s="41"/>
    </row>
    <row r="10" spans="1:25" ht="34.5" customHeight="1" x14ac:dyDescent="0.25">
      <c r="B10" s="29"/>
      <c r="C10" s="856" t="s">
        <v>804</v>
      </c>
      <c r="D10" s="856"/>
      <c r="E10" s="856"/>
      <c r="F10" s="857"/>
      <c r="G10" s="26" t="s">
        <v>798</v>
      </c>
    </row>
    <row r="11" spans="1:25" x14ac:dyDescent="0.25">
      <c r="B11" s="30"/>
      <c r="C11" s="42" t="s">
        <v>805</v>
      </c>
      <c r="D11" s="42"/>
      <c r="E11" s="42"/>
      <c r="F11" s="43"/>
      <c r="G11" s="26" t="s">
        <v>798</v>
      </c>
    </row>
    <row r="12" spans="1:25" x14ac:dyDescent="0.25">
      <c r="B12" s="31"/>
      <c r="C12" s="36" t="s">
        <v>806</v>
      </c>
      <c r="D12" s="37"/>
      <c r="E12" s="37"/>
      <c r="F12" s="38"/>
      <c r="G12" s="26" t="s">
        <v>798</v>
      </c>
    </row>
    <row r="15" spans="1:25" ht="15.75" thickBot="1" x14ac:dyDescent="0.3"/>
    <row r="16" spans="1:25" ht="39" thickBot="1" x14ac:dyDescent="0.3">
      <c r="A16" s="1" t="s">
        <v>28</v>
      </c>
      <c r="B16" s="4" t="s">
        <v>4</v>
      </c>
      <c r="C16" s="2" t="s">
        <v>5</v>
      </c>
      <c r="D16" s="4" t="s">
        <v>9</v>
      </c>
      <c r="E16" s="2" t="s">
        <v>2</v>
      </c>
      <c r="F16" s="2" t="s">
        <v>23</v>
      </c>
      <c r="G16" s="2" t="s">
        <v>10</v>
      </c>
      <c r="H16" s="2" t="s">
        <v>0</v>
      </c>
      <c r="I16" s="2" t="s">
        <v>11</v>
      </c>
      <c r="J16" s="77" t="s">
        <v>12</v>
      </c>
      <c r="K16" s="65" t="s">
        <v>13</v>
      </c>
      <c r="L16" s="482" t="s">
        <v>14</v>
      </c>
      <c r="M16" s="67" t="s">
        <v>24</v>
      </c>
      <c r="N16" s="7" t="s">
        <v>15</v>
      </c>
      <c r="O16" s="2" t="s">
        <v>16</v>
      </c>
      <c r="P16" s="2" t="s">
        <v>17</v>
      </c>
      <c r="Q16" s="2" t="s">
        <v>18</v>
      </c>
      <c r="R16" s="6" t="s">
        <v>19</v>
      </c>
      <c r="S16" s="6" t="s">
        <v>20</v>
      </c>
      <c r="T16" s="6" t="s">
        <v>21</v>
      </c>
      <c r="U16" s="6" t="s">
        <v>22</v>
      </c>
      <c r="V16" s="8" t="s">
        <v>26</v>
      </c>
      <c r="W16" s="3" t="s">
        <v>27</v>
      </c>
      <c r="Y16" s="86"/>
    </row>
    <row r="17" spans="1:25" ht="51" x14ac:dyDescent="0.25">
      <c r="A17" s="16">
        <v>1</v>
      </c>
      <c r="B17" s="11" t="s">
        <v>50</v>
      </c>
      <c r="C17" s="11" t="s">
        <v>51</v>
      </c>
      <c r="D17" s="11" t="s">
        <v>52</v>
      </c>
      <c r="E17" s="526">
        <v>225.37</v>
      </c>
      <c r="F17" s="11">
        <v>220</v>
      </c>
      <c r="G17" s="11" t="s">
        <v>53</v>
      </c>
      <c r="H17" s="11" t="s">
        <v>54</v>
      </c>
      <c r="I17" s="16" t="s">
        <v>61</v>
      </c>
      <c r="J17" s="483" t="s">
        <v>55</v>
      </c>
      <c r="K17" s="13">
        <v>41254</v>
      </c>
      <c r="L17" s="483"/>
      <c r="M17" s="13"/>
      <c r="N17" s="11">
        <v>2026</v>
      </c>
      <c r="O17" s="12"/>
      <c r="P17" s="12"/>
      <c r="Q17" s="12"/>
      <c r="R17" s="12"/>
      <c r="S17" s="12"/>
      <c r="T17" s="12"/>
      <c r="U17" s="12"/>
      <c r="V17" s="12">
        <v>0</v>
      </c>
      <c r="W17" s="14">
        <v>225.37</v>
      </c>
      <c r="Y17" s="86"/>
    </row>
    <row r="18" spans="1:25" ht="51" x14ac:dyDescent="0.25">
      <c r="A18" s="16">
        <v>2</v>
      </c>
      <c r="B18" s="15" t="s">
        <v>56</v>
      </c>
      <c r="C18" s="16" t="s">
        <v>57</v>
      </c>
      <c r="D18" s="15" t="s">
        <v>58</v>
      </c>
      <c r="E18" s="16">
        <v>98</v>
      </c>
      <c r="F18" s="514">
        <v>110</v>
      </c>
      <c r="G18" s="16" t="s">
        <v>59</v>
      </c>
      <c r="H18" s="17" t="s">
        <v>60</v>
      </c>
      <c r="I18" s="16" t="s">
        <v>61</v>
      </c>
      <c r="J18" s="484" t="s">
        <v>62</v>
      </c>
      <c r="K18" s="19">
        <v>44313</v>
      </c>
      <c r="L18" s="484"/>
      <c r="M18" s="19"/>
      <c r="N18" s="16">
        <v>2024</v>
      </c>
      <c r="O18" s="16"/>
      <c r="P18" s="16"/>
      <c r="Q18" s="18"/>
      <c r="R18" s="18"/>
      <c r="S18" s="18"/>
      <c r="T18" s="18"/>
      <c r="U18" s="18"/>
      <c r="V18" s="18"/>
      <c r="W18" s="18">
        <v>98</v>
      </c>
      <c r="Y18" s="86"/>
    </row>
    <row r="19" spans="1:25" ht="51" x14ac:dyDescent="0.25">
      <c r="A19" s="16">
        <v>3</v>
      </c>
      <c r="B19" s="15" t="s">
        <v>63</v>
      </c>
      <c r="C19" s="16" t="s">
        <v>64</v>
      </c>
      <c r="D19" s="16" t="s">
        <v>65</v>
      </c>
      <c r="E19" s="16">
        <v>210</v>
      </c>
      <c r="F19" s="16">
        <v>400</v>
      </c>
      <c r="G19" s="16" t="s">
        <v>66</v>
      </c>
      <c r="H19" s="17" t="s">
        <v>67</v>
      </c>
      <c r="I19" s="16" t="s">
        <v>61</v>
      </c>
      <c r="J19" s="484" t="s">
        <v>68</v>
      </c>
      <c r="K19" s="19">
        <v>44554</v>
      </c>
      <c r="L19" s="484"/>
      <c r="M19" s="19"/>
      <c r="N19" s="19">
        <v>45657</v>
      </c>
      <c r="O19" s="16"/>
      <c r="P19" s="19"/>
      <c r="Q19" s="20"/>
      <c r="R19" s="20"/>
      <c r="S19" s="20"/>
      <c r="T19" s="20"/>
      <c r="U19" s="20"/>
      <c r="V19" s="20"/>
      <c r="W19" s="20">
        <v>214</v>
      </c>
      <c r="Y19" s="86"/>
    </row>
    <row r="20" spans="1:25" ht="25.5" x14ac:dyDescent="0.25">
      <c r="A20" s="16">
        <v>4</v>
      </c>
      <c r="B20" s="15" t="s">
        <v>69</v>
      </c>
      <c r="C20" s="16" t="s">
        <v>70</v>
      </c>
      <c r="D20" s="16" t="s">
        <v>71</v>
      </c>
      <c r="E20" s="16">
        <v>54.1</v>
      </c>
      <c r="F20" s="16">
        <v>220</v>
      </c>
      <c r="G20" s="16" t="s">
        <v>72</v>
      </c>
      <c r="H20" s="17" t="s">
        <v>73</v>
      </c>
      <c r="I20" s="16" t="s">
        <v>61</v>
      </c>
      <c r="J20" s="484" t="s">
        <v>74</v>
      </c>
      <c r="K20" s="19">
        <v>44575</v>
      </c>
      <c r="L20" s="484"/>
      <c r="M20" s="19"/>
      <c r="N20" s="19">
        <v>46022</v>
      </c>
      <c r="O20" s="16"/>
      <c r="P20" s="19"/>
      <c r="Q20" s="18"/>
      <c r="R20" s="18"/>
      <c r="S20" s="18"/>
      <c r="T20" s="18"/>
      <c r="U20" s="18"/>
      <c r="V20" s="18"/>
      <c r="W20" s="18">
        <v>54.1</v>
      </c>
      <c r="Y20" s="86"/>
    </row>
    <row r="22" spans="1:25" x14ac:dyDescent="0.25">
      <c r="Y22" s="86"/>
    </row>
    <row r="23" spans="1:25" ht="63.75" x14ac:dyDescent="0.25">
      <c r="A23" s="45">
        <v>1</v>
      </c>
      <c r="B23" s="476" t="s">
        <v>161</v>
      </c>
      <c r="C23" s="45" t="s">
        <v>162</v>
      </c>
      <c r="D23" s="45" t="s">
        <v>163</v>
      </c>
      <c r="E23" s="45">
        <v>6.4779999999999998</v>
      </c>
      <c r="F23" s="45">
        <v>20</v>
      </c>
      <c r="G23" s="45" t="s">
        <v>164</v>
      </c>
      <c r="H23" s="440" t="s">
        <v>3707</v>
      </c>
      <c r="I23" s="45" t="s">
        <v>165</v>
      </c>
      <c r="J23" s="238">
        <v>6916</v>
      </c>
      <c r="K23" s="63" t="s">
        <v>166</v>
      </c>
      <c r="L23" s="238">
        <v>7505</v>
      </c>
      <c r="M23" s="63">
        <v>40942</v>
      </c>
      <c r="N23" s="45" t="s">
        <v>167</v>
      </c>
      <c r="O23" s="45" t="s">
        <v>167</v>
      </c>
      <c r="P23" s="45" t="s">
        <v>167</v>
      </c>
      <c r="Q23" s="45" t="s">
        <v>167</v>
      </c>
      <c r="R23" s="45" t="s">
        <v>167</v>
      </c>
      <c r="S23" s="45" t="s">
        <v>167</v>
      </c>
      <c r="T23" s="45" t="s">
        <v>167</v>
      </c>
      <c r="U23" s="440">
        <v>0.11650000000000001</v>
      </c>
      <c r="V23" s="440">
        <v>0</v>
      </c>
      <c r="W23" s="440">
        <v>6.4779999999999998</v>
      </c>
      <c r="Y23" s="86"/>
    </row>
    <row r="24" spans="1:25" ht="61.5" customHeight="1" x14ac:dyDescent="0.25">
      <c r="A24" s="229">
        <v>2</v>
      </c>
      <c r="B24" s="258" t="s">
        <v>4151</v>
      </c>
      <c r="C24" s="229" t="s">
        <v>4152</v>
      </c>
      <c r="D24" s="229" t="s">
        <v>173</v>
      </c>
      <c r="E24" s="229">
        <v>5</v>
      </c>
      <c r="F24" s="229" t="s">
        <v>4153</v>
      </c>
      <c r="G24" s="229" t="s">
        <v>4154</v>
      </c>
      <c r="H24" s="566" t="s">
        <v>4155</v>
      </c>
      <c r="I24" s="229" t="s">
        <v>165</v>
      </c>
      <c r="J24" s="229">
        <v>12517935</v>
      </c>
      <c r="K24" s="233">
        <v>45184</v>
      </c>
      <c r="L24" s="229">
        <v>12517935</v>
      </c>
      <c r="M24" s="288">
        <v>45278</v>
      </c>
      <c r="N24" s="258" t="s">
        <v>167</v>
      </c>
      <c r="O24" s="229" t="s">
        <v>25</v>
      </c>
      <c r="P24" s="229" t="s">
        <v>25</v>
      </c>
      <c r="Q24" s="229" t="s">
        <v>25</v>
      </c>
      <c r="R24" s="229" t="s">
        <v>167</v>
      </c>
      <c r="S24" s="229" t="s">
        <v>167</v>
      </c>
      <c r="T24" s="229" t="s">
        <v>167</v>
      </c>
      <c r="U24" s="566">
        <v>100</v>
      </c>
      <c r="V24" s="566">
        <v>0</v>
      </c>
      <c r="W24" s="566">
        <v>5</v>
      </c>
      <c r="Y24" s="86"/>
    </row>
    <row r="25" spans="1:25" s="86" customFormat="1" x14ac:dyDescent="0.25">
      <c r="A25" s="137"/>
      <c r="B25" s="137"/>
      <c r="C25" s="137"/>
      <c r="D25" s="137"/>
      <c r="E25" s="137"/>
      <c r="F25" s="137"/>
      <c r="G25" s="137"/>
      <c r="H25" s="137"/>
      <c r="I25" s="137"/>
      <c r="J25" s="239"/>
      <c r="K25" s="138"/>
      <c r="L25" s="239"/>
      <c r="M25" s="138"/>
      <c r="N25" s="137"/>
      <c r="O25" s="137"/>
      <c r="P25" s="137"/>
      <c r="Q25" s="137"/>
      <c r="R25" s="137"/>
      <c r="S25" s="137"/>
      <c r="T25" s="137"/>
      <c r="U25" s="137"/>
      <c r="V25" s="137"/>
      <c r="W25" s="137"/>
    </row>
    <row r="26" spans="1:25" ht="39.75" customHeight="1" x14ac:dyDescent="0.25">
      <c r="A26" s="501">
        <v>1</v>
      </c>
      <c r="B26" s="501" t="s">
        <v>1709</v>
      </c>
      <c r="C26" s="501" t="s">
        <v>1710</v>
      </c>
      <c r="D26" s="501" t="s">
        <v>1711</v>
      </c>
      <c r="E26" s="501">
        <v>140.94999999999999</v>
      </c>
      <c r="F26" s="501">
        <v>110</v>
      </c>
      <c r="G26" s="501" t="s">
        <v>1712</v>
      </c>
      <c r="H26" s="501" t="s">
        <v>1713</v>
      </c>
      <c r="I26" s="501" t="s">
        <v>102</v>
      </c>
      <c r="J26" s="568">
        <v>10551513</v>
      </c>
      <c r="K26" s="503">
        <v>44797</v>
      </c>
      <c r="L26" s="568"/>
      <c r="M26" s="503"/>
      <c r="N26" s="501"/>
      <c r="O26" s="501"/>
      <c r="P26" s="501"/>
      <c r="Q26" s="501" t="s">
        <v>1714</v>
      </c>
      <c r="R26" s="501"/>
      <c r="S26" s="501"/>
      <c r="T26" s="501"/>
      <c r="U26" s="501"/>
      <c r="V26" s="501">
        <v>0</v>
      </c>
      <c r="W26" s="501">
        <v>140.94999999999999</v>
      </c>
      <c r="Y26" s="86"/>
    </row>
    <row r="27" spans="1:25" ht="39.75" customHeight="1" x14ac:dyDescent="0.25">
      <c r="A27" s="381">
        <v>2</v>
      </c>
      <c r="B27" s="395" t="s">
        <v>4178</v>
      </c>
      <c r="C27" s="381" t="s">
        <v>4179</v>
      </c>
      <c r="D27" s="381" t="s">
        <v>1711</v>
      </c>
      <c r="E27" s="381">
        <v>55.134999999999998</v>
      </c>
      <c r="F27" s="381">
        <v>110</v>
      </c>
      <c r="G27" s="381" t="s">
        <v>4180</v>
      </c>
      <c r="H27" s="381" t="s">
        <v>4181</v>
      </c>
      <c r="I27" s="381" t="s">
        <v>102</v>
      </c>
      <c r="J27" s="381">
        <v>18767908</v>
      </c>
      <c r="K27" s="382">
        <v>45295</v>
      </c>
      <c r="L27" s="381"/>
      <c r="M27" s="381"/>
      <c r="N27" s="381"/>
      <c r="O27" s="381"/>
      <c r="P27" s="381" t="s">
        <v>4182</v>
      </c>
      <c r="Q27" s="381">
        <v>0</v>
      </c>
      <c r="R27" s="381"/>
      <c r="S27" s="381"/>
      <c r="T27" s="381"/>
      <c r="U27" s="381"/>
      <c r="V27" s="381">
        <v>0</v>
      </c>
      <c r="W27" s="381">
        <v>55.134999999999998</v>
      </c>
      <c r="Y27" s="86"/>
    </row>
    <row r="28" spans="1:25" ht="39.75" customHeight="1" x14ac:dyDescent="0.25">
      <c r="A28" s="381">
        <v>3</v>
      </c>
      <c r="B28" s="647" t="s">
        <v>6052</v>
      </c>
      <c r="C28" s="381" t="s">
        <v>6053</v>
      </c>
      <c r="D28" s="381" t="s">
        <v>1711</v>
      </c>
      <c r="E28" s="381">
        <v>44.99</v>
      </c>
      <c r="F28" s="381">
        <v>110</v>
      </c>
      <c r="G28" s="381" t="s">
        <v>6054</v>
      </c>
      <c r="H28" s="381"/>
      <c r="I28" s="381" t="s">
        <v>6055</v>
      </c>
      <c r="J28" s="381">
        <v>10409253</v>
      </c>
      <c r="K28" s="382">
        <v>45596</v>
      </c>
      <c r="L28" s="381"/>
      <c r="M28" s="381"/>
      <c r="N28" s="381"/>
      <c r="O28" s="381"/>
      <c r="P28" s="381" t="s">
        <v>6056</v>
      </c>
      <c r="Q28" s="381" t="s">
        <v>4511</v>
      </c>
      <c r="R28" s="381"/>
      <c r="S28" s="381"/>
      <c r="T28" s="381"/>
      <c r="U28" s="381"/>
      <c r="V28" s="381">
        <v>0</v>
      </c>
      <c r="W28" s="381">
        <v>44.99</v>
      </c>
      <c r="Y28" s="86"/>
    </row>
    <row r="29" spans="1:25" x14ac:dyDescent="0.25">
      <c r="Y29" s="86"/>
    </row>
    <row r="30" spans="1:25" ht="38.25" x14ac:dyDescent="0.25">
      <c r="A30" s="44">
        <v>1</v>
      </c>
      <c r="B30" s="261" t="s">
        <v>282</v>
      </c>
      <c r="C30" s="261" t="s">
        <v>283</v>
      </c>
      <c r="D30" s="44" t="s">
        <v>284</v>
      </c>
      <c r="E30" s="44">
        <v>22.8</v>
      </c>
      <c r="F30" s="44">
        <v>110</v>
      </c>
      <c r="G30" s="44" t="s">
        <v>285</v>
      </c>
      <c r="H30" s="44" t="s">
        <v>286</v>
      </c>
      <c r="I30" s="44" t="s">
        <v>287</v>
      </c>
      <c r="J30" s="79">
        <v>1003477141</v>
      </c>
      <c r="K30" s="62">
        <v>44244</v>
      </c>
      <c r="L30" s="417">
        <v>1004241088</v>
      </c>
      <c r="M30" s="374">
        <v>44616</v>
      </c>
      <c r="N30" s="62">
        <v>45473</v>
      </c>
      <c r="O30" s="261" t="s">
        <v>25</v>
      </c>
      <c r="P30" s="261" t="s">
        <v>25</v>
      </c>
      <c r="Q30" s="261" t="s">
        <v>25</v>
      </c>
      <c r="R30" s="44"/>
      <c r="S30" s="44"/>
      <c r="T30" s="44"/>
      <c r="U30" s="44"/>
      <c r="V30" s="44"/>
      <c r="W30" s="44">
        <v>22.8</v>
      </c>
      <c r="Y30" s="86"/>
    </row>
    <row r="31" spans="1:25" ht="51" x14ac:dyDescent="0.25">
      <c r="A31" s="44">
        <v>2</v>
      </c>
      <c r="B31" s="261" t="s">
        <v>288</v>
      </c>
      <c r="C31" s="261" t="s">
        <v>289</v>
      </c>
      <c r="D31" s="44" t="s">
        <v>290</v>
      </c>
      <c r="E31" s="44">
        <v>49.8</v>
      </c>
      <c r="F31" s="44">
        <v>110</v>
      </c>
      <c r="G31" s="44" t="s">
        <v>291</v>
      </c>
      <c r="H31" s="44" t="s">
        <v>292</v>
      </c>
      <c r="I31" s="44" t="s">
        <v>287</v>
      </c>
      <c r="J31" s="79">
        <v>793</v>
      </c>
      <c r="K31" s="62">
        <v>44461</v>
      </c>
      <c r="L31" s="417">
        <v>32</v>
      </c>
      <c r="M31" s="374">
        <v>44798</v>
      </c>
      <c r="N31" s="62">
        <v>45657</v>
      </c>
      <c r="O31" s="261" t="s">
        <v>25</v>
      </c>
      <c r="P31" s="261" t="s">
        <v>25</v>
      </c>
      <c r="Q31" s="261" t="s">
        <v>25</v>
      </c>
      <c r="R31" s="44"/>
      <c r="S31" s="44"/>
      <c r="T31" s="44"/>
      <c r="U31" s="44"/>
      <c r="V31" s="44"/>
      <c r="W31" s="44">
        <v>49.8</v>
      </c>
      <c r="Y31" s="86"/>
    </row>
    <row r="32" spans="1:25" ht="38.25" x14ac:dyDescent="0.25">
      <c r="A32" s="44">
        <v>3</v>
      </c>
      <c r="B32" s="261" t="s">
        <v>294</v>
      </c>
      <c r="C32" s="261" t="s">
        <v>295</v>
      </c>
      <c r="D32" s="44" t="s">
        <v>296</v>
      </c>
      <c r="E32" s="310">
        <v>74.400000000000006</v>
      </c>
      <c r="F32" s="44">
        <v>110</v>
      </c>
      <c r="G32" s="44" t="s">
        <v>297</v>
      </c>
      <c r="H32" s="44" t="s">
        <v>298</v>
      </c>
      <c r="I32" s="44" t="s">
        <v>287</v>
      </c>
      <c r="J32" s="417">
        <v>1005237307</v>
      </c>
      <c r="K32" s="374">
        <v>45125</v>
      </c>
      <c r="L32" s="417">
        <v>1005240634</v>
      </c>
      <c r="M32" s="374">
        <v>45133</v>
      </c>
      <c r="N32" s="374">
        <v>45657</v>
      </c>
      <c r="O32" s="261" t="s">
        <v>25</v>
      </c>
      <c r="P32" s="261" t="s">
        <v>25</v>
      </c>
      <c r="Q32" s="261" t="s">
        <v>25</v>
      </c>
      <c r="R32" s="372"/>
      <c r="S32" s="372"/>
      <c r="T32" s="372"/>
      <c r="U32" s="372"/>
      <c r="V32" s="372"/>
      <c r="W32" s="372">
        <v>74.400000000000006</v>
      </c>
      <c r="Y32" s="86"/>
    </row>
    <row r="33" spans="1:25" ht="25.5" x14ac:dyDescent="0.25">
      <c r="A33" s="44">
        <v>4</v>
      </c>
      <c r="B33" s="44" t="s">
        <v>299</v>
      </c>
      <c r="C33" s="44" t="s">
        <v>300</v>
      </c>
      <c r="D33" s="44" t="s">
        <v>301</v>
      </c>
      <c r="E33" s="44">
        <v>40</v>
      </c>
      <c r="F33" s="44">
        <v>110</v>
      </c>
      <c r="G33" s="44" t="s">
        <v>302</v>
      </c>
      <c r="H33" s="44" t="s">
        <v>303</v>
      </c>
      <c r="I33" s="44" t="s">
        <v>287</v>
      </c>
      <c r="J33" s="79">
        <v>1000214991</v>
      </c>
      <c r="K33" s="62" t="s">
        <v>304</v>
      </c>
      <c r="L33" s="79">
        <v>1000405649</v>
      </c>
      <c r="M33" s="62" t="s">
        <v>305</v>
      </c>
      <c r="N33" s="62">
        <v>45657</v>
      </c>
      <c r="O33" s="261" t="s">
        <v>25</v>
      </c>
      <c r="P33" s="261" t="s">
        <v>25</v>
      </c>
      <c r="Q33" s="261" t="s">
        <v>25</v>
      </c>
      <c r="R33" s="44"/>
      <c r="S33" s="44"/>
      <c r="T33" s="44"/>
      <c r="U33" s="44"/>
      <c r="V33" s="44"/>
      <c r="W33" s="44">
        <v>40</v>
      </c>
      <c r="Y33" s="86"/>
    </row>
    <row r="34" spans="1:25" ht="25.5" x14ac:dyDescent="0.25">
      <c r="A34" s="44">
        <v>5</v>
      </c>
      <c r="B34" s="44" t="s">
        <v>306</v>
      </c>
      <c r="C34" s="44" t="s">
        <v>307</v>
      </c>
      <c r="D34" s="44" t="s">
        <v>301</v>
      </c>
      <c r="E34" s="44">
        <v>60</v>
      </c>
      <c r="F34" s="44">
        <v>110</v>
      </c>
      <c r="G34" s="44" t="s">
        <v>308</v>
      </c>
      <c r="H34" s="44" t="s">
        <v>309</v>
      </c>
      <c r="I34" s="44" t="s">
        <v>287</v>
      </c>
      <c r="J34" s="79">
        <v>1000199659</v>
      </c>
      <c r="K34" s="62" t="s">
        <v>310</v>
      </c>
      <c r="L34" s="79">
        <v>1000448617</v>
      </c>
      <c r="M34" s="62" t="s">
        <v>311</v>
      </c>
      <c r="N34" s="62">
        <v>46022</v>
      </c>
      <c r="O34" s="261" t="s">
        <v>25</v>
      </c>
      <c r="P34" s="261" t="s">
        <v>25</v>
      </c>
      <c r="Q34" s="261" t="s">
        <v>25</v>
      </c>
      <c r="R34" s="775">
        <v>1005723489</v>
      </c>
      <c r="S34" s="776">
        <v>45505</v>
      </c>
      <c r="T34" s="775">
        <v>60</v>
      </c>
      <c r="U34" s="775"/>
      <c r="V34" s="724">
        <v>60</v>
      </c>
      <c r="W34" s="724">
        <v>0</v>
      </c>
      <c r="Y34" s="86"/>
    </row>
    <row r="35" spans="1:25" ht="25.5" x14ac:dyDescent="0.25">
      <c r="A35" s="44">
        <v>6</v>
      </c>
      <c r="B35" s="44" t="s">
        <v>312</v>
      </c>
      <c r="C35" s="44" t="s">
        <v>313</v>
      </c>
      <c r="D35" s="44" t="s">
        <v>301</v>
      </c>
      <c r="E35" s="44">
        <v>10</v>
      </c>
      <c r="F35" s="44">
        <v>110</v>
      </c>
      <c r="G35" s="44" t="s">
        <v>302</v>
      </c>
      <c r="H35" s="44" t="s">
        <v>303</v>
      </c>
      <c r="I35" s="44" t="s">
        <v>287</v>
      </c>
      <c r="J35" s="79">
        <v>1000220461</v>
      </c>
      <c r="K35" s="62" t="s">
        <v>314</v>
      </c>
      <c r="L35" s="79">
        <v>1000551781</v>
      </c>
      <c r="M35" s="62" t="s">
        <v>315</v>
      </c>
      <c r="N35" s="62">
        <v>45657</v>
      </c>
      <c r="O35" s="261" t="s">
        <v>25</v>
      </c>
      <c r="P35" s="261" t="s">
        <v>25</v>
      </c>
      <c r="Q35" s="261" t="s">
        <v>25</v>
      </c>
      <c r="R35" s="44"/>
      <c r="S35" s="44"/>
      <c r="T35" s="44"/>
      <c r="U35" s="44"/>
      <c r="V35" s="44"/>
      <c r="W35" s="44">
        <v>10</v>
      </c>
      <c r="Y35" s="86"/>
    </row>
    <row r="36" spans="1:25" ht="51" x14ac:dyDescent="0.25">
      <c r="A36" s="44">
        <v>7</v>
      </c>
      <c r="B36" s="44" t="s">
        <v>316</v>
      </c>
      <c r="C36" s="44" t="s">
        <v>317</v>
      </c>
      <c r="D36" s="44" t="s">
        <v>318</v>
      </c>
      <c r="E36" s="44">
        <v>42</v>
      </c>
      <c r="F36" s="44">
        <v>110</v>
      </c>
      <c r="G36" s="44" t="s">
        <v>319</v>
      </c>
      <c r="H36" s="44" t="s">
        <v>320</v>
      </c>
      <c r="I36" s="44" t="s">
        <v>287</v>
      </c>
      <c r="J36" s="79">
        <v>1003238785</v>
      </c>
      <c r="K36" s="62">
        <v>43985</v>
      </c>
      <c r="L36" s="79">
        <v>1003449796</v>
      </c>
      <c r="M36" s="62">
        <v>44271</v>
      </c>
      <c r="N36" s="62">
        <v>45080</v>
      </c>
      <c r="O36" s="261" t="s">
        <v>25</v>
      </c>
      <c r="P36" s="261" t="s">
        <v>25</v>
      </c>
      <c r="Q36" s="261" t="s">
        <v>25</v>
      </c>
      <c r="R36" s="44"/>
      <c r="S36" s="44"/>
      <c r="T36" s="44"/>
      <c r="U36" s="44"/>
      <c r="V36" s="44"/>
      <c r="W36" s="44">
        <v>42</v>
      </c>
      <c r="Y36" s="86"/>
    </row>
    <row r="37" spans="1:25" ht="38.25" x14ac:dyDescent="0.25">
      <c r="A37" s="44">
        <v>8</v>
      </c>
      <c r="B37" s="44" t="s">
        <v>321</v>
      </c>
      <c r="C37" s="44" t="s">
        <v>322</v>
      </c>
      <c r="D37" s="44" t="s">
        <v>318</v>
      </c>
      <c r="E37" s="44">
        <v>45</v>
      </c>
      <c r="F37" s="44">
        <v>110</v>
      </c>
      <c r="G37" s="44" t="s">
        <v>323</v>
      </c>
      <c r="H37" s="44" t="s">
        <v>324</v>
      </c>
      <c r="I37" s="44" t="s">
        <v>287</v>
      </c>
      <c r="J37" s="79">
        <v>1003416139</v>
      </c>
      <c r="K37" s="62">
        <v>44141</v>
      </c>
      <c r="L37" s="79">
        <v>1003932050</v>
      </c>
      <c r="M37" s="62">
        <v>44497</v>
      </c>
      <c r="N37" s="62">
        <v>44926</v>
      </c>
      <c r="O37" s="261" t="s">
        <v>25</v>
      </c>
      <c r="P37" s="261" t="s">
        <v>25</v>
      </c>
      <c r="Q37" s="261" t="s">
        <v>25</v>
      </c>
      <c r="R37" s="44"/>
      <c r="S37" s="44"/>
      <c r="T37" s="44"/>
      <c r="U37" s="44"/>
      <c r="V37" s="44"/>
      <c r="W37" s="44">
        <v>45</v>
      </c>
      <c r="Y37" s="86"/>
    </row>
    <row r="38" spans="1:25" ht="38.25" x14ac:dyDescent="0.25">
      <c r="A38" s="44">
        <v>9</v>
      </c>
      <c r="B38" s="44" t="s">
        <v>325</v>
      </c>
      <c r="C38" s="44" t="s">
        <v>326</v>
      </c>
      <c r="D38" s="44" t="s">
        <v>296</v>
      </c>
      <c r="E38" s="44">
        <v>47.7</v>
      </c>
      <c r="F38" s="44">
        <v>110</v>
      </c>
      <c r="G38" s="44" t="s">
        <v>327</v>
      </c>
      <c r="H38" s="44" t="s">
        <v>328</v>
      </c>
      <c r="I38" s="44" t="s">
        <v>287</v>
      </c>
      <c r="J38" s="79">
        <v>1003568147</v>
      </c>
      <c r="K38" s="62">
        <v>44393</v>
      </c>
      <c r="L38" s="79">
        <v>1003992320</v>
      </c>
      <c r="M38" s="62">
        <v>44496</v>
      </c>
      <c r="N38" s="62">
        <v>45291</v>
      </c>
      <c r="O38" s="261" t="s">
        <v>25</v>
      </c>
      <c r="P38" s="261" t="s">
        <v>25</v>
      </c>
      <c r="Q38" s="261" t="s">
        <v>25</v>
      </c>
      <c r="R38" s="44"/>
      <c r="S38" s="44"/>
      <c r="T38" s="44"/>
      <c r="U38" s="44"/>
      <c r="V38" s="44"/>
      <c r="W38" s="44">
        <v>47.7</v>
      </c>
      <c r="Y38" s="86"/>
    </row>
    <row r="39" spans="1:25" ht="38.25" x14ac:dyDescent="0.25">
      <c r="A39" s="44">
        <v>10</v>
      </c>
      <c r="B39" s="44" t="s">
        <v>329</v>
      </c>
      <c r="C39" s="44" t="s">
        <v>330</v>
      </c>
      <c r="D39" s="44" t="s">
        <v>296</v>
      </c>
      <c r="E39" s="44">
        <v>31.8</v>
      </c>
      <c r="F39" s="44">
        <v>110</v>
      </c>
      <c r="G39" s="44" t="s">
        <v>331</v>
      </c>
      <c r="H39" s="44" t="s">
        <v>332</v>
      </c>
      <c r="I39" s="44" t="s">
        <v>287</v>
      </c>
      <c r="J39" s="79">
        <v>1003568282</v>
      </c>
      <c r="K39" s="62">
        <v>44393</v>
      </c>
      <c r="L39" s="79">
        <v>1003940042</v>
      </c>
      <c r="M39" s="62">
        <v>44498</v>
      </c>
      <c r="N39" s="62">
        <v>45657</v>
      </c>
      <c r="O39" s="261" t="s">
        <v>25</v>
      </c>
      <c r="P39" s="261" t="s">
        <v>25</v>
      </c>
      <c r="Q39" s="261" t="s">
        <v>25</v>
      </c>
      <c r="R39" s="44"/>
      <c r="S39" s="44"/>
      <c r="T39" s="44"/>
      <c r="U39" s="44"/>
      <c r="V39" s="44"/>
      <c r="W39" s="44">
        <v>31.8</v>
      </c>
      <c r="Y39" s="86"/>
    </row>
    <row r="41" spans="1:25" x14ac:dyDescent="0.25">
      <c r="A41" s="29">
        <v>1</v>
      </c>
      <c r="B41" s="375" t="s">
        <v>857</v>
      </c>
      <c r="C41" s="375" t="s">
        <v>858</v>
      </c>
      <c r="D41" s="375" t="s">
        <v>859</v>
      </c>
      <c r="E41" s="375">
        <v>8</v>
      </c>
      <c r="F41" s="375">
        <v>20</v>
      </c>
      <c r="G41" s="375" t="s">
        <v>860</v>
      </c>
      <c r="H41" s="375" t="s">
        <v>861</v>
      </c>
      <c r="I41" s="375" t="s">
        <v>899</v>
      </c>
      <c r="J41" s="425">
        <v>3020210803209</v>
      </c>
      <c r="K41" s="427" t="s">
        <v>862</v>
      </c>
      <c r="L41" s="425" t="s">
        <v>3607</v>
      </c>
      <c r="M41" s="375" t="s">
        <v>3608</v>
      </c>
      <c r="N41" s="375"/>
      <c r="O41" s="375" t="s">
        <v>25</v>
      </c>
      <c r="P41" s="375" t="s">
        <v>25</v>
      </c>
      <c r="Q41" s="375" t="s">
        <v>25</v>
      </c>
      <c r="R41" s="375" t="s">
        <v>25</v>
      </c>
      <c r="S41" s="375"/>
      <c r="T41" s="375"/>
      <c r="U41" s="375"/>
      <c r="V41" s="375"/>
      <c r="W41" s="375"/>
    </row>
    <row r="42" spans="1:25" x14ac:dyDescent="0.25">
      <c r="A42" s="29">
        <v>2</v>
      </c>
      <c r="B42" s="375" t="s">
        <v>863</v>
      </c>
      <c r="C42" s="375" t="s">
        <v>864</v>
      </c>
      <c r="D42" s="375" t="s">
        <v>859</v>
      </c>
      <c r="E42" s="375">
        <v>8</v>
      </c>
      <c r="F42" s="375">
        <v>20</v>
      </c>
      <c r="G42" s="375" t="s">
        <v>865</v>
      </c>
      <c r="H42" s="375" t="s">
        <v>866</v>
      </c>
      <c r="I42" s="375" t="s">
        <v>899</v>
      </c>
      <c r="J42" s="425">
        <v>3020210803216</v>
      </c>
      <c r="K42" s="427" t="s">
        <v>867</v>
      </c>
      <c r="L42" s="425" t="s">
        <v>3609</v>
      </c>
      <c r="M42" s="375" t="s">
        <v>2692</v>
      </c>
      <c r="N42" s="375"/>
      <c r="O42" s="375" t="s">
        <v>25</v>
      </c>
      <c r="P42" s="375" t="s">
        <v>25</v>
      </c>
      <c r="Q42" s="375" t="s">
        <v>25</v>
      </c>
      <c r="R42" s="375" t="s">
        <v>25</v>
      </c>
      <c r="S42" s="375"/>
      <c r="T42" s="375"/>
      <c r="U42" s="375"/>
      <c r="V42" s="375"/>
      <c r="W42" s="375"/>
    </row>
    <row r="43" spans="1:25" x14ac:dyDescent="0.25">
      <c r="A43" s="29">
        <v>3</v>
      </c>
      <c r="B43" s="375" t="s">
        <v>868</v>
      </c>
      <c r="C43" s="375" t="s">
        <v>869</v>
      </c>
      <c r="D43" s="375" t="s">
        <v>859</v>
      </c>
      <c r="E43" s="375">
        <v>10</v>
      </c>
      <c r="F43" s="375">
        <v>20</v>
      </c>
      <c r="G43" s="375" t="s">
        <v>870</v>
      </c>
      <c r="H43" s="375" t="s">
        <v>866</v>
      </c>
      <c r="I43" s="375" t="s">
        <v>899</v>
      </c>
      <c r="J43" s="425">
        <v>3020210803464</v>
      </c>
      <c r="K43" s="427" t="s">
        <v>871</v>
      </c>
      <c r="L43" s="425" t="s">
        <v>3610</v>
      </c>
      <c r="M43" s="375" t="s">
        <v>3611</v>
      </c>
      <c r="N43" s="375"/>
      <c r="O43" s="375" t="s">
        <v>25</v>
      </c>
      <c r="P43" s="375" t="s">
        <v>25</v>
      </c>
      <c r="Q43" s="375" t="s">
        <v>25</v>
      </c>
      <c r="R43" s="375" t="s">
        <v>25</v>
      </c>
      <c r="S43" s="375"/>
      <c r="T43" s="375"/>
      <c r="U43" s="375"/>
      <c r="V43" s="375"/>
      <c r="W43" s="375"/>
    </row>
    <row r="44" spans="1:25" x14ac:dyDescent="0.25">
      <c r="A44" s="29">
        <v>4</v>
      </c>
      <c r="B44" s="375" t="s">
        <v>872</v>
      </c>
      <c r="C44" s="375" t="s">
        <v>873</v>
      </c>
      <c r="D44" s="375" t="s">
        <v>874</v>
      </c>
      <c r="E44" s="375">
        <v>24.8</v>
      </c>
      <c r="F44" s="375">
        <v>110</v>
      </c>
      <c r="G44" s="375" t="s">
        <v>875</v>
      </c>
      <c r="H44" s="375" t="s">
        <v>876</v>
      </c>
      <c r="I44" s="375" t="s">
        <v>899</v>
      </c>
      <c r="J44" s="425">
        <v>3050211107533</v>
      </c>
      <c r="K44" s="427" t="s">
        <v>877</v>
      </c>
      <c r="L44" s="425" t="s">
        <v>3612</v>
      </c>
      <c r="M44" s="455" t="s">
        <v>2679</v>
      </c>
      <c r="N44" s="375"/>
      <c r="O44" s="375" t="s">
        <v>25</v>
      </c>
      <c r="P44" s="375" t="s">
        <v>25</v>
      </c>
      <c r="Q44" s="375" t="s">
        <v>25</v>
      </c>
      <c r="R44" s="375" t="s">
        <v>25</v>
      </c>
      <c r="S44" s="375"/>
      <c r="T44" s="375"/>
      <c r="U44" s="375"/>
      <c r="V44" s="375"/>
      <c r="W44" s="375"/>
    </row>
    <row r="45" spans="1:25" x14ac:dyDescent="0.25">
      <c r="A45" s="29">
        <v>5</v>
      </c>
      <c r="B45" s="375" t="s">
        <v>878</v>
      </c>
      <c r="C45" s="375" t="s">
        <v>879</v>
      </c>
      <c r="D45" s="375" t="s">
        <v>874</v>
      </c>
      <c r="E45" s="375">
        <v>44.8</v>
      </c>
      <c r="F45" s="375">
        <v>110</v>
      </c>
      <c r="G45" s="375" t="s">
        <v>880</v>
      </c>
      <c r="H45" s="375" t="s">
        <v>881</v>
      </c>
      <c r="I45" s="375" t="s">
        <v>899</v>
      </c>
      <c r="J45" s="425">
        <v>3050211207963</v>
      </c>
      <c r="K45" s="427" t="s">
        <v>882</v>
      </c>
      <c r="L45" s="425" t="s">
        <v>3613</v>
      </c>
      <c r="M45" s="427">
        <v>44915</v>
      </c>
      <c r="N45" s="375"/>
      <c r="O45" s="375" t="s">
        <v>25</v>
      </c>
      <c r="P45" s="375" t="s">
        <v>25</v>
      </c>
      <c r="Q45" s="375" t="s">
        <v>883</v>
      </c>
      <c r="R45" s="375" t="s">
        <v>25</v>
      </c>
      <c r="S45" s="375"/>
      <c r="T45" s="375"/>
      <c r="U45" s="375"/>
      <c r="V45" s="375"/>
      <c r="W45" s="375"/>
    </row>
    <row r="46" spans="1:25" x14ac:dyDescent="0.25">
      <c r="A46" s="29">
        <v>6</v>
      </c>
      <c r="B46" s="375" t="s">
        <v>884</v>
      </c>
      <c r="C46" s="375" t="s">
        <v>885</v>
      </c>
      <c r="D46" s="375" t="s">
        <v>886</v>
      </c>
      <c r="E46" s="375">
        <v>129.333</v>
      </c>
      <c r="F46" s="375">
        <v>110</v>
      </c>
      <c r="G46" s="375" t="s">
        <v>887</v>
      </c>
      <c r="H46" s="375" t="s">
        <v>888</v>
      </c>
      <c r="I46" s="375" t="s">
        <v>899</v>
      </c>
      <c r="J46" s="425">
        <v>3030211205598</v>
      </c>
      <c r="K46" s="427" t="s">
        <v>882</v>
      </c>
      <c r="L46" s="425">
        <v>1925</v>
      </c>
      <c r="M46" s="455" t="s">
        <v>889</v>
      </c>
      <c r="N46" s="375"/>
      <c r="O46" s="375" t="s">
        <v>25</v>
      </c>
      <c r="P46" s="375" t="s">
        <v>890</v>
      </c>
      <c r="Q46" s="375" t="s">
        <v>25</v>
      </c>
      <c r="R46" s="375" t="s">
        <v>25</v>
      </c>
      <c r="S46" s="375"/>
      <c r="T46" s="375"/>
      <c r="U46" s="375"/>
      <c r="V46" s="375"/>
      <c r="W46" s="375"/>
    </row>
    <row r="47" spans="1:25" x14ac:dyDescent="0.25">
      <c r="A47" s="29">
        <v>7</v>
      </c>
      <c r="B47" s="375" t="s">
        <v>878</v>
      </c>
      <c r="C47" s="375" t="s">
        <v>891</v>
      </c>
      <c r="D47" s="375" t="s">
        <v>874</v>
      </c>
      <c r="E47" s="375">
        <v>61.6</v>
      </c>
      <c r="F47" s="375">
        <v>110</v>
      </c>
      <c r="G47" s="375" t="s">
        <v>892</v>
      </c>
      <c r="H47" s="375" t="s">
        <v>893</v>
      </c>
      <c r="I47" s="375" t="s">
        <v>899</v>
      </c>
      <c r="J47" s="425">
        <v>3050211207968</v>
      </c>
      <c r="K47" s="427" t="s">
        <v>882</v>
      </c>
      <c r="L47" s="425" t="s">
        <v>3614</v>
      </c>
      <c r="M47" s="427">
        <v>44915</v>
      </c>
      <c r="N47" s="375"/>
      <c r="O47" s="375" t="s">
        <v>25</v>
      </c>
      <c r="P47" s="375" t="s">
        <v>894</v>
      </c>
      <c r="Q47" s="375" t="s">
        <v>895</v>
      </c>
      <c r="R47" s="375" t="s">
        <v>25</v>
      </c>
      <c r="S47" s="375"/>
      <c r="T47" s="375"/>
      <c r="U47" s="375"/>
      <c r="V47" s="375"/>
      <c r="W47" s="375"/>
    </row>
    <row r="48" spans="1:25" x14ac:dyDescent="0.25">
      <c r="A48" s="29">
        <v>8</v>
      </c>
      <c r="B48" s="375" t="s">
        <v>878</v>
      </c>
      <c r="C48" s="375" t="s">
        <v>896</v>
      </c>
      <c r="D48" s="375" t="s">
        <v>874</v>
      </c>
      <c r="E48" s="375">
        <v>56</v>
      </c>
      <c r="F48" s="375" t="s">
        <v>897</v>
      </c>
      <c r="G48" s="375" t="s">
        <v>892</v>
      </c>
      <c r="H48" s="375" t="s">
        <v>898</v>
      </c>
      <c r="I48" s="375" t="s">
        <v>899</v>
      </c>
      <c r="J48" s="425">
        <v>3050211207972</v>
      </c>
      <c r="K48" s="427" t="s">
        <v>882</v>
      </c>
      <c r="L48" s="425" t="s">
        <v>3615</v>
      </c>
      <c r="M48" s="427">
        <v>44915</v>
      </c>
      <c r="N48" s="375"/>
      <c r="O48" s="375" t="s">
        <v>25</v>
      </c>
      <c r="P48" s="375" t="s">
        <v>894</v>
      </c>
      <c r="Q48" s="375" t="s">
        <v>895</v>
      </c>
      <c r="R48" s="375" t="s">
        <v>25</v>
      </c>
      <c r="S48" s="375"/>
      <c r="T48" s="375"/>
      <c r="U48" s="375"/>
      <c r="V48" s="375"/>
      <c r="W48" s="375"/>
    </row>
    <row r="49" spans="1:23" ht="77.25" x14ac:dyDescent="0.25">
      <c r="A49" s="29">
        <v>9</v>
      </c>
      <c r="B49" s="375" t="s">
        <v>1171</v>
      </c>
      <c r="C49" s="375" t="s">
        <v>1172</v>
      </c>
      <c r="D49" s="375" t="s">
        <v>874</v>
      </c>
      <c r="E49" s="375">
        <v>10.35</v>
      </c>
      <c r="F49" s="375">
        <v>20</v>
      </c>
      <c r="G49" s="375" t="s">
        <v>1173</v>
      </c>
      <c r="H49" s="375" t="s">
        <v>1174</v>
      </c>
      <c r="I49" s="375" t="s">
        <v>899</v>
      </c>
      <c r="J49" s="425" t="s">
        <v>1175</v>
      </c>
      <c r="K49" s="427" t="s">
        <v>985</v>
      </c>
      <c r="L49" s="425" t="s">
        <v>3616</v>
      </c>
      <c r="M49" s="427">
        <v>45028</v>
      </c>
      <c r="N49" s="375"/>
      <c r="O49" s="375"/>
      <c r="P49" s="456" t="s">
        <v>3618</v>
      </c>
      <c r="Q49" s="375"/>
      <c r="R49" s="375"/>
      <c r="S49" s="375"/>
      <c r="T49" s="375"/>
      <c r="U49" s="375"/>
      <c r="V49" s="375"/>
      <c r="W49" s="375"/>
    </row>
    <row r="50" spans="1:23" ht="29.25" customHeight="1" x14ac:dyDescent="0.25">
      <c r="A50" s="29">
        <v>10</v>
      </c>
      <c r="B50" s="280" t="s">
        <v>2147</v>
      </c>
      <c r="C50" s="280" t="s">
        <v>2148</v>
      </c>
      <c r="D50" s="280" t="s">
        <v>874</v>
      </c>
      <c r="E50" s="280">
        <v>12</v>
      </c>
      <c r="F50" s="280">
        <v>20</v>
      </c>
      <c r="G50" s="280" t="s">
        <v>2149</v>
      </c>
      <c r="H50" s="457" t="s">
        <v>2150</v>
      </c>
      <c r="I50" s="375" t="s">
        <v>899</v>
      </c>
      <c r="J50" s="458">
        <v>3050210603952</v>
      </c>
      <c r="K50" s="459">
        <v>44916</v>
      </c>
      <c r="L50" s="425" t="s">
        <v>4259</v>
      </c>
      <c r="M50" s="427">
        <v>45278</v>
      </c>
      <c r="N50" s="280"/>
      <c r="O50" s="280"/>
      <c r="P50" s="460" t="s">
        <v>2151</v>
      </c>
      <c r="Q50" s="280"/>
      <c r="R50" s="280"/>
      <c r="S50" s="280"/>
      <c r="T50" s="280"/>
      <c r="U50" s="280"/>
      <c r="V50" s="280"/>
      <c r="W50" s="280"/>
    </row>
    <row r="51" spans="1:23" ht="29.25" customHeight="1" x14ac:dyDescent="0.25">
      <c r="A51" s="29">
        <v>11</v>
      </c>
      <c r="B51" s="280" t="s">
        <v>2818</v>
      </c>
      <c r="C51" s="280" t="s">
        <v>2819</v>
      </c>
      <c r="D51" s="280" t="s">
        <v>874</v>
      </c>
      <c r="E51" s="457">
        <v>48</v>
      </c>
      <c r="F51" s="280">
        <v>110</v>
      </c>
      <c r="G51" s="280" t="s">
        <v>2820</v>
      </c>
      <c r="H51" s="280" t="s">
        <v>963</v>
      </c>
      <c r="I51" s="249" t="s">
        <v>2411</v>
      </c>
      <c r="J51" s="458">
        <v>3050211006935</v>
      </c>
      <c r="K51" s="459">
        <v>45040</v>
      </c>
      <c r="L51" s="425"/>
      <c r="M51" s="427"/>
      <c r="N51" s="280"/>
      <c r="O51" s="280"/>
      <c r="P51" s="460"/>
      <c r="Q51" s="280"/>
      <c r="R51" s="280"/>
      <c r="S51" s="280"/>
      <c r="T51" s="280"/>
      <c r="U51" s="540"/>
      <c r="V51" s="280"/>
      <c r="W51" s="280"/>
    </row>
    <row r="52" spans="1:23" ht="29.25" customHeight="1" x14ac:dyDescent="0.25">
      <c r="A52" s="29">
        <v>12</v>
      </c>
      <c r="B52" s="280" t="s">
        <v>2821</v>
      </c>
      <c r="C52" s="280" t="s">
        <v>2822</v>
      </c>
      <c r="D52" s="280" t="s">
        <v>2460</v>
      </c>
      <c r="E52" s="457">
        <v>49.6</v>
      </c>
      <c r="F52" s="280">
        <v>110</v>
      </c>
      <c r="G52" s="280" t="s">
        <v>2823</v>
      </c>
      <c r="H52" s="280" t="s">
        <v>963</v>
      </c>
      <c r="I52" s="249" t="s">
        <v>2411</v>
      </c>
      <c r="J52" s="458">
        <v>3020220406445</v>
      </c>
      <c r="K52" s="459">
        <v>45021</v>
      </c>
      <c r="L52" s="425" t="s">
        <v>4672</v>
      </c>
      <c r="M52" s="427">
        <v>45351</v>
      </c>
      <c r="N52" s="280"/>
      <c r="O52" s="280"/>
      <c r="P52" s="460"/>
      <c r="Q52" s="280"/>
      <c r="R52" s="280"/>
      <c r="S52" s="280"/>
      <c r="T52" s="280"/>
      <c r="U52" s="280"/>
      <c r="V52" s="280"/>
      <c r="W52" s="280"/>
    </row>
    <row r="53" spans="1:23" ht="29.25" customHeight="1" x14ac:dyDescent="0.25">
      <c r="A53" s="136">
        <v>13</v>
      </c>
      <c r="B53" s="280" t="s">
        <v>3019</v>
      </c>
      <c r="C53" s="280" t="s">
        <v>3020</v>
      </c>
      <c r="D53" s="280" t="s">
        <v>874</v>
      </c>
      <c r="E53" s="280">
        <v>12.6</v>
      </c>
      <c r="F53" s="280">
        <v>20</v>
      </c>
      <c r="G53" s="280" t="s">
        <v>3021</v>
      </c>
      <c r="H53" s="280" t="s">
        <v>963</v>
      </c>
      <c r="I53" s="249" t="s">
        <v>2411</v>
      </c>
      <c r="J53" s="458">
        <v>3050230417482</v>
      </c>
      <c r="K53" s="459">
        <v>45077</v>
      </c>
      <c r="L53" s="458" t="s">
        <v>3617</v>
      </c>
      <c r="M53" s="459">
        <v>45114</v>
      </c>
      <c r="N53" s="280"/>
      <c r="O53" s="280"/>
      <c r="P53" s="460" t="s">
        <v>3022</v>
      </c>
      <c r="Q53" s="280"/>
      <c r="R53" s="280"/>
      <c r="S53" s="280"/>
      <c r="T53" s="280"/>
      <c r="U53" s="280"/>
      <c r="V53" s="280"/>
      <c r="W53" s="280"/>
    </row>
    <row r="54" spans="1:23" ht="29.25" customHeight="1" x14ac:dyDescent="0.25">
      <c r="A54" s="136">
        <v>14</v>
      </c>
      <c r="B54" s="280" t="s">
        <v>3163</v>
      </c>
      <c r="C54" s="280" t="s">
        <v>3164</v>
      </c>
      <c r="D54" s="280" t="s">
        <v>859</v>
      </c>
      <c r="E54" s="457">
        <v>48.3</v>
      </c>
      <c r="F54" s="280">
        <v>110</v>
      </c>
      <c r="G54" s="280" t="s">
        <v>3165</v>
      </c>
      <c r="H54" s="280" t="s">
        <v>3166</v>
      </c>
      <c r="I54" s="249" t="s">
        <v>2411</v>
      </c>
      <c r="J54" s="458">
        <v>3020220908002</v>
      </c>
      <c r="K54" s="459">
        <v>45086</v>
      </c>
      <c r="L54" s="458"/>
      <c r="M54" s="280"/>
      <c r="N54" s="280"/>
      <c r="O54" s="280"/>
      <c r="P54" s="460"/>
      <c r="Q54" s="280"/>
      <c r="R54" s="280"/>
      <c r="S54" s="280"/>
      <c r="T54" s="280"/>
      <c r="U54" s="541"/>
      <c r="V54" s="280"/>
      <c r="W54" s="280"/>
    </row>
    <row r="55" spans="1:23" ht="29.25" customHeight="1" x14ac:dyDescent="0.25">
      <c r="A55" s="136">
        <v>15</v>
      </c>
      <c r="B55" s="280" t="s">
        <v>3237</v>
      </c>
      <c r="C55" s="280" t="s">
        <v>3238</v>
      </c>
      <c r="D55" s="280" t="s">
        <v>874</v>
      </c>
      <c r="E55" s="457">
        <v>6.2</v>
      </c>
      <c r="F55" s="280">
        <v>20</v>
      </c>
      <c r="G55" s="280" t="s">
        <v>3239</v>
      </c>
      <c r="H55" s="280" t="s">
        <v>963</v>
      </c>
      <c r="I55" s="249" t="s">
        <v>2411</v>
      </c>
      <c r="J55" s="458">
        <v>3050220209293</v>
      </c>
      <c r="K55" s="459">
        <v>44781</v>
      </c>
      <c r="L55" s="458" t="s">
        <v>3240</v>
      </c>
      <c r="M55" s="459">
        <v>45139</v>
      </c>
      <c r="N55" s="280"/>
      <c r="O55" s="280"/>
      <c r="P55" s="460"/>
      <c r="Q55" s="280"/>
      <c r="R55" s="280"/>
      <c r="S55" s="280"/>
      <c r="T55" s="280"/>
      <c r="U55" s="672" t="s">
        <v>3885</v>
      </c>
      <c r="V55" s="280"/>
      <c r="W55" s="280"/>
    </row>
    <row r="56" spans="1:23" ht="29.25" customHeight="1" x14ac:dyDescent="0.25">
      <c r="A56" s="530">
        <v>16</v>
      </c>
      <c r="B56" s="531" t="s">
        <v>3457</v>
      </c>
      <c r="C56" s="531" t="s">
        <v>3458</v>
      </c>
      <c r="D56" s="531" t="s">
        <v>874</v>
      </c>
      <c r="E56" s="531">
        <v>72</v>
      </c>
      <c r="F56" s="531">
        <v>110</v>
      </c>
      <c r="G56" s="531" t="s">
        <v>3459</v>
      </c>
      <c r="H56" s="531" t="s">
        <v>963</v>
      </c>
      <c r="I56" s="532" t="s">
        <v>2411</v>
      </c>
      <c r="J56" s="533">
        <v>3050230619153</v>
      </c>
      <c r="K56" s="534">
        <v>45148</v>
      </c>
      <c r="L56" s="533"/>
      <c r="M56" s="531"/>
      <c r="N56" s="531"/>
      <c r="O56" s="531"/>
      <c r="P56" s="535"/>
      <c r="Q56" s="531"/>
      <c r="R56" s="531"/>
      <c r="S56" s="531"/>
      <c r="T56" s="531"/>
      <c r="U56" s="531"/>
      <c r="V56" s="531"/>
      <c r="W56" s="531"/>
    </row>
    <row r="57" spans="1:23" ht="29.25" customHeight="1" x14ac:dyDescent="0.25">
      <c r="A57" s="136">
        <v>17</v>
      </c>
      <c r="B57" s="280" t="s">
        <v>3878</v>
      </c>
      <c r="C57" s="280" t="s">
        <v>3879</v>
      </c>
      <c r="D57" s="280" t="s">
        <v>874</v>
      </c>
      <c r="E57" s="280">
        <v>49.6</v>
      </c>
      <c r="F57" s="280">
        <v>110</v>
      </c>
      <c r="G57" s="280" t="s">
        <v>3880</v>
      </c>
      <c r="H57" s="280" t="s">
        <v>963</v>
      </c>
      <c r="I57" s="249" t="s">
        <v>2411</v>
      </c>
      <c r="J57" s="458">
        <v>3050220209348</v>
      </c>
      <c r="K57" s="459">
        <v>44887</v>
      </c>
      <c r="L57" s="280" t="s">
        <v>3881</v>
      </c>
      <c r="M57" s="459">
        <v>45247</v>
      </c>
      <c r="N57" s="280"/>
      <c r="O57" s="280"/>
      <c r="P57" s="460"/>
      <c r="Q57" s="280"/>
      <c r="R57" s="280"/>
      <c r="S57" s="280"/>
      <c r="T57" s="280"/>
      <c r="U57" s="280"/>
      <c r="V57" s="280"/>
      <c r="W57" s="280"/>
    </row>
    <row r="58" spans="1:23" ht="29.25" customHeight="1" x14ac:dyDescent="0.25">
      <c r="A58" s="136">
        <v>18</v>
      </c>
      <c r="B58" s="280" t="s">
        <v>3882</v>
      </c>
      <c r="C58" s="280" t="s">
        <v>3883</v>
      </c>
      <c r="D58" s="280" t="s">
        <v>859</v>
      </c>
      <c r="E58" s="457">
        <v>59.6</v>
      </c>
      <c r="F58" s="280">
        <v>110</v>
      </c>
      <c r="G58" s="280" t="s">
        <v>3884</v>
      </c>
      <c r="H58" s="280" t="s">
        <v>963</v>
      </c>
      <c r="I58" s="249" t="s">
        <v>2411</v>
      </c>
      <c r="J58" s="458">
        <v>3020220205819</v>
      </c>
      <c r="K58" s="459">
        <v>44889</v>
      </c>
      <c r="L58" s="280" t="s">
        <v>3881</v>
      </c>
      <c r="M58" s="459">
        <v>45247</v>
      </c>
      <c r="N58" s="280"/>
      <c r="O58" s="280"/>
      <c r="P58" s="460"/>
      <c r="Q58" s="280"/>
      <c r="R58" s="280"/>
      <c r="S58" s="280"/>
      <c r="T58" s="280"/>
      <c r="U58" s="280"/>
      <c r="V58" s="280"/>
      <c r="W58" s="280"/>
    </row>
    <row r="59" spans="1:23" ht="29.25" customHeight="1" x14ac:dyDescent="0.25">
      <c r="A59" s="136">
        <v>19</v>
      </c>
      <c r="B59" s="280" t="s">
        <v>4033</v>
      </c>
      <c r="C59" s="280" t="s">
        <v>3020</v>
      </c>
      <c r="D59" s="280" t="s">
        <v>2837</v>
      </c>
      <c r="E59" s="457">
        <v>21</v>
      </c>
      <c r="F59" s="280"/>
      <c r="G59" s="280"/>
      <c r="H59" s="280" t="s">
        <v>963</v>
      </c>
      <c r="I59" s="249" t="s">
        <v>2411</v>
      </c>
      <c r="J59" s="458">
        <v>3050220209347</v>
      </c>
      <c r="K59" s="459">
        <v>44826</v>
      </c>
      <c r="L59" s="280" t="s">
        <v>4034</v>
      </c>
      <c r="M59" s="459">
        <v>45268</v>
      </c>
      <c r="N59" s="280"/>
      <c r="O59" s="280"/>
      <c r="P59" s="460"/>
      <c r="Q59" s="280"/>
      <c r="R59" s="280"/>
      <c r="S59" s="280"/>
      <c r="T59" s="280"/>
      <c r="U59" s="280"/>
      <c r="V59" s="280"/>
      <c r="W59" s="280"/>
    </row>
    <row r="60" spans="1:23" ht="29.25" customHeight="1" x14ac:dyDescent="0.25">
      <c r="A60" s="136">
        <v>20</v>
      </c>
      <c r="B60" s="280" t="s">
        <v>4560</v>
      </c>
      <c r="C60" s="280" t="s">
        <v>4561</v>
      </c>
      <c r="D60" s="280" t="s">
        <v>874</v>
      </c>
      <c r="E60" s="280">
        <v>36</v>
      </c>
      <c r="F60" s="280">
        <v>110</v>
      </c>
      <c r="G60" s="280" t="s">
        <v>4562</v>
      </c>
      <c r="H60" s="280" t="s">
        <v>963</v>
      </c>
      <c r="I60" s="249" t="s">
        <v>2411</v>
      </c>
      <c r="J60" s="458">
        <v>3050220209346</v>
      </c>
      <c r="K60" s="459">
        <v>44960</v>
      </c>
      <c r="L60" s="280" t="s">
        <v>4563</v>
      </c>
      <c r="M60" s="459">
        <v>45303</v>
      </c>
      <c r="N60" s="280"/>
      <c r="O60" s="280"/>
      <c r="P60" s="460"/>
      <c r="Q60" s="280"/>
      <c r="R60" s="280"/>
      <c r="S60" s="280"/>
      <c r="T60" s="280"/>
      <c r="U60" s="673" t="s">
        <v>4943</v>
      </c>
      <c r="V60" s="280"/>
      <c r="W60" s="280"/>
    </row>
    <row r="61" spans="1:23" ht="29.25" customHeight="1" x14ac:dyDescent="0.25">
      <c r="A61" s="136">
        <v>21</v>
      </c>
      <c r="B61" s="280" t="s">
        <v>4940</v>
      </c>
      <c r="C61" s="280" t="s">
        <v>3035</v>
      </c>
      <c r="D61" s="280" t="s">
        <v>2460</v>
      </c>
      <c r="E61" s="457">
        <v>29.9</v>
      </c>
      <c r="F61" s="280">
        <v>110</v>
      </c>
      <c r="G61" s="280" t="s">
        <v>4941</v>
      </c>
      <c r="H61" s="280" t="s">
        <v>963</v>
      </c>
      <c r="I61" s="249" t="s">
        <v>2411</v>
      </c>
      <c r="J61" s="458">
        <v>3020240401172</v>
      </c>
      <c r="K61" s="459">
        <v>45404</v>
      </c>
      <c r="L61" s="280" t="s">
        <v>4942</v>
      </c>
      <c r="M61" s="459">
        <v>45432</v>
      </c>
      <c r="N61" s="280"/>
      <c r="O61" s="280"/>
      <c r="P61" s="460"/>
      <c r="Q61" s="280"/>
      <c r="R61" s="280"/>
      <c r="S61" s="280"/>
      <c r="T61" s="280"/>
      <c r="U61" s="280"/>
      <c r="V61" s="280"/>
      <c r="W61" s="280"/>
    </row>
    <row r="62" spans="1:23" ht="29.25" customHeight="1" x14ac:dyDescent="0.25">
      <c r="A62" s="136">
        <v>22</v>
      </c>
      <c r="B62" s="280" t="s">
        <v>5246</v>
      </c>
      <c r="C62" s="280" t="s">
        <v>5247</v>
      </c>
      <c r="D62" s="280" t="s">
        <v>2460</v>
      </c>
      <c r="E62" s="280">
        <v>48.121000000000002</v>
      </c>
      <c r="F62" s="280">
        <v>110</v>
      </c>
      <c r="G62" s="280" t="s">
        <v>5248</v>
      </c>
      <c r="H62" s="280" t="s">
        <v>963</v>
      </c>
      <c r="I62" s="249" t="s">
        <v>2411</v>
      </c>
      <c r="J62" s="458">
        <v>3020221209178</v>
      </c>
      <c r="K62" s="459">
        <v>45470</v>
      </c>
      <c r="L62" s="280"/>
      <c r="M62" s="280"/>
      <c r="N62" s="280"/>
      <c r="O62" s="280"/>
      <c r="P62" s="460"/>
      <c r="Q62" s="280"/>
      <c r="R62" s="280"/>
      <c r="S62" s="280"/>
      <c r="T62" s="280"/>
      <c r="U62" s="280"/>
      <c r="V62" s="280"/>
      <c r="W62" s="280"/>
    </row>
    <row r="63" spans="1:23" ht="29.25" customHeight="1" x14ac:dyDescent="0.25">
      <c r="A63" s="136">
        <v>23</v>
      </c>
      <c r="B63" s="280" t="s">
        <v>4961</v>
      </c>
      <c r="C63" s="280" t="s">
        <v>4962</v>
      </c>
      <c r="D63" s="280" t="s">
        <v>2460</v>
      </c>
      <c r="E63" s="457">
        <v>47</v>
      </c>
      <c r="F63" s="280">
        <v>110</v>
      </c>
      <c r="G63" s="280" t="s">
        <v>4963</v>
      </c>
      <c r="H63" s="280" t="s">
        <v>963</v>
      </c>
      <c r="I63" s="249" t="s">
        <v>2411</v>
      </c>
      <c r="J63" s="458">
        <v>3020221209182</v>
      </c>
      <c r="K63" s="459">
        <v>45455</v>
      </c>
      <c r="L63" s="280"/>
      <c r="M63" s="280"/>
      <c r="N63" s="280"/>
      <c r="O63" s="280"/>
      <c r="P63" s="460"/>
      <c r="Q63" s="280"/>
      <c r="R63" s="280"/>
      <c r="S63" s="280"/>
      <c r="T63" s="280"/>
      <c r="U63" s="280"/>
      <c r="V63" s="280"/>
      <c r="W63" s="280"/>
    </row>
    <row r="64" spans="1:23" ht="29.25" customHeight="1" x14ac:dyDescent="0.25">
      <c r="A64" s="136">
        <v>24</v>
      </c>
      <c r="B64" s="280" t="s">
        <v>5249</v>
      </c>
      <c r="C64" s="280" t="s">
        <v>5250</v>
      </c>
      <c r="D64" s="280" t="s">
        <v>2460</v>
      </c>
      <c r="E64" s="457">
        <v>48.125999999999998</v>
      </c>
      <c r="F64" s="280">
        <v>110</v>
      </c>
      <c r="G64" s="280" t="s">
        <v>5251</v>
      </c>
      <c r="H64" s="280" t="s">
        <v>963</v>
      </c>
      <c r="I64" s="249" t="s">
        <v>2411</v>
      </c>
      <c r="J64" s="458">
        <v>3020221209284</v>
      </c>
      <c r="K64" s="459">
        <v>45470</v>
      </c>
      <c r="L64" s="280"/>
      <c r="M64" s="280"/>
      <c r="N64" s="280"/>
      <c r="O64" s="280"/>
      <c r="P64" s="460"/>
      <c r="Q64" s="280"/>
      <c r="R64" s="280"/>
      <c r="S64" s="280"/>
      <c r="T64" s="280"/>
      <c r="U64" s="280"/>
      <c r="V64" s="280"/>
      <c r="W64" s="280"/>
    </row>
    <row r="65" spans="1:23" s="103" customFormat="1" x14ac:dyDescent="0.25">
      <c r="A65" s="70"/>
      <c r="B65" s="536"/>
      <c r="C65" s="537"/>
      <c r="D65" s="537"/>
      <c r="E65" s="537"/>
      <c r="F65" s="537"/>
      <c r="G65" s="537"/>
      <c r="H65" s="537"/>
      <c r="I65" s="537"/>
      <c r="J65" s="538"/>
      <c r="K65" s="539"/>
      <c r="L65" s="538"/>
      <c r="M65" s="539"/>
      <c r="N65" s="537"/>
      <c r="O65" s="537"/>
      <c r="P65" s="537"/>
      <c r="Q65" s="537"/>
      <c r="R65" s="537"/>
      <c r="S65" s="537"/>
      <c r="T65" s="537"/>
      <c r="U65" s="537"/>
      <c r="V65" s="537"/>
      <c r="W65" s="537"/>
    </row>
    <row r="66" spans="1:23" x14ac:dyDescent="0.25">
      <c r="A66" s="30">
        <v>1</v>
      </c>
      <c r="B66" s="30" t="s">
        <v>2986</v>
      </c>
      <c r="C66" s="30" t="s">
        <v>2183</v>
      </c>
      <c r="D66" s="30" t="s">
        <v>1045</v>
      </c>
      <c r="E66" s="30">
        <v>15</v>
      </c>
      <c r="F66" s="30">
        <v>20</v>
      </c>
      <c r="G66" s="30" t="s">
        <v>2185</v>
      </c>
      <c r="H66" s="30"/>
      <c r="I66" s="30" t="s">
        <v>1026</v>
      </c>
      <c r="J66" s="83">
        <v>6020220214026</v>
      </c>
      <c r="K66" s="89">
        <v>44757</v>
      </c>
      <c r="L66" s="83" t="s">
        <v>2186</v>
      </c>
      <c r="M66" s="89">
        <v>44851</v>
      </c>
      <c r="N66" s="30"/>
      <c r="O66" s="30" t="s">
        <v>25</v>
      </c>
      <c r="P66" s="30" t="s">
        <v>25</v>
      </c>
      <c r="Q66" s="30" t="s">
        <v>25</v>
      </c>
      <c r="R66" s="83"/>
      <c r="S66" s="89"/>
      <c r="T66" s="30"/>
      <c r="U66" s="30"/>
      <c r="V66" s="30"/>
      <c r="W66" s="30"/>
    </row>
    <row r="67" spans="1:23" x14ac:dyDescent="0.25">
      <c r="A67" s="74">
        <v>2</v>
      </c>
      <c r="B67" s="250" t="s">
        <v>3591</v>
      </c>
      <c r="C67" s="250" t="s">
        <v>2184</v>
      </c>
      <c r="D67" s="74" t="s">
        <v>1039</v>
      </c>
      <c r="E67" s="180">
        <v>49.5</v>
      </c>
      <c r="F67" s="74">
        <v>110</v>
      </c>
      <c r="G67" s="74" t="s">
        <v>3592</v>
      </c>
      <c r="H67" s="74" t="s">
        <v>963</v>
      </c>
      <c r="I67" s="74" t="s">
        <v>1026</v>
      </c>
      <c r="J67" s="75">
        <v>6010220830226</v>
      </c>
      <c r="K67" s="181">
        <v>45119</v>
      </c>
      <c r="L67" s="75"/>
      <c r="M67" s="74"/>
      <c r="N67" s="74"/>
      <c r="O67" s="74"/>
      <c r="P67" s="74"/>
      <c r="Q67" s="74"/>
      <c r="R67" s="74"/>
      <c r="S67" s="74"/>
      <c r="T67" s="74"/>
      <c r="U67" s="74"/>
      <c r="V67" s="74"/>
      <c r="W67" s="74"/>
    </row>
    <row r="68" spans="1:23" x14ac:dyDescent="0.25">
      <c r="A68" s="74">
        <v>3</v>
      </c>
      <c r="B68" s="250" t="s">
        <v>4607</v>
      </c>
      <c r="C68" s="250" t="s">
        <v>2184</v>
      </c>
      <c r="D68" s="74" t="s">
        <v>4608</v>
      </c>
      <c r="E68" s="74">
        <v>40</v>
      </c>
      <c r="F68" s="74">
        <v>110</v>
      </c>
      <c r="G68" s="74" t="s">
        <v>4609</v>
      </c>
      <c r="H68" s="74" t="s">
        <v>963</v>
      </c>
      <c r="I68" s="74" t="s">
        <v>1026</v>
      </c>
      <c r="J68" s="75">
        <v>6020220718762</v>
      </c>
      <c r="K68" s="181">
        <v>45330</v>
      </c>
      <c r="L68" s="74" t="s">
        <v>116</v>
      </c>
      <c r="M68" s="181" t="s">
        <v>116</v>
      </c>
      <c r="N68" s="74"/>
      <c r="O68" s="74"/>
      <c r="P68" s="74"/>
      <c r="Q68" s="74"/>
      <c r="R68" s="74"/>
      <c r="S68" s="74"/>
      <c r="T68" s="74"/>
      <c r="U68" s="74"/>
      <c r="V68" s="74"/>
      <c r="W68" s="74"/>
    </row>
    <row r="70" spans="1:23" ht="21.75" customHeight="1" x14ac:dyDescent="0.25">
      <c r="A70" s="674">
        <v>1</v>
      </c>
      <c r="B70" s="674" t="s">
        <v>5026</v>
      </c>
      <c r="C70" s="674" t="s">
        <v>5027</v>
      </c>
      <c r="D70" s="674" t="s">
        <v>1080</v>
      </c>
      <c r="E70" s="674">
        <v>40</v>
      </c>
      <c r="F70" s="674" t="s">
        <v>5028</v>
      </c>
      <c r="G70" s="674" t="s">
        <v>5029</v>
      </c>
      <c r="H70" s="674" t="s">
        <v>963</v>
      </c>
      <c r="I70" s="674" t="s">
        <v>1075</v>
      </c>
      <c r="J70" s="675">
        <v>7040230819063</v>
      </c>
      <c r="K70" s="676">
        <v>45436</v>
      </c>
      <c r="L70" s="674"/>
      <c r="M70" s="674"/>
      <c r="N70" s="674"/>
      <c r="O70" s="674" t="s">
        <v>25</v>
      </c>
      <c r="P70" s="674" t="s">
        <v>25</v>
      </c>
      <c r="Q70" s="674" t="s">
        <v>25</v>
      </c>
      <c r="R70" s="674"/>
      <c r="S70" s="674"/>
      <c r="T70" s="674"/>
      <c r="U70" s="674"/>
      <c r="V70" s="674"/>
      <c r="W70" s="674"/>
    </row>
  </sheetData>
  <mergeCells count="8">
    <mergeCell ref="C2:F2"/>
    <mergeCell ref="C3:F3"/>
    <mergeCell ref="C4:F4"/>
    <mergeCell ref="C8:F8"/>
    <mergeCell ref="C10:F10"/>
    <mergeCell ref="C5:F5"/>
    <mergeCell ref="C6:F6"/>
    <mergeCell ref="C7:F7"/>
  </mergeCells>
  <conditionalFormatting sqref="U55">
    <cfRule type="duplicateValues" dxfId="17" priority="3"/>
    <cfRule type="duplicateValues" dxfId="16" priority="4"/>
    <cfRule type="duplicateValues" dxfId="15" priority="5"/>
    <cfRule type="duplicateValues" dxfId="14" priority="6"/>
  </conditionalFormatting>
  <conditionalFormatting sqref="U55">
    <cfRule type="duplicateValues" dxfId="13" priority="2"/>
  </conditionalFormatting>
  <conditionalFormatting sqref="U55">
    <cfRule type="duplicateValues" dxfId="12" priority="1"/>
  </conditionalFormatting>
  <pageMargins left="0.7" right="0.7" top="0.75" bottom="0.75" header="0.3" footer="0.3"/>
  <pageSetup paperSize="9" orientation="landscape" r:id="rId1"/>
  <headerFooter>
    <oddHeader>&amp;CCod: TEL – 07.50 Ed. I, rev. 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zoomScale="70" zoomScaleNormal="70" workbookViewId="0">
      <selection activeCell="H4" sqref="H4"/>
    </sheetView>
  </sheetViews>
  <sheetFormatPr defaultRowHeight="15" x14ac:dyDescent="0.25"/>
  <cols>
    <col min="1" max="1" width="5.85546875" customWidth="1"/>
    <col min="2" max="2" width="50.140625" customWidth="1"/>
    <col min="3" max="3" width="36" customWidth="1"/>
    <col min="4" max="4" width="14.7109375" customWidth="1"/>
    <col min="5" max="5" width="15.140625" customWidth="1"/>
    <col min="7" max="7" width="26.85546875" customWidth="1"/>
    <col min="8" max="8" width="53.28515625" customWidth="1"/>
    <col min="9" max="9" width="24" customWidth="1"/>
    <col min="10" max="10" width="24" style="76" customWidth="1"/>
    <col min="11" max="11" width="24" style="64" customWidth="1"/>
    <col min="12" max="13" width="14.140625"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6" ht="15.75" thickBot="1" x14ac:dyDescent="0.3"/>
    <row r="2" spans="1:26" x14ac:dyDescent="0.25">
      <c r="B2" s="23" t="s">
        <v>794</v>
      </c>
      <c r="C2" s="847">
        <v>45636</v>
      </c>
      <c r="D2" s="848"/>
      <c r="E2" s="848"/>
      <c r="F2" s="849"/>
      <c r="G2" s="24"/>
    </row>
    <row r="3" spans="1:26" ht="15.75" thickBot="1" x14ac:dyDescent="0.3">
      <c r="B3" s="25" t="s">
        <v>795</v>
      </c>
      <c r="C3" s="850" t="s">
        <v>796</v>
      </c>
      <c r="D3" s="850"/>
      <c r="E3" s="850"/>
      <c r="F3" s="851"/>
      <c r="G3" s="26"/>
    </row>
    <row r="4" spans="1:26" ht="15.75" x14ac:dyDescent="0.25">
      <c r="B4" s="27"/>
      <c r="C4" s="852" t="s">
        <v>797</v>
      </c>
      <c r="D4" s="852"/>
      <c r="E4" s="852"/>
      <c r="F4" s="853"/>
      <c r="G4" s="26"/>
    </row>
    <row r="5" spans="1:26" ht="15.75" thickBot="1" x14ac:dyDescent="0.3">
      <c r="B5" s="35"/>
      <c r="C5" s="858" t="s">
        <v>801</v>
      </c>
      <c r="D5" s="859"/>
      <c r="E5" s="859"/>
      <c r="F5" s="860"/>
    </row>
    <row r="6" spans="1:26" x14ac:dyDescent="0.25">
      <c r="B6" s="33"/>
      <c r="C6" s="861" t="s">
        <v>802</v>
      </c>
      <c r="D6" s="862"/>
      <c r="E6" s="862"/>
      <c r="F6" s="863"/>
    </row>
    <row r="7" spans="1:26" x14ac:dyDescent="0.25">
      <c r="B7" s="34"/>
      <c r="C7" s="864" t="s">
        <v>803</v>
      </c>
      <c r="D7" s="865"/>
      <c r="E7" s="865"/>
      <c r="F7" s="866"/>
    </row>
    <row r="8" spans="1:26" x14ac:dyDescent="0.25">
      <c r="B8" s="28"/>
      <c r="C8" s="854" t="s">
        <v>800</v>
      </c>
      <c r="D8" s="854"/>
      <c r="E8" s="854"/>
      <c r="F8" s="855"/>
      <c r="G8" s="26"/>
    </row>
    <row r="9" spans="1:26" x14ac:dyDescent="0.25">
      <c r="B9" s="32"/>
      <c r="C9" s="39" t="s">
        <v>799</v>
      </c>
      <c r="D9" s="40"/>
      <c r="E9" s="40"/>
      <c r="F9" s="41"/>
    </row>
    <row r="10" spans="1:26" x14ac:dyDescent="0.25">
      <c r="B10" s="29"/>
      <c r="C10" s="856" t="s">
        <v>804</v>
      </c>
      <c r="D10" s="856"/>
      <c r="E10" s="856"/>
      <c r="F10" s="857"/>
      <c r="G10" s="26" t="s">
        <v>798</v>
      </c>
    </row>
    <row r="11" spans="1:26" x14ac:dyDescent="0.25">
      <c r="B11" s="30"/>
      <c r="C11" s="42" t="s">
        <v>805</v>
      </c>
      <c r="D11" s="42"/>
      <c r="E11" s="42"/>
      <c r="F11" s="43"/>
      <c r="G11" s="26" t="s">
        <v>798</v>
      </c>
    </row>
    <row r="12" spans="1:26" x14ac:dyDescent="0.25">
      <c r="B12" s="31"/>
      <c r="C12" s="36" t="s">
        <v>806</v>
      </c>
      <c r="D12" s="37"/>
      <c r="E12" s="37"/>
      <c r="F12" s="38"/>
      <c r="G12" s="26" t="s">
        <v>798</v>
      </c>
    </row>
    <row r="13" spans="1:26" ht="15.75" thickBot="1" x14ac:dyDescent="0.3"/>
    <row r="14" spans="1:26" ht="39" thickBot="1" x14ac:dyDescent="0.3">
      <c r="A14" s="1" t="s">
        <v>28</v>
      </c>
      <c r="B14" s="4" t="s">
        <v>4</v>
      </c>
      <c r="C14" s="2" t="s">
        <v>5</v>
      </c>
      <c r="D14" s="4" t="s">
        <v>9</v>
      </c>
      <c r="E14" s="2" t="s">
        <v>2</v>
      </c>
      <c r="F14" s="2" t="s">
        <v>23</v>
      </c>
      <c r="G14" s="2" t="s">
        <v>10</v>
      </c>
      <c r="H14" s="2" t="s">
        <v>0</v>
      </c>
      <c r="I14" s="2" t="s">
        <v>11</v>
      </c>
      <c r="J14" s="77" t="s">
        <v>12</v>
      </c>
      <c r="K14" s="67" t="s">
        <v>13</v>
      </c>
      <c r="L14" s="2" t="s">
        <v>14</v>
      </c>
      <c r="M14" s="2" t="s">
        <v>24</v>
      </c>
      <c r="N14" s="7" t="s">
        <v>15</v>
      </c>
      <c r="O14" s="2" t="s">
        <v>16</v>
      </c>
      <c r="P14" s="2" t="s">
        <v>17</v>
      </c>
      <c r="Q14" s="2" t="s">
        <v>18</v>
      </c>
      <c r="R14" s="6" t="s">
        <v>19</v>
      </c>
      <c r="S14" s="6" t="s">
        <v>20</v>
      </c>
      <c r="T14" s="6" t="s">
        <v>21</v>
      </c>
      <c r="U14" s="6" t="s">
        <v>22</v>
      </c>
      <c r="V14" s="8" t="s">
        <v>26</v>
      </c>
      <c r="W14" s="3" t="s">
        <v>27</v>
      </c>
      <c r="Y14" s="86"/>
      <c r="Z14" s="86"/>
    </row>
    <row r="15" spans="1:26" ht="77.25" thickBot="1" x14ac:dyDescent="0.3">
      <c r="A15" s="46">
        <v>1</v>
      </c>
      <c r="B15" s="441" t="s">
        <v>146</v>
      </c>
      <c r="C15" s="46" t="s">
        <v>147</v>
      </c>
      <c r="D15" s="46" t="s">
        <v>148</v>
      </c>
      <c r="E15" s="46">
        <v>21.014959999999999</v>
      </c>
      <c r="F15" s="46">
        <v>110</v>
      </c>
      <c r="G15" s="46" t="s">
        <v>149</v>
      </c>
      <c r="H15" s="485" t="s">
        <v>3712</v>
      </c>
      <c r="I15" s="46" t="s">
        <v>150</v>
      </c>
      <c r="J15" s="78">
        <v>4939577</v>
      </c>
      <c r="K15" s="61">
        <v>44300</v>
      </c>
      <c r="L15" s="441">
        <v>4939577</v>
      </c>
      <c r="M15" s="442">
        <v>44657</v>
      </c>
      <c r="N15" s="441">
        <v>2024</v>
      </c>
      <c r="O15" s="46"/>
      <c r="P15" s="46"/>
      <c r="Q15" s="46"/>
      <c r="R15" s="46"/>
      <c r="S15" s="46"/>
      <c r="T15" s="46"/>
      <c r="U15" s="46">
        <v>7.0919999999999996</v>
      </c>
      <c r="V15" s="46"/>
      <c r="W15" s="46">
        <v>13.92296</v>
      </c>
      <c r="Y15" s="86"/>
      <c r="Z15" s="86"/>
    </row>
    <row r="16" spans="1:26" ht="89.25" x14ac:dyDescent="0.25">
      <c r="A16" s="200">
        <v>2</v>
      </c>
      <c r="B16" s="200" t="s">
        <v>146</v>
      </c>
      <c r="C16" s="200" t="s">
        <v>151</v>
      </c>
      <c r="D16" s="200" t="s">
        <v>152</v>
      </c>
      <c r="E16" s="200">
        <v>23.710979999999999</v>
      </c>
      <c r="F16" s="200">
        <v>110</v>
      </c>
      <c r="G16" s="200" t="s">
        <v>153</v>
      </c>
      <c r="H16" s="486" t="s">
        <v>3713</v>
      </c>
      <c r="I16" s="200" t="s">
        <v>150</v>
      </c>
      <c r="J16" s="320">
        <v>4039911</v>
      </c>
      <c r="K16" s="321">
        <v>44246</v>
      </c>
      <c r="L16" s="320">
        <v>4039911</v>
      </c>
      <c r="M16" s="321">
        <v>44607</v>
      </c>
      <c r="N16" s="200">
        <v>2024</v>
      </c>
      <c r="O16" s="322"/>
      <c r="P16" s="200"/>
      <c r="Q16" s="200"/>
      <c r="R16" s="200"/>
      <c r="S16" s="200"/>
      <c r="T16" s="200"/>
      <c r="U16" s="200">
        <v>0</v>
      </c>
      <c r="V16" s="200"/>
      <c r="W16" s="200">
        <v>23.710979999999999</v>
      </c>
      <c r="Y16" s="86"/>
      <c r="Z16" s="86"/>
    </row>
    <row r="17" spans="1:26" ht="25.5" x14ac:dyDescent="0.25">
      <c r="A17" s="139">
        <v>3</v>
      </c>
      <c r="B17" s="245" t="s">
        <v>2595</v>
      </c>
      <c r="C17" s="139" t="s">
        <v>2596</v>
      </c>
      <c r="D17" s="139" t="s">
        <v>152</v>
      </c>
      <c r="E17" s="139">
        <v>15.340999999999999</v>
      </c>
      <c r="F17" s="139">
        <v>110</v>
      </c>
      <c r="G17" s="139" t="s">
        <v>2597</v>
      </c>
      <c r="H17" s="139"/>
      <c r="I17" s="139" t="s">
        <v>150</v>
      </c>
      <c r="J17" s="139">
        <v>13109403</v>
      </c>
      <c r="K17" s="142">
        <v>45019</v>
      </c>
      <c r="L17" s="245">
        <v>13109403</v>
      </c>
      <c r="M17" s="403">
        <v>45215</v>
      </c>
      <c r="N17" s="139"/>
      <c r="O17" s="139"/>
      <c r="P17" s="139"/>
      <c r="Q17" s="139"/>
      <c r="R17" s="139"/>
      <c r="S17" s="139"/>
      <c r="T17" s="139"/>
      <c r="U17" s="139">
        <v>0</v>
      </c>
      <c r="V17" s="139"/>
      <c r="W17" s="139">
        <v>15.340999999999999</v>
      </c>
      <c r="Y17" s="86"/>
      <c r="Z17" s="86"/>
    </row>
    <row r="18" spans="1:26" ht="25.5" x14ac:dyDescent="0.25">
      <c r="A18" s="139">
        <v>4</v>
      </c>
      <c r="B18" s="245" t="s">
        <v>2595</v>
      </c>
      <c r="C18" s="245" t="s">
        <v>2937</v>
      </c>
      <c r="D18" s="139" t="s">
        <v>152</v>
      </c>
      <c r="E18" s="139">
        <v>11.085000000000001</v>
      </c>
      <c r="F18" s="139">
        <v>110</v>
      </c>
      <c r="G18" s="139" t="s">
        <v>2597</v>
      </c>
      <c r="H18" s="139"/>
      <c r="I18" s="139" t="s">
        <v>150</v>
      </c>
      <c r="J18" s="139">
        <v>13109021</v>
      </c>
      <c r="K18" s="142">
        <v>45061</v>
      </c>
      <c r="L18" s="245">
        <v>13109021</v>
      </c>
      <c r="M18" s="403">
        <v>45215</v>
      </c>
      <c r="N18" s="139"/>
      <c r="O18" s="139"/>
      <c r="P18" s="139"/>
      <c r="Q18" s="139"/>
      <c r="R18" s="139"/>
      <c r="S18" s="139"/>
      <c r="T18" s="139"/>
      <c r="U18" s="139">
        <v>0</v>
      </c>
      <c r="V18" s="139"/>
      <c r="W18" s="139">
        <v>11.085000000000001</v>
      </c>
      <c r="Y18" s="86"/>
      <c r="Z18" s="86"/>
    </row>
    <row r="19" spans="1:26" ht="25.5" x14ac:dyDescent="0.25">
      <c r="A19" s="139">
        <v>5</v>
      </c>
      <c r="B19" s="245" t="s">
        <v>2595</v>
      </c>
      <c r="C19" s="245" t="s">
        <v>2938</v>
      </c>
      <c r="D19" s="139" t="s">
        <v>152</v>
      </c>
      <c r="E19" s="139">
        <v>15.340999999999999</v>
      </c>
      <c r="F19" s="139">
        <v>110</v>
      </c>
      <c r="G19" s="139" t="s">
        <v>2597</v>
      </c>
      <c r="H19" s="139"/>
      <c r="I19" s="139" t="s">
        <v>150</v>
      </c>
      <c r="J19" s="139">
        <v>14617462</v>
      </c>
      <c r="K19" s="142">
        <v>45063</v>
      </c>
      <c r="L19" s="245">
        <v>14617462</v>
      </c>
      <c r="M19" s="403">
        <v>45215</v>
      </c>
      <c r="N19" s="139"/>
      <c r="O19" s="139"/>
      <c r="P19" s="139"/>
      <c r="Q19" s="139"/>
      <c r="R19" s="139"/>
      <c r="S19" s="139"/>
      <c r="T19" s="139"/>
      <c r="U19" s="139">
        <v>0</v>
      </c>
      <c r="V19" s="139"/>
      <c r="W19" s="139">
        <v>15.340999999999999</v>
      </c>
      <c r="Y19" s="86"/>
      <c r="Z19" s="86"/>
    </row>
    <row r="20" spans="1:26" ht="25.5" x14ac:dyDescent="0.25">
      <c r="A20" s="139">
        <v>6</v>
      </c>
      <c r="B20" s="245" t="s">
        <v>2595</v>
      </c>
      <c r="C20" s="245" t="s">
        <v>2939</v>
      </c>
      <c r="D20" s="139" t="s">
        <v>152</v>
      </c>
      <c r="E20" s="139">
        <v>15.340999999999999</v>
      </c>
      <c r="F20" s="139">
        <v>110</v>
      </c>
      <c r="G20" s="139" t="s">
        <v>2597</v>
      </c>
      <c r="H20" s="139"/>
      <c r="I20" s="139" t="s">
        <v>150</v>
      </c>
      <c r="J20" s="139">
        <v>14613958</v>
      </c>
      <c r="K20" s="142">
        <v>45061</v>
      </c>
      <c r="L20" s="245">
        <v>14613958</v>
      </c>
      <c r="M20" s="403">
        <v>45215</v>
      </c>
      <c r="N20" s="139"/>
      <c r="O20" s="139"/>
      <c r="P20" s="139"/>
      <c r="Q20" s="139"/>
      <c r="R20" s="139"/>
      <c r="S20" s="139"/>
      <c r="T20" s="139"/>
      <c r="U20" s="139">
        <v>0</v>
      </c>
      <c r="V20" s="139"/>
      <c r="W20" s="139">
        <v>15.340999999999999</v>
      </c>
      <c r="Y20" s="86"/>
      <c r="Z20" s="86"/>
    </row>
    <row r="21" spans="1:26" ht="25.5" x14ac:dyDescent="0.25">
      <c r="A21" s="139">
        <v>7</v>
      </c>
      <c r="B21" s="245" t="s">
        <v>2595</v>
      </c>
      <c r="C21" s="245" t="s">
        <v>2940</v>
      </c>
      <c r="D21" s="139" t="s">
        <v>152</v>
      </c>
      <c r="E21" s="139">
        <v>15.340999999999999</v>
      </c>
      <c r="F21" s="139">
        <v>110</v>
      </c>
      <c r="G21" s="139" t="s">
        <v>2597</v>
      </c>
      <c r="H21" s="139"/>
      <c r="I21" s="139" t="s">
        <v>150</v>
      </c>
      <c r="J21" s="139">
        <v>14616840</v>
      </c>
      <c r="K21" s="142">
        <v>45063</v>
      </c>
      <c r="L21" s="245">
        <v>14616840</v>
      </c>
      <c r="M21" s="403">
        <v>45215</v>
      </c>
      <c r="N21" s="139"/>
      <c r="O21" s="139"/>
      <c r="P21" s="139"/>
      <c r="Q21" s="139"/>
      <c r="R21" s="139"/>
      <c r="S21" s="139"/>
      <c r="T21" s="139"/>
      <c r="U21" s="139">
        <v>0</v>
      </c>
      <c r="V21" s="139"/>
      <c r="W21" s="139">
        <v>15.340999999999999</v>
      </c>
      <c r="Y21" s="86"/>
      <c r="Z21" s="86"/>
    </row>
    <row r="22" spans="1:26" ht="25.5" x14ac:dyDescent="0.25">
      <c r="A22" s="139">
        <v>8</v>
      </c>
      <c r="B22" s="245" t="s">
        <v>2595</v>
      </c>
      <c r="C22" s="245" t="s">
        <v>3737</v>
      </c>
      <c r="D22" s="139" t="s">
        <v>152</v>
      </c>
      <c r="E22" s="139">
        <v>11.2</v>
      </c>
      <c r="F22" s="139">
        <v>110</v>
      </c>
      <c r="G22" s="139" t="s">
        <v>3738</v>
      </c>
      <c r="H22" s="139"/>
      <c r="I22" s="139" t="s">
        <v>150</v>
      </c>
      <c r="J22" s="139">
        <v>16232278</v>
      </c>
      <c r="K22" s="142">
        <v>45201</v>
      </c>
      <c r="L22" s="245">
        <v>16232278</v>
      </c>
      <c r="M22" s="403">
        <v>45215</v>
      </c>
      <c r="N22" s="139"/>
      <c r="O22" s="139"/>
      <c r="P22" s="139"/>
      <c r="Q22" s="139"/>
      <c r="R22" s="139"/>
      <c r="S22" s="139"/>
      <c r="T22" s="139"/>
      <c r="U22" s="139">
        <v>0</v>
      </c>
      <c r="V22" s="139"/>
      <c r="W22" s="139">
        <v>11.2</v>
      </c>
      <c r="Y22" s="86"/>
      <c r="Z22" s="86"/>
    </row>
    <row r="23" spans="1:26" ht="25.5" x14ac:dyDescent="0.25">
      <c r="A23" s="139">
        <v>9</v>
      </c>
      <c r="B23" s="245" t="s">
        <v>2595</v>
      </c>
      <c r="C23" s="245" t="s">
        <v>3739</v>
      </c>
      <c r="D23" s="139" t="s">
        <v>152</v>
      </c>
      <c r="E23" s="139">
        <v>15.6</v>
      </c>
      <c r="F23" s="139">
        <v>110</v>
      </c>
      <c r="G23" s="139" t="s">
        <v>3740</v>
      </c>
      <c r="H23" s="139"/>
      <c r="I23" s="139" t="s">
        <v>150</v>
      </c>
      <c r="J23" s="139">
        <v>16209730</v>
      </c>
      <c r="K23" s="142">
        <v>45202</v>
      </c>
      <c r="L23" s="139">
        <v>16209730</v>
      </c>
      <c r="M23" s="142">
        <v>45215</v>
      </c>
      <c r="N23" s="139"/>
      <c r="O23" s="139"/>
      <c r="P23" s="139"/>
      <c r="Q23" s="139"/>
      <c r="R23" s="139"/>
      <c r="S23" s="139"/>
      <c r="T23" s="139"/>
      <c r="U23" s="139">
        <v>0</v>
      </c>
      <c r="V23" s="139"/>
      <c r="W23" s="139">
        <v>15.6</v>
      </c>
      <c r="Y23" s="86"/>
      <c r="Z23" s="86"/>
    </row>
    <row r="24" spans="1:26" ht="25.5" x14ac:dyDescent="0.25">
      <c r="A24" s="139">
        <v>10</v>
      </c>
      <c r="B24" s="245" t="s">
        <v>2595</v>
      </c>
      <c r="C24" s="245" t="s">
        <v>3741</v>
      </c>
      <c r="D24" s="139" t="s">
        <v>152</v>
      </c>
      <c r="E24" s="139">
        <v>15.6</v>
      </c>
      <c r="F24" s="139">
        <v>110</v>
      </c>
      <c r="G24" s="139" t="s">
        <v>3742</v>
      </c>
      <c r="H24" s="139"/>
      <c r="I24" s="139" t="s">
        <v>150</v>
      </c>
      <c r="J24" s="139">
        <v>16209379</v>
      </c>
      <c r="K24" s="142">
        <v>45202</v>
      </c>
      <c r="L24" s="139">
        <v>16209379</v>
      </c>
      <c r="M24" s="142">
        <v>45215</v>
      </c>
      <c r="N24" s="139"/>
      <c r="O24" s="139"/>
      <c r="P24" s="139"/>
      <c r="Q24" s="139"/>
      <c r="R24" s="139"/>
      <c r="S24" s="139"/>
      <c r="T24" s="139"/>
      <c r="U24" s="139">
        <v>0</v>
      </c>
      <c r="V24" s="139"/>
      <c r="W24" s="139">
        <v>15.6</v>
      </c>
      <c r="Y24" s="86"/>
      <c r="Z24" s="86"/>
    </row>
    <row r="25" spans="1:26" ht="25.5" x14ac:dyDescent="0.25">
      <c r="A25" s="139">
        <v>11</v>
      </c>
      <c r="B25" s="245" t="s">
        <v>2595</v>
      </c>
      <c r="C25" s="245" t="s">
        <v>3743</v>
      </c>
      <c r="D25" s="139" t="s">
        <v>152</v>
      </c>
      <c r="E25" s="139">
        <v>15.5</v>
      </c>
      <c r="F25" s="139">
        <v>110</v>
      </c>
      <c r="G25" s="139" t="s">
        <v>3744</v>
      </c>
      <c r="H25" s="139"/>
      <c r="I25" s="139" t="s">
        <v>150</v>
      </c>
      <c r="J25" s="139">
        <v>16179944</v>
      </c>
      <c r="K25" s="142">
        <v>45201</v>
      </c>
      <c r="L25" s="139">
        <v>16179944</v>
      </c>
      <c r="M25" s="142">
        <v>45215</v>
      </c>
      <c r="N25" s="139"/>
      <c r="O25" s="139"/>
      <c r="P25" s="139"/>
      <c r="Q25" s="139"/>
      <c r="R25" s="139"/>
      <c r="S25" s="139"/>
      <c r="T25" s="139"/>
      <c r="U25" s="139">
        <v>0</v>
      </c>
      <c r="V25" s="139"/>
      <c r="W25" s="139">
        <v>15.5</v>
      </c>
      <c r="Y25" s="86"/>
      <c r="Z25" s="86"/>
    </row>
    <row r="26" spans="1:26" ht="25.5" x14ac:dyDescent="0.25">
      <c r="A26" s="139">
        <v>12</v>
      </c>
      <c r="B26" s="245" t="s">
        <v>2595</v>
      </c>
      <c r="C26" s="245" t="s">
        <v>3745</v>
      </c>
      <c r="D26" s="139" t="s">
        <v>152</v>
      </c>
      <c r="E26" s="139">
        <v>13.7</v>
      </c>
      <c r="F26" s="139">
        <v>110</v>
      </c>
      <c r="G26" s="139" t="s">
        <v>3746</v>
      </c>
      <c r="H26" s="139"/>
      <c r="I26" s="139" t="s">
        <v>150</v>
      </c>
      <c r="J26" s="139">
        <v>16179425</v>
      </c>
      <c r="K26" s="142">
        <v>45201</v>
      </c>
      <c r="L26" s="139">
        <v>16179425</v>
      </c>
      <c r="M26" s="142">
        <v>45215</v>
      </c>
      <c r="N26" s="139"/>
      <c r="O26" s="139"/>
      <c r="P26" s="139"/>
      <c r="Q26" s="139"/>
      <c r="R26" s="139"/>
      <c r="S26" s="139"/>
      <c r="T26" s="139"/>
      <c r="U26" s="139">
        <v>0</v>
      </c>
      <c r="V26" s="139"/>
      <c r="W26" s="139">
        <v>13.7</v>
      </c>
      <c r="Y26" s="86"/>
      <c r="Z26" s="86"/>
    </row>
    <row r="27" spans="1:26" ht="76.5" x14ac:dyDescent="0.25">
      <c r="A27" s="139">
        <v>13</v>
      </c>
      <c r="B27" s="245" t="s">
        <v>5351</v>
      </c>
      <c r="C27" s="245" t="s">
        <v>5352</v>
      </c>
      <c r="D27" s="139" t="s">
        <v>148</v>
      </c>
      <c r="E27" s="139">
        <v>18.61</v>
      </c>
      <c r="F27" s="139">
        <v>110</v>
      </c>
      <c r="G27" s="139" t="s">
        <v>2316</v>
      </c>
      <c r="H27" s="139"/>
      <c r="I27" s="139" t="s">
        <v>4496</v>
      </c>
      <c r="J27" s="139">
        <v>19216998</v>
      </c>
      <c r="K27" s="142">
        <v>45414</v>
      </c>
      <c r="L27" s="139"/>
      <c r="M27" s="139"/>
      <c r="N27" s="139"/>
      <c r="O27" s="139"/>
      <c r="P27" s="139"/>
      <c r="Q27" s="139"/>
      <c r="R27" s="139"/>
      <c r="S27" s="139"/>
      <c r="T27" s="139"/>
      <c r="U27" s="139">
        <v>0</v>
      </c>
      <c r="V27" s="139"/>
      <c r="W27" s="139">
        <v>18.61</v>
      </c>
      <c r="Y27" s="86"/>
      <c r="Z27" s="86"/>
    </row>
    <row r="28" spans="1:26" x14ac:dyDescent="0.25">
      <c r="Y28" s="86"/>
      <c r="Z28" s="86"/>
    </row>
    <row r="29" spans="1:26" ht="25.5" x14ac:dyDescent="0.25">
      <c r="A29" s="44">
        <v>1</v>
      </c>
      <c r="B29" s="44" t="s">
        <v>146</v>
      </c>
      <c r="C29" s="44" t="s">
        <v>333</v>
      </c>
      <c r="D29" s="44" t="s">
        <v>301</v>
      </c>
      <c r="E29" s="44">
        <v>9.4139999999999997</v>
      </c>
      <c r="F29" s="44">
        <v>20</v>
      </c>
      <c r="G29" s="44" t="s">
        <v>334</v>
      </c>
      <c r="H29" s="44" t="s">
        <v>335</v>
      </c>
      <c r="I29" s="44" t="s">
        <v>287</v>
      </c>
      <c r="J29" s="79">
        <v>1003509463</v>
      </c>
      <c r="K29" s="62">
        <v>44294</v>
      </c>
      <c r="L29" s="724">
        <v>1005355119</v>
      </c>
      <c r="M29" s="724" t="s">
        <v>5221</v>
      </c>
      <c r="N29" s="725" t="s">
        <v>5222</v>
      </c>
      <c r="O29" s="44" t="s">
        <v>25</v>
      </c>
      <c r="P29" s="44" t="s">
        <v>25</v>
      </c>
      <c r="Q29" s="44" t="s">
        <v>25</v>
      </c>
      <c r="R29" s="44"/>
      <c r="S29" s="44"/>
      <c r="T29" s="44"/>
      <c r="U29" s="44" t="s">
        <v>3602</v>
      </c>
      <c r="V29" s="44"/>
      <c r="W29" s="44">
        <v>9.4139999999999997</v>
      </c>
      <c r="Y29" s="86"/>
      <c r="Z29" s="86"/>
    </row>
    <row r="30" spans="1:26" x14ac:dyDescent="0.25">
      <c r="Y30" s="86"/>
      <c r="Z30" s="86"/>
    </row>
    <row r="31" spans="1:26" ht="25.5" x14ac:dyDescent="0.25">
      <c r="A31" s="47">
        <v>1</v>
      </c>
      <c r="B31" s="47" t="s">
        <v>414</v>
      </c>
      <c r="C31" s="47" t="s">
        <v>415</v>
      </c>
      <c r="D31" s="47" t="s">
        <v>416</v>
      </c>
      <c r="E31" s="47">
        <v>2.8929999999999998</v>
      </c>
      <c r="F31" s="47">
        <v>20</v>
      </c>
      <c r="G31" s="47" t="s">
        <v>417</v>
      </c>
      <c r="H31" s="47" t="s">
        <v>418</v>
      </c>
      <c r="I31" s="47" t="s">
        <v>419</v>
      </c>
      <c r="J31" s="80">
        <v>1300000029</v>
      </c>
      <c r="K31" s="66" t="s">
        <v>420</v>
      </c>
      <c r="L31" s="47">
        <v>3200014833</v>
      </c>
      <c r="M31" s="47" t="s">
        <v>421</v>
      </c>
      <c r="N31" s="66">
        <v>41886</v>
      </c>
      <c r="O31" s="47"/>
      <c r="P31" s="47"/>
      <c r="Q31" s="47"/>
      <c r="R31" s="47"/>
      <c r="S31" s="47"/>
      <c r="T31" s="47"/>
      <c r="U31" s="47"/>
      <c r="V31" s="47"/>
      <c r="W31" s="47">
        <v>2.8929999999999998</v>
      </c>
      <c r="Y31" s="86"/>
      <c r="Z31" s="86"/>
    </row>
    <row r="33" spans="1:23" x14ac:dyDescent="0.25">
      <c r="A33" s="31">
        <v>1</v>
      </c>
      <c r="B33" s="31" t="s">
        <v>1070</v>
      </c>
      <c r="C33" s="31" t="s">
        <v>1071</v>
      </c>
      <c r="D33" s="31" t="s">
        <v>1072</v>
      </c>
      <c r="E33" s="31">
        <v>0.23599999999999999</v>
      </c>
      <c r="F33" s="31">
        <v>20</v>
      </c>
      <c r="G33" s="31" t="s">
        <v>1073</v>
      </c>
      <c r="H33" s="31" t="s">
        <v>1074</v>
      </c>
      <c r="I33" s="31" t="s">
        <v>1075</v>
      </c>
      <c r="J33" s="81">
        <v>7020210805430</v>
      </c>
      <c r="K33" s="82">
        <v>44467</v>
      </c>
      <c r="L33" s="31"/>
      <c r="M33" s="31"/>
      <c r="N33" s="31"/>
      <c r="O33" s="31" t="s">
        <v>360</v>
      </c>
      <c r="P33" s="31" t="s">
        <v>360</v>
      </c>
      <c r="Q33" s="31" t="s">
        <v>360</v>
      </c>
      <c r="R33" s="31"/>
      <c r="S33" s="31"/>
      <c r="T33" s="31"/>
      <c r="U33" s="31"/>
      <c r="V33" s="31">
        <v>0.23599999999999999</v>
      </c>
      <c r="W33" s="31"/>
    </row>
    <row r="34" spans="1:23" x14ac:dyDescent="0.25">
      <c r="A34" s="31">
        <v>2</v>
      </c>
      <c r="B34" s="31" t="s">
        <v>1070</v>
      </c>
      <c r="C34" s="31" t="s">
        <v>1076</v>
      </c>
      <c r="D34" s="31" t="s">
        <v>1072</v>
      </c>
      <c r="E34" s="31">
        <v>0.23599999999999999</v>
      </c>
      <c r="F34" s="31">
        <v>20</v>
      </c>
      <c r="G34" s="31" t="s">
        <v>1073</v>
      </c>
      <c r="H34" s="31" t="s">
        <v>1077</v>
      </c>
      <c r="I34" s="31" t="s">
        <v>1075</v>
      </c>
      <c r="J34" s="81">
        <v>7020211107163</v>
      </c>
      <c r="K34" s="82">
        <v>44505</v>
      </c>
      <c r="L34" s="31"/>
      <c r="M34" s="31"/>
      <c r="N34" s="31"/>
      <c r="O34" s="31" t="s">
        <v>360</v>
      </c>
      <c r="P34" s="31" t="s">
        <v>360</v>
      </c>
      <c r="Q34" s="31" t="s">
        <v>360</v>
      </c>
      <c r="R34" s="31"/>
      <c r="S34" s="31"/>
      <c r="T34" s="31"/>
      <c r="U34" s="31"/>
      <c r="V34" s="31">
        <v>0.23599999999999999</v>
      </c>
      <c r="W34" s="31"/>
    </row>
    <row r="36" spans="1:23" x14ac:dyDescent="0.25">
      <c r="A36" s="29">
        <v>1</v>
      </c>
      <c r="B36" s="29" t="s">
        <v>4673</v>
      </c>
      <c r="C36" s="29" t="s">
        <v>4674</v>
      </c>
      <c r="D36" s="29" t="s">
        <v>2546</v>
      </c>
      <c r="E36" s="29">
        <v>1.33</v>
      </c>
      <c r="F36" s="29">
        <v>6</v>
      </c>
      <c r="G36" s="29" t="s">
        <v>4675</v>
      </c>
      <c r="H36" s="29" t="s">
        <v>964</v>
      </c>
      <c r="I36" s="29" t="s">
        <v>2411</v>
      </c>
      <c r="J36" s="73">
        <v>3010240201124</v>
      </c>
      <c r="K36" s="185">
        <v>45330</v>
      </c>
      <c r="L36" s="29"/>
      <c r="M36" s="29"/>
      <c r="N36" s="29"/>
      <c r="O36" s="29" t="s">
        <v>25</v>
      </c>
      <c r="P36" s="29" t="s">
        <v>25</v>
      </c>
      <c r="Q36" s="29" t="s">
        <v>25</v>
      </c>
      <c r="R36" s="29"/>
      <c r="S36" s="29"/>
      <c r="T36" s="29"/>
      <c r="U36" s="29"/>
      <c r="V36" s="29"/>
      <c r="W36" s="29"/>
    </row>
  </sheetData>
  <mergeCells count="8">
    <mergeCell ref="C8:F8"/>
    <mergeCell ref="C10:F10"/>
    <mergeCell ref="C2:F2"/>
    <mergeCell ref="C3:F3"/>
    <mergeCell ref="C4:F4"/>
    <mergeCell ref="C5:F5"/>
    <mergeCell ref="C6:F6"/>
    <mergeCell ref="C7:F7"/>
  </mergeCells>
  <pageMargins left="0.7" right="0.7" top="0.75" bottom="0.75" header="0.3" footer="0.3"/>
  <pageSetup paperSize="9" orientation="portrait" r:id="rId1"/>
  <headerFooter>
    <oddHeader>&amp;CCod: TEL – 07.50 Ed. I, rev. 0</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9"/>
  <sheetViews>
    <sheetView zoomScale="76" zoomScaleNormal="76" workbookViewId="0">
      <selection activeCell="H6" sqref="H6"/>
    </sheetView>
  </sheetViews>
  <sheetFormatPr defaultRowHeight="15" x14ac:dyDescent="0.25"/>
  <cols>
    <col min="1" max="1" width="5.85546875" customWidth="1"/>
    <col min="2" max="2" width="58.42578125" customWidth="1"/>
    <col min="3" max="3" width="36" customWidth="1"/>
    <col min="4" max="4" width="14.7109375" customWidth="1"/>
    <col min="5" max="5" width="15.140625" customWidth="1"/>
    <col min="7" max="7" width="26.85546875" customWidth="1"/>
    <col min="8" max="8" width="53.28515625" customWidth="1"/>
    <col min="9" max="9" width="24" customWidth="1"/>
    <col min="10" max="10" width="24" style="76" customWidth="1"/>
    <col min="11" max="11" width="24" customWidth="1"/>
    <col min="12" max="12" width="14.140625" style="76" customWidth="1"/>
    <col min="13" max="13" width="14.140625"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5" ht="15.75" thickBot="1" x14ac:dyDescent="0.3"/>
    <row r="2" spans="1:25" x14ac:dyDescent="0.25">
      <c r="B2" s="23" t="s">
        <v>794</v>
      </c>
      <c r="C2" s="847">
        <v>45636</v>
      </c>
      <c r="D2" s="848"/>
      <c r="E2" s="848"/>
      <c r="F2" s="849"/>
      <c r="G2" s="24"/>
    </row>
    <row r="3" spans="1:25" ht="15.75" thickBot="1" x14ac:dyDescent="0.3">
      <c r="B3" s="25" t="s">
        <v>795</v>
      </c>
      <c r="C3" s="850" t="s">
        <v>796</v>
      </c>
      <c r="D3" s="850"/>
      <c r="E3" s="850"/>
      <c r="F3" s="851"/>
      <c r="G3" s="26"/>
    </row>
    <row r="4" spans="1:25" ht="15.75" x14ac:dyDescent="0.25">
      <c r="B4" s="27"/>
      <c r="C4" s="852" t="s">
        <v>797</v>
      </c>
      <c r="D4" s="852"/>
      <c r="E4" s="852"/>
      <c r="F4" s="853"/>
      <c r="G4" s="26"/>
    </row>
    <row r="5" spans="1:25" ht="15.75" thickBot="1" x14ac:dyDescent="0.3">
      <c r="B5" s="35"/>
      <c r="C5" s="858" t="s">
        <v>801</v>
      </c>
      <c r="D5" s="859"/>
      <c r="E5" s="859"/>
      <c r="F5" s="860"/>
    </row>
    <row r="6" spans="1:25" x14ac:dyDescent="0.25">
      <c r="B6" s="33"/>
      <c r="C6" s="861" t="s">
        <v>802</v>
      </c>
      <c r="D6" s="862"/>
      <c r="E6" s="862"/>
      <c r="F6" s="863"/>
    </row>
    <row r="7" spans="1:25" x14ac:dyDescent="0.25">
      <c r="B7" s="133"/>
      <c r="C7" s="864" t="s">
        <v>803</v>
      </c>
      <c r="D7" s="865"/>
      <c r="E7" s="865"/>
      <c r="F7" s="866"/>
    </row>
    <row r="8" spans="1:25" x14ac:dyDescent="0.25">
      <c r="B8" s="28"/>
      <c r="C8" s="854" t="s">
        <v>800</v>
      </c>
      <c r="D8" s="854"/>
      <c r="E8" s="854"/>
      <c r="F8" s="855"/>
      <c r="G8" s="26"/>
    </row>
    <row r="9" spans="1:25" x14ac:dyDescent="0.25">
      <c r="B9" s="32"/>
      <c r="C9" s="39" t="s">
        <v>799</v>
      </c>
      <c r="D9" s="40"/>
      <c r="E9" s="40"/>
      <c r="F9" s="41"/>
    </row>
    <row r="10" spans="1:25" x14ac:dyDescent="0.25">
      <c r="B10" s="29"/>
      <c r="C10" s="856" t="s">
        <v>804</v>
      </c>
      <c r="D10" s="856"/>
      <c r="E10" s="856"/>
      <c r="F10" s="857"/>
      <c r="G10" s="26" t="s">
        <v>798</v>
      </c>
    </row>
    <row r="11" spans="1:25" x14ac:dyDescent="0.25">
      <c r="B11" s="30"/>
      <c r="C11" s="42" t="s">
        <v>805</v>
      </c>
      <c r="D11" s="42"/>
      <c r="E11" s="42"/>
      <c r="F11" s="43"/>
      <c r="G11" s="26" t="s">
        <v>798</v>
      </c>
    </row>
    <row r="12" spans="1:25" x14ac:dyDescent="0.25">
      <c r="B12" s="31"/>
      <c r="C12" s="36" t="s">
        <v>806</v>
      </c>
      <c r="D12" s="37"/>
      <c r="E12" s="37"/>
      <c r="F12" s="38"/>
      <c r="G12" s="26" t="s">
        <v>798</v>
      </c>
    </row>
    <row r="13" spans="1:25" ht="15.75" thickBot="1" x14ac:dyDescent="0.3"/>
    <row r="14" spans="1:25" ht="39" thickBot="1" x14ac:dyDescent="0.3">
      <c r="A14" s="1" t="s">
        <v>28</v>
      </c>
      <c r="B14" s="4" t="s">
        <v>4</v>
      </c>
      <c r="C14" s="2" t="s">
        <v>5</v>
      </c>
      <c r="D14" s="4" t="s">
        <v>9</v>
      </c>
      <c r="E14" s="2" t="s">
        <v>2</v>
      </c>
      <c r="F14" s="2" t="s">
        <v>23</v>
      </c>
      <c r="G14" s="2" t="s">
        <v>10</v>
      </c>
      <c r="H14" s="2" t="s">
        <v>0</v>
      </c>
      <c r="I14" s="2" t="s">
        <v>11</v>
      </c>
      <c r="J14" s="77" t="s">
        <v>12</v>
      </c>
      <c r="K14" s="6" t="s">
        <v>13</v>
      </c>
      <c r="L14" s="482" t="s">
        <v>14</v>
      </c>
      <c r="M14" s="2" t="s">
        <v>24</v>
      </c>
      <c r="N14" s="7" t="s">
        <v>15</v>
      </c>
      <c r="O14" s="2" t="s">
        <v>16</v>
      </c>
      <c r="P14" s="2" t="s">
        <v>17</v>
      </c>
      <c r="Q14" s="2" t="s">
        <v>18</v>
      </c>
      <c r="R14" s="6" t="s">
        <v>19</v>
      </c>
      <c r="S14" s="6" t="s">
        <v>20</v>
      </c>
      <c r="T14" s="6" t="s">
        <v>21</v>
      </c>
      <c r="U14" s="6" t="s">
        <v>22</v>
      </c>
      <c r="V14" s="8" t="s">
        <v>26</v>
      </c>
      <c r="W14" s="3" t="s">
        <v>27</v>
      </c>
    </row>
    <row r="15" spans="1:25" ht="25.5" x14ac:dyDescent="0.25">
      <c r="A15" s="44">
        <v>1</v>
      </c>
      <c r="B15" s="261" t="s">
        <v>337</v>
      </c>
      <c r="C15" s="44" t="s">
        <v>338</v>
      </c>
      <c r="D15" s="44" t="s">
        <v>284</v>
      </c>
      <c r="E15" s="44">
        <v>1.946</v>
      </c>
      <c r="F15" s="44">
        <v>20</v>
      </c>
      <c r="G15" s="44" t="s">
        <v>339</v>
      </c>
      <c r="H15" s="44" t="s">
        <v>340</v>
      </c>
      <c r="I15" s="44" t="s">
        <v>287</v>
      </c>
      <c r="J15" s="79">
        <v>1003875841</v>
      </c>
      <c r="K15" s="62">
        <v>44489</v>
      </c>
      <c r="L15" s="417">
        <v>1004568658</v>
      </c>
      <c r="M15" s="374">
        <v>44690</v>
      </c>
      <c r="N15" s="374">
        <v>45291</v>
      </c>
      <c r="O15" s="261" t="s">
        <v>25</v>
      </c>
      <c r="P15" s="261" t="s">
        <v>25</v>
      </c>
      <c r="Q15" s="261" t="s">
        <v>25</v>
      </c>
      <c r="R15" s="261">
        <v>1005228612</v>
      </c>
      <c r="S15" s="374">
        <v>45110</v>
      </c>
      <c r="T15" s="261">
        <v>1.946</v>
      </c>
      <c r="U15" s="261"/>
      <c r="V15" s="261">
        <v>1.946</v>
      </c>
      <c r="W15" s="261">
        <v>0</v>
      </c>
      <c r="Y15" s="86"/>
    </row>
    <row r="16" spans="1:25" ht="38.25" x14ac:dyDescent="0.25">
      <c r="A16" s="240">
        <v>2</v>
      </c>
      <c r="B16" s="260" t="s">
        <v>3824</v>
      </c>
      <c r="C16" s="240" t="s">
        <v>3825</v>
      </c>
      <c r="D16" s="240" t="s">
        <v>372</v>
      </c>
      <c r="E16" s="240">
        <v>3</v>
      </c>
      <c r="F16" s="240">
        <v>20</v>
      </c>
      <c r="G16" s="240" t="s">
        <v>3826</v>
      </c>
      <c r="H16" s="240" t="s">
        <v>3827</v>
      </c>
      <c r="I16" s="240" t="s">
        <v>287</v>
      </c>
      <c r="J16" s="240">
        <v>1005335323</v>
      </c>
      <c r="K16" s="241">
        <v>45232</v>
      </c>
      <c r="L16" s="417">
        <v>1005534402</v>
      </c>
      <c r="M16" s="374">
        <v>45358</v>
      </c>
      <c r="N16" s="415">
        <v>45657</v>
      </c>
      <c r="O16" s="260" t="s">
        <v>25</v>
      </c>
      <c r="P16" s="260" t="s">
        <v>25</v>
      </c>
      <c r="Q16" s="260" t="s">
        <v>25</v>
      </c>
      <c r="R16" s="260"/>
      <c r="S16" s="260"/>
      <c r="T16" s="260"/>
      <c r="U16" s="260"/>
      <c r="V16" s="260"/>
      <c r="W16" s="260">
        <v>3</v>
      </c>
      <c r="Y16" s="86"/>
    </row>
    <row r="17" spans="1:25" ht="38.25" x14ac:dyDescent="0.25">
      <c r="A17" s="240">
        <v>3</v>
      </c>
      <c r="B17" s="260" t="s">
        <v>4676</v>
      </c>
      <c r="C17" s="240" t="s">
        <v>4677</v>
      </c>
      <c r="D17" s="240" t="s">
        <v>296</v>
      </c>
      <c r="E17" s="240">
        <v>12.6</v>
      </c>
      <c r="F17" s="240">
        <v>20</v>
      </c>
      <c r="G17" s="240" t="s">
        <v>296</v>
      </c>
      <c r="H17" s="240" t="s">
        <v>4678</v>
      </c>
      <c r="I17" s="240" t="s">
        <v>287</v>
      </c>
      <c r="J17" s="240">
        <v>1005407800</v>
      </c>
      <c r="K17" s="241">
        <v>45324</v>
      </c>
      <c r="L17" s="421"/>
      <c r="M17" s="415"/>
      <c r="N17" s="415">
        <v>46022</v>
      </c>
      <c r="O17" s="260" t="s">
        <v>25</v>
      </c>
      <c r="P17" s="260" t="s">
        <v>25</v>
      </c>
      <c r="Q17" s="260" t="s">
        <v>25</v>
      </c>
      <c r="R17" s="260"/>
      <c r="S17" s="415"/>
      <c r="T17" s="260"/>
      <c r="U17" s="260" t="s">
        <v>4679</v>
      </c>
      <c r="V17" s="260"/>
      <c r="W17" s="260">
        <v>0</v>
      </c>
      <c r="Y17" s="86"/>
    </row>
    <row r="18" spans="1:25" x14ac:dyDescent="0.25">
      <c r="A18" s="461"/>
      <c r="B18" s="461"/>
      <c r="C18" s="461"/>
      <c r="D18" s="461"/>
      <c r="E18" s="461"/>
      <c r="F18" s="461"/>
      <c r="G18" s="461"/>
      <c r="H18" s="461"/>
      <c r="I18" s="461"/>
      <c r="J18" s="462"/>
      <c r="K18" s="461"/>
      <c r="L18" s="462"/>
      <c r="M18" s="461"/>
      <c r="N18" s="461"/>
      <c r="O18" s="461"/>
      <c r="P18" s="461"/>
      <c r="Q18" s="461"/>
      <c r="R18" s="461"/>
      <c r="S18" s="461"/>
      <c r="T18" s="461"/>
      <c r="U18" s="461"/>
      <c r="V18" s="461"/>
      <c r="W18" s="461"/>
    </row>
    <row r="19" spans="1:25" x14ac:dyDescent="0.25">
      <c r="A19" s="30">
        <v>1</v>
      </c>
      <c r="B19" s="30" t="s">
        <v>1022</v>
      </c>
      <c r="C19" s="30" t="s">
        <v>1023</v>
      </c>
      <c r="D19" s="30" t="s">
        <v>1024</v>
      </c>
      <c r="E19" s="30">
        <v>2.5</v>
      </c>
      <c r="F19" s="30">
        <v>20</v>
      </c>
      <c r="G19" s="30" t="s">
        <v>1025</v>
      </c>
      <c r="H19" s="30"/>
      <c r="I19" s="30" t="s">
        <v>1026</v>
      </c>
      <c r="J19" s="83">
        <v>6060211203128</v>
      </c>
      <c r="K19" s="30" t="s">
        <v>1000</v>
      </c>
      <c r="L19" s="83" t="s">
        <v>116</v>
      </c>
      <c r="M19" s="30" t="s">
        <v>116</v>
      </c>
      <c r="N19" s="30"/>
      <c r="O19" s="30" t="s">
        <v>25</v>
      </c>
      <c r="P19" s="30" t="s">
        <v>25</v>
      </c>
      <c r="Q19" s="30" t="s">
        <v>25</v>
      </c>
      <c r="R19" s="30"/>
      <c r="S19" s="30"/>
      <c r="T19" s="30"/>
      <c r="U19" s="30"/>
      <c r="V19" s="30"/>
      <c r="W19" s="30"/>
    </row>
    <row r="20" spans="1:25" x14ac:dyDescent="0.25">
      <c r="A20" s="74">
        <v>2</v>
      </c>
      <c r="B20" s="250" t="s">
        <v>2969</v>
      </c>
      <c r="C20" s="74" t="s">
        <v>1023</v>
      </c>
      <c r="D20" s="74" t="s">
        <v>1039</v>
      </c>
      <c r="E20" s="196">
        <v>4.67</v>
      </c>
      <c r="F20" s="74">
        <v>10</v>
      </c>
      <c r="G20" s="74" t="s">
        <v>2970</v>
      </c>
      <c r="H20" s="74" t="s">
        <v>963</v>
      </c>
      <c r="I20" s="74" t="s">
        <v>1026</v>
      </c>
      <c r="J20" s="75">
        <v>6010221134385</v>
      </c>
      <c r="K20" s="181">
        <v>44953</v>
      </c>
      <c r="L20" s="351" t="s">
        <v>3908</v>
      </c>
      <c r="M20" s="352">
        <v>45237</v>
      </c>
      <c r="N20" s="74"/>
      <c r="O20" s="74"/>
      <c r="P20" s="74"/>
      <c r="Q20" s="74"/>
      <c r="R20" s="74"/>
      <c r="S20" s="74"/>
      <c r="T20" s="74"/>
      <c r="U20" s="74"/>
      <c r="V20" s="74"/>
      <c r="W20" s="74"/>
    </row>
    <row r="21" spans="1:25" x14ac:dyDescent="0.25">
      <c r="A21" s="461"/>
      <c r="B21" s="461"/>
      <c r="C21" s="461"/>
      <c r="D21" s="461"/>
      <c r="E21" s="461"/>
      <c r="F21" s="461"/>
      <c r="G21" s="461"/>
      <c r="H21" s="461"/>
      <c r="I21" s="461"/>
      <c r="J21" s="462"/>
      <c r="K21" s="461"/>
      <c r="L21" s="462"/>
      <c r="M21" s="461"/>
      <c r="N21" s="461"/>
      <c r="O21" s="461"/>
      <c r="P21" s="461"/>
      <c r="Q21" s="461"/>
      <c r="R21" s="461"/>
      <c r="S21" s="461"/>
      <c r="T21" s="461"/>
      <c r="U21" s="461"/>
      <c r="V21" s="461"/>
      <c r="W21" s="461"/>
    </row>
    <row r="22" spans="1:25" x14ac:dyDescent="0.25">
      <c r="A22" s="31">
        <v>1</v>
      </c>
      <c r="B22" s="31" t="s">
        <v>1078</v>
      </c>
      <c r="C22" s="31" t="s">
        <v>1079</v>
      </c>
      <c r="D22" s="31" t="s">
        <v>1080</v>
      </c>
      <c r="E22" s="31">
        <v>1</v>
      </c>
      <c r="F22" s="31">
        <v>20</v>
      </c>
      <c r="G22" s="31" t="s">
        <v>1081</v>
      </c>
      <c r="H22" s="31" t="s">
        <v>1082</v>
      </c>
      <c r="I22" s="31" t="s">
        <v>1083</v>
      </c>
      <c r="J22" s="81">
        <v>7040211005926</v>
      </c>
      <c r="K22" s="82">
        <v>44552</v>
      </c>
      <c r="L22" s="81"/>
      <c r="M22" s="31"/>
      <c r="N22" s="31"/>
      <c r="O22" s="31" t="s">
        <v>360</v>
      </c>
      <c r="P22" s="31" t="s">
        <v>360</v>
      </c>
      <c r="Q22" s="31" t="s">
        <v>360</v>
      </c>
      <c r="R22" s="31"/>
      <c r="S22" s="31"/>
      <c r="T22" s="31"/>
      <c r="U22" s="31"/>
      <c r="V22" s="31">
        <v>1</v>
      </c>
      <c r="W22" s="31"/>
    </row>
    <row r="23" spans="1:25" x14ac:dyDescent="0.25">
      <c r="A23" s="281">
        <v>2</v>
      </c>
      <c r="B23" s="31" t="s">
        <v>4000</v>
      </c>
      <c r="C23" s="281" t="s">
        <v>4001</v>
      </c>
      <c r="D23" s="281" t="s">
        <v>1072</v>
      </c>
      <c r="E23" s="281">
        <v>46.02</v>
      </c>
      <c r="F23" s="281">
        <v>110</v>
      </c>
      <c r="G23" s="281" t="s">
        <v>4002</v>
      </c>
      <c r="H23" s="281" t="s">
        <v>5326</v>
      </c>
      <c r="I23" s="281" t="s">
        <v>1083</v>
      </c>
      <c r="J23" s="302">
        <v>7020210100054</v>
      </c>
      <c r="K23" s="282">
        <v>45216</v>
      </c>
      <c r="L23" s="302"/>
      <c r="M23" s="281"/>
      <c r="N23" s="281"/>
      <c r="O23" s="281"/>
      <c r="P23" s="281"/>
      <c r="Q23" s="281"/>
      <c r="R23" s="281"/>
      <c r="S23" s="281"/>
      <c r="T23" s="281"/>
      <c r="U23" s="281"/>
      <c r="V23" s="281"/>
      <c r="W23" s="281"/>
    </row>
    <row r="24" spans="1:25" x14ac:dyDescent="0.25">
      <c r="A24" s="461"/>
      <c r="B24" s="461"/>
      <c r="C24" s="461"/>
      <c r="D24" s="461"/>
      <c r="E24" s="461"/>
      <c r="F24" s="461"/>
      <c r="G24" s="461"/>
      <c r="H24" s="461"/>
      <c r="I24" s="461"/>
      <c r="J24" s="462"/>
      <c r="K24" s="461"/>
      <c r="L24" s="462"/>
      <c r="M24" s="461"/>
      <c r="N24" s="461"/>
      <c r="O24" s="461"/>
      <c r="P24" s="461"/>
      <c r="Q24" s="461"/>
      <c r="R24" s="461"/>
      <c r="S24" s="461"/>
      <c r="T24" s="461"/>
      <c r="U24" s="461"/>
      <c r="V24" s="461"/>
      <c r="W24" s="461"/>
    </row>
    <row r="25" spans="1:25" x14ac:dyDescent="0.25">
      <c r="A25" s="34">
        <v>1</v>
      </c>
      <c r="B25" s="34" t="s">
        <v>1228</v>
      </c>
      <c r="C25" s="34" t="s">
        <v>1229</v>
      </c>
      <c r="D25" s="34" t="s">
        <v>274</v>
      </c>
      <c r="E25" s="34">
        <v>1.698</v>
      </c>
      <c r="F25" s="34">
        <v>10</v>
      </c>
      <c r="G25" s="34" t="s">
        <v>1230</v>
      </c>
      <c r="H25" s="34" t="s">
        <v>1231</v>
      </c>
      <c r="I25" s="34" t="s">
        <v>272</v>
      </c>
      <c r="J25" s="34" t="s">
        <v>1232</v>
      </c>
      <c r="K25" s="134">
        <v>44680</v>
      </c>
      <c r="L25" s="871" t="s">
        <v>1232</v>
      </c>
      <c r="M25" s="134">
        <v>44740</v>
      </c>
      <c r="N25" s="134">
        <v>44901</v>
      </c>
      <c r="O25" s="34"/>
      <c r="P25" s="34"/>
      <c r="Q25" s="34"/>
      <c r="R25" s="34"/>
      <c r="S25" s="34"/>
      <c r="T25" s="34"/>
      <c r="U25" s="34">
        <v>1.6</v>
      </c>
      <c r="V25" s="34"/>
      <c r="W25" s="34"/>
    </row>
    <row r="26" spans="1:25" x14ac:dyDescent="0.25">
      <c r="A26" s="451">
        <v>2</v>
      </c>
      <c r="B26" s="487" t="s">
        <v>3682</v>
      </c>
      <c r="C26" s="487" t="s">
        <v>3683</v>
      </c>
      <c r="D26" s="451" t="s">
        <v>274</v>
      </c>
      <c r="E26" s="451">
        <v>45.7</v>
      </c>
      <c r="F26" s="451">
        <v>110</v>
      </c>
      <c r="G26" s="451" t="s">
        <v>3684</v>
      </c>
      <c r="H26" s="451" t="s">
        <v>3685</v>
      </c>
      <c r="I26" s="451" t="s">
        <v>272</v>
      </c>
      <c r="J26" s="451">
        <v>16203297</v>
      </c>
      <c r="K26" s="452">
        <v>45191</v>
      </c>
      <c r="L26" s="872"/>
      <c r="M26" s="451"/>
      <c r="N26" s="451"/>
      <c r="O26" s="451"/>
      <c r="P26" s="451"/>
      <c r="Q26" s="451"/>
      <c r="R26" s="451"/>
      <c r="S26" s="451"/>
      <c r="T26" s="451"/>
      <c r="U26" s="451">
        <v>0</v>
      </c>
      <c r="V26" s="451"/>
      <c r="W26" s="451"/>
    </row>
    <row r="27" spans="1:25" x14ac:dyDescent="0.25">
      <c r="A27" s="461"/>
      <c r="B27" s="461"/>
      <c r="C27" s="461"/>
      <c r="D27" s="461"/>
      <c r="E27" s="461"/>
      <c r="F27" s="461"/>
      <c r="G27" s="461"/>
      <c r="H27" s="461"/>
      <c r="I27" s="461"/>
      <c r="J27" s="462"/>
      <c r="K27" s="461"/>
      <c r="L27" s="462"/>
      <c r="M27" s="461"/>
      <c r="N27" s="461"/>
      <c r="O27" s="461"/>
      <c r="P27" s="461"/>
      <c r="Q27" s="461"/>
      <c r="R27" s="461"/>
      <c r="S27" s="461"/>
      <c r="T27" s="461"/>
      <c r="U27" s="461"/>
      <c r="V27" s="461"/>
      <c r="W27" s="461"/>
    </row>
    <row r="28" spans="1:25" x14ac:dyDescent="0.25">
      <c r="A28" s="33">
        <v>1</v>
      </c>
      <c r="B28" s="463" t="s">
        <v>1733</v>
      </c>
      <c r="C28" s="33" t="s">
        <v>1734</v>
      </c>
      <c r="D28" s="33" t="s">
        <v>163</v>
      </c>
      <c r="E28" s="33">
        <v>23.245200000000001</v>
      </c>
      <c r="F28" s="33">
        <v>6</v>
      </c>
      <c r="G28" s="33" t="s">
        <v>1735</v>
      </c>
      <c r="H28" s="33" t="s">
        <v>1736</v>
      </c>
      <c r="I28" s="33" t="s">
        <v>1737</v>
      </c>
      <c r="J28" s="33">
        <v>9577927</v>
      </c>
      <c r="K28" s="426">
        <v>44756</v>
      </c>
      <c r="L28" s="873">
        <v>9577927</v>
      </c>
      <c r="M28" s="464">
        <v>44989</v>
      </c>
      <c r="N28" s="33"/>
      <c r="O28" s="33" t="s">
        <v>25</v>
      </c>
      <c r="P28" s="33" t="s">
        <v>25</v>
      </c>
      <c r="Q28" s="33" t="s">
        <v>25</v>
      </c>
      <c r="R28" s="33"/>
      <c r="S28" s="33"/>
      <c r="T28" s="33"/>
      <c r="U28" s="33"/>
      <c r="V28" s="33" t="s">
        <v>1738</v>
      </c>
      <c r="W28" s="33">
        <v>23.245200000000001</v>
      </c>
    </row>
    <row r="29" spans="1:25" x14ac:dyDescent="0.25">
      <c r="A29" s="33">
        <v>2</v>
      </c>
      <c r="B29" s="463" t="s">
        <v>3708</v>
      </c>
      <c r="C29" s="463" t="s">
        <v>3709</v>
      </c>
      <c r="D29" s="463" t="s">
        <v>1739</v>
      </c>
      <c r="E29" s="463">
        <v>16.3</v>
      </c>
      <c r="F29" s="463" t="s">
        <v>1740</v>
      </c>
      <c r="G29" s="463" t="s">
        <v>1741</v>
      </c>
      <c r="H29" s="463" t="s">
        <v>1742</v>
      </c>
      <c r="I29" s="463" t="s">
        <v>1737</v>
      </c>
      <c r="J29" s="463">
        <v>8724564</v>
      </c>
      <c r="K29" s="464">
        <v>44728</v>
      </c>
      <c r="L29" s="873">
        <v>8724564</v>
      </c>
      <c r="M29" s="464">
        <v>44937</v>
      </c>
      <c r="N29" s="463"/>
      <c r="O29" s="463" t="s">
        <v>25</v>
      </c>
      <c r="P29" s="463" t="s">
        <v>25</v>
      </c>
      <c r="Q29" s="463" t="s">
        <v>25</v>
      </c>
      <c r="R29" s="463"/>
      <c r="S29" s="33"/>
      <c r="T29" s="33"/>
      <c r="U29" s="33"/>
      <c r="V29" s="33"/>
      <c r="W29" s="435">
        <v>16.3</v>
      </c>
    </row>
    <row r="30" spans="1:25" x14ac:dyDescent="0.25">
      <c r="A30" s="461"/>
      <c r="B30" s="461"/>
      <c r="C30" s="461"/>
      <c r="D30" s="461"/>
      <c r="E30" s="461"/>
      <c r="F30" s="461"/>
      <c r="G30" s="461"/>
      <c r="H30" s="461"/>
      <c r="I30" s="461"/>
      <c r="J30" s="462"/>
      <c r="K30" s="465"/>
      <c r="L30" s="462"/>
      <c r="M30" s="461"/>
      <c r="N30" s="461"/>
      <c r="O30" s="461"/>
      <c r="P30" s="461"/>
      <c r="Q30" s="461"/>
      <c r="R30" s="461"/>
      <c r="S30" s="461"/>
      <c r="T30" s="461"/>
      <c r="U30" s="461"/>
      <c r="V30" s="461"/>
      <c r="W30" s="461"/>
    </row>
    <row r="31" spans="1:25" x14ac:dyDescent="0.25">
      <c r="A31" s="29">
        <v>1</v>
      </c>
      <c r="B31" s="375" t="s">
        <v>351</v>
      </c>
      <c r="C31" s="375" t="s">
        <v>3057</v>
      </c>
      <c r="D31" s="29" t="s">
        <v>2546</v>
      </c>
      <c r="E31" s="29">
        <v>5.66</v>
      </c>
      <c r="F31" s="29">
        <v>20</v>
      </c>
      <c r="G31" s="29" t="s">
        <v>3154</v>
      </c>
      <c r="H31" s="29" t="s">
        <v>963</v>
      </c>
      <c r="I31" s="29" t="s">
        <v>2411</v>
      </c>
      <c r="J31" s="73">
        <v>3010230122729</v>
      </c>
      <c r="K31" s="185">
        <v>45091</v>
      </c>
      <c r="L31" s="425" t="s">
        <v>3619</v>
      </c>
      <c r="M31" s="427">
        <v>45146</v>
      </c>
      <c r="N31" s="29"/>
      <c r="O31" s="29" t="s">
        <v>25</v>
      </c>
      <c r="P31" s="29" t="s">
        <v>25</v>
      </c>
      <c r="Q31" s="29" t="s">
        <v>25</v>
      </c>
      <c r="R31" s="29"/>
      <c r="S31" s="29"/>
      <c r="T31" s="29"/>
      <c r="U31" s="29"/>
      <c r="V31" s="29"/>
      <c r="W31" s="29"/>
    </row>
    <row r="32" spans="1:25" x14ac:dyDescent="0.25">
      <c r="A32" s="375">
        <v>2</v>
      </c>
      <c r="B32" s="375" t="s">
        <v>351</v>
      </c>
      <c r="C32" s="375" t="s">
        <v>3241</v>
      </c>
      <c r="D32" s="375" t="s">
        <v>900</v>
      </c>
      <c r="E32" s="375">
        <v>7.17</v>
      </c>
      <c r="F32" s="375">
        <v>20</v>
      </c>
      <c r="G32" s="375" t="s">
        <v>3242</v>
      </c>
      <c r="H32" s="375" t="s">
        <v>964</v>
      </c>
      <c r="I32" s="375" t="s">
        <v>2411</v>
      </c>
      <c r="J32" s="425">
        <v>3060230215887</v>
      </c>
      <c r="K32" s="427">
        <v>45112</v>
      </c>
      <c r="L32" s="425" t="s">
        <v>3886</v>
      </c>
      <c r="M32" s="427">
        <v>45215</v>
      </c>
      <c r="N32" s="375"/>
      <c r="O32" s="375"/>
      <c r="P32" s="375"/>
      <c r="Q32" s="375"/>
      <c r="R32" s="375"/>
      <c r="S32" s="375"/>
      <c r="T32" s="375"/>
      <c r="U32" s="375"/>
      <c r="V32" s="375"/>
      <c r="W32" s="375"/>
    </row>
    <row r="33" spans="1:23" x14ac:dyDescent="0.25">
      <c r="A33" s="249">
        <v>3</v>
      </c>
      <c r="B33" s="375" t="s">
        <v>2015</v>
      </c>
      <c r="C33" s="249" t="s">
        <v>3248</v>
      </c>
      <c r="D33" s="249" t="s">
        <v>917</v>
      </c>
      <c r="E33" s="249">
        <v>40.302</v>
      </c>
      <c r="F33" s="249">
        <v>110</v>
      </c>
      <c r="G33" s="249" t="s">
        <v>4680</v>
      </c>
      <c r="H33" s="249" t="s">
        <v>4045</v>
      </c>
      <c r="I33" s="249" t="s">
        <v>2411</v>
      </c>
      <c r="J33" s="429">
        <v>3060240302271</v>
      </c>
      <c r="K33" s="430">
        <v>45380</v>
      </c>
      <c r="L33" s="429" t="s">
        <v>5252</v>
      </c>
      <c r="M33" s="430">
        <v>45384</v>
      </c>
      <c r="N33" s="249"/>
      <c r="O33" s="249"/>
      <c r="P33" s="249"/>
      <c r="Q33" s="249"/>
      <c r="R33" s="249"/>
      <c r="S33" s="249"/>
      <c r="T33" s="249"/>
      <c r="U33" s="249"/>
      <c r="V33" s="249"/>
      <c r="W33" s="249"/>
    </row>
    <row r="34" spans="1:23" x14ac:dyDescent="0.25">
      <c r="A34" s="461"/>
      <c r="B34" s="461"/>
      <c r="C34" s="461"/>
      <c r="D34" s="461"/>
      <c r="E34" s="461"/>
      <c r="F34" s="461"/>
      <c r="G34" s="461"/>
      <c r="H34" s="461"/>
      <c r="I34" s="461"/>
      <c r="J34" s="462"/>
      <c r="K34" s="461"/>
      <c r="L34" s="462"/>
      <c r="M34" s="461"/>
      <c r="N34" s="461"/>
      <c r="O34" s="461"/>
      <c r="P34" s="461"/>
      <c r="Q34" s="461"/>
      <c r="R34" s="461"/>
      <c r="S34" s="461"/>
      <c r="T34" s="461"/>
      <c r="U34" s="461"/>
      <c r="V34" s="461"/>
      <c r="W34" s="461"/>
    </row>
    <row r="35" spans="1:23" s="461" customFormat="1" ht="21.75" customHeight="1" x14ac:dyDescent="0.25">
      <c r="A35" s="501">
        <v>1</v>
      </c>
      <c r="B35" s="502" t="s">
        <v>3673</v>
      </c>
      <c r="C35" s="502" t="s">
        <v>3674</v>
      </c>
      <c r="D35" s="501" t="s">
        <v>156</v>
      </c>
      <c r="E35" s="501">
        <v>6.47072</v>
      </c>
      <c r="F35" s="501">
        <v>20</v>
      </c>
      <c r="G35" s="501" t="s">
        <v>3675</v>
      </c>
      <c r="H35" s="501"/>
      <c r="I35" s="501" t="s">
        <v>150</v>
      </c>
      <c r="J35" s="501" t="s">
        <v>3676</v>
      </c>
      <c r="K35" s="503">
        <v>45159</v>
      </c>
      <c r="L35" s="568"/>
      <c r="M35" s="501"/>
      <c r="N35" s="501"/>
      <c r="O35" s="501"/>
      <c r="P35" s="504" t="s">
        <v>3677</v>
      </c>
      <c r="Q35" s="501"/>
      <c r="R35" s="501"/>
      <c r="S35" s="501"/>
      <c r="T35" s="501"/>
      <c r="U35" s="501">
        <v>0</v>
      </c>
      <c r="V35" s="501"/>
      <c r="W35" s="501">
        <v>6.47072</v>
      </c>
    </row>
    <row r="36" spans="1:23" s="461" customFormat="1" ht="21.75" customHeight="1" x14ac:dyDescent="0.25">
      <c r="A36" s="381">
        <v>2</v>
      </c>
      <c r="B36" s="395" t="s">
        <v>3747</v>
      </c>
      <c r="C36" s="394" t="s">
        <v>3748</v>
      </c>
      <c r="D36" s="381" t="s">
        <v>156</v>
      </c>
      <c r="E36" s="381">
        <v>3.2387800000000002</v>
      </c>
      <c r="F36" s="381">
        <v>20</v>
      </c>
      <c r="G36" s="385" t="s">
        <v>3749</v>
      </c>
      <c r="H36" s="381"/>
      <c r="I36" s="381" t="s">
        <v>150</v>
      </c>
      <c r="J36" s="381">
        <v>11643985</v>
      </c>
      <c r="K36" s="382">
        <v>45201</v>
      </c>
      <c r="L36" s="782">
        <v>11643985</v>
      </c>
      <c r="M36" s="382">
        <v>45512</v>
      </c>
      <c r="N36" s="381"/>
      <c r="O36" s="381"/>
      <c r="P36" s="505"/>
      <c r="Q36" s="381"/>
      <c r="R36" s="381"/>
      <c r="S36" s="381"/>
      <c r="T36" s="381"/>
      <c r="U36" s="381">
        <v>0</v>
      </c>
      <c r="V36" s="381"/>
      <c r="W36" s="381">
        <v>3.2387800000000002</v>
      </c>
    </row>
    <row r="37" spans="1:23" s="461" customFormat="1" ht="21.75" customHeight="1" x14ac:dyDescent="0.25">
      <c r="A37" s="381">
        <v>3</v>
      </c>
      <c r="B37" s="395" t="s">
        <v>3968</v>
      </c>
      <c r="C37" s="394" t="s">
        <v>3969</v>
      </c>
      <c r="D37" s="381" t="s">
        <v>160</v>
      </c>
      <c r="E37" s="381">
        <v>147</v>
      </c>
      <c r="F37" s="381">
        <v>110</v>
      </c>
      <c r="G37" s="385" t="s">
        <v>3970</v>
      </c>
      <c r="H37" s="381"/>
      <c r="I37" s="381" t="s">
        <v>150</v>
      </c>
      <c r="J37" s="381">
        <v>17931139</v>
      </c>
      <c r="K37" s="382">
        <v>45246</v>
      </c>
      <c r="L37" s="782">
        <v>17931139</v>
      </c>
      <c r="M37" s="382">
        <v>45525</v>
      </c>
      <c r="N37" s="381"/>
      <c r="O37" s="381"/>
      <c r="P37" s="505"/>
      <c r="Q37" s="381" t="s">
        <v>3971</v>
      </c>
      <c r="R37" s="381" t="s">
        <v>3958</v>
      </c>
      <c r="S37" s="381"/>
      <c r="T37" s="381"/>
      <c r="U37" s="381">
        <v>0</v>
      </c>
      <c r="V37" s="381"/>
      <c r="W37" s="381">
        <v>147</v>
      </c>
    </row>
    <row r="39" spans="1:23" ht="105" x14ac:dyDescent="0.25">
      <c r="A39" s="807">
        <v>1</v>
      </c>
      <c r="B39" s="807" t="s">
        <v>1242</v>
      </c>
      <c r="C39" s="807" t="s">
        <v>1243</v>
      </c>
      <c r="D39" s="807" t="s">
        <v>495</v>
      </c>
      <c r="E39" s="808">
        <v>46.2</v>
      </c>
      <c r="F39" s="807">
        <v>110</v>
      </c>
      <c r="G39" s="807" t="s">
        <v>1244</v>
      </c>
      <c r="H39" s="807" t="s">
        <v>1244</v>
      </c>
      <c r="I39" s="807" t="s">
        <v>426</v>
      </c>
      <c r="J39" s="807">
        <v>1300000188</v>
      </c>
      <c r="K39" s="809">
        <v>45582</v>
      </c>
      <c r="L39" s="874">
        <v>3200082710</v>
      </c>
      <c r="M39" s="811">
        <v>44782</v>
      </c>
      <c r="N39" s="812" t="s">
        <v>5816</v>
      </c>
      <c r="O39" s="810"/>
      <c r="P39" s="810"/>
      <c r="Q39" s="810"/>
      <c r="R39" s="810">
        <v>8700022460</v>
      </c>
      <c r="S39" s="812">
        <v>45352</v>
      </c>
      <c r="T39" s="810">
        <v>30.8</v>
      </c>
      <c r="U39" s="810"/>
      <c r="V39" s="810">
        <v>30.8</v>
      </c>
      <c r="W39" s="808">
        <f>E39-T39</f>
        <v>15.400000000000002</v>
      </c>
    </row>
  </sheetData>
  <mergeCells count="8">
    <mergeCell ref="C8:F8"/>
    <mergeCell ref="C10:F10"/>
    <mergeCell ref="C2:F2"/>
    <mergeCell ref="C3:F3"/>
    <mergeCell ref="C4:F4"/>
    <mergeCell ref="C5:F5"/>
    <mergeCell ref="C6:F6"/>
    <mergeCell ref="C7:F7"/>
  </mergeCells>
  <conditionalFormatting sqref="J39">
    <cfRule type="duplicateValues" dxfId="11" priority="3"/>
  </conditionalFormatting>
  <conditionalFormatting sqref="J39">
    <cfRule type="duplicateValues" dxfId="10" priority="1"/>
    <cfRule type="duplicateValues" dxfId="9" priority="2"/>
  </conditionalFormatting>
  <pageMargins left="0.7" right="0.7" top="0.75" bottom="0.75" header="0.3" footer="0.3"/>
  <pageSetup paperSize="9" orientation="portrait" r:id="rId1"/>
  <headerFooter>
    <oddHeader>&amp;CCod: TEL – 07.50 Ed. I, rev. 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zoomScaleNormal="100" workbookViewId="0">
      <selection activeCell="H6" sqref="H6"/>
    </sheetView>
  </sheetViews>
  <sheetFormatPr defaultRowHeight="15" x14ac:dyDescent="0.25"/>
  <cols>
    <col min="1" max="1" width="5.85546875" customWidth="1"/>
    <col min="2" max="2" width="50.140625" customWidth="1"/>
    <col min="3" max="3" width="36" customWidth="1"/>
    <col min="4" max="4" width="14.7109375" customWidth="1"/>
    <col min="5" max="5" width="15.140625" customWidth="1"/>
    <col min="7" max="7" width="26.85546875" customWidth="1"/>
    <col min="8" max="8" width="53.28515625" customWidth="1"/>
    <col min="9" max="11" width="24" customWidth="1"/>
    <col min="12" max="13" width="14.140625"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3" ht="15.75" thickBot="1" x14ac:dyDescent="0.3"/>
    <row r="2" spans="1:23" x14ac:dyDescent="0.25">
      <c r="B2" s="23" t="s">
        <v>794</v>
      </c>
      <c r="C2" s="847">
        <v>45636</v>
      </c>
      <c r="D2" s="848"/>
      <c r="E2" s="848"/>
      <c r="F2" s="849"/>
      <c r="G2" s="24"/>
    </row>
    <row r="3" spans="1:23" ht="15.75" thickBot="1" x14ac:dyDescent="0.3">
      <c r="B3" s="25" t="s">
        <v>795</v>
      </c>
      <c r="C3" s="850" t="s">
        <v>796</v>
      </c>
      <c r="D3" s="850"/>
      <c r="E3" s="850"/>
      <c r="F3" s="851"/>
      <c r="G3" s="26"/>
    </row>
    <row r="4" spans="1:23" ht="15.75" x14ac:dyDescent="0.25">
      <c r="B4" s="27"/>
      <c r="C4" s="852" t="s">
        <v>797</v>
      </c>
      <c r="D4" s="852"/>
      <c r="E4" s="852"/>
      <c r="F4" s="853"/>
      <c r="G4" s="26"/>
    </row>
    <row r="5" spans="1:23" ht="15.75" thickBot="1" x14ac:dyDescent="0.3">
      <c r="B5" s="35"/>
      <c r="C5" s="858" t="s">
        <v>801</v>
      </c>
      <c r="D5" s="859"/>
      <c r="E5" s="859"/>
      <c r="F5" s="860"/>
    </row>
    <row r="6" spans="1:23" x14ac:dyDescent="0.25">
      <c r="B6" s="33"/>
      <c r="C6" s="861" t="s">
        <v>802</v>
      </c>
      <c r="D6" s="862"/>
      <c r="E6" s="862"/>
      <c r="F6" s="863"/>
    </row>
    <row r="7" spans="1:23" x14ac:dyDescent="0.25">
      <c r="B7" s="34"/>
      <c r="C7" s="864" t="s">
        <v>803</v>
      </c>
      <c r="D7" s="865"/>
      <c r="E7" s="865"/>
      <c r="F7" s="866"/>
    </row>
    <row r="8" spans="1:23" x14ac:dyDescent="0.25">
      <c r="B8" s="28"/>
      <c r="C8" s="854" t="s">
        <v>800</v>
      </c>
      <c r="D8" s="854"/>
      <c r="E8" s="854"/>
      <c r="F8" s="855"/>
      <c r="G8" s="26"/>
    </row>
    <row r="9" spans="1:23" x14ac:dyDescent="0.25">
      <c r="B9" s="32"/>
      <c r="C9" s="39" t="s">
        <v>799</v>
      </c>
      <c r="D9" s="40"/>
      <c r="E9" s="40"/>
      <c r="F9" s="41"/>
    </row>
    <row r="10" spans="1:23" ht="18" customHeight="1" x14ac:dyDescent="0.25">
      <c r="B10" s="29"/>
      <c r="C10" s="856" t="s">
        <v>804</v>
      </c>
      <c r="D10" s="856"/>
      <c r="E10" s="856"/>
      <c r="F10" s="857"/>
      <c r="G10" s="26" t="s">
        <v>798</v>
      </c>
    </row>
    <row r="11" spans="1:23" x14ac:dyDescent="0.25">
      <c r="B11" s="30"/>
      <c r="C11" s="42" t="s">
        <v>805</v>
      </c>
      <c r="D11" s="42"/>
      <c r="E11" s="42"/>
      <c r="F11" s="43"/>
      <c r="G11" s="26" t="s">
        <v>798</v>
      </c>
    </row>
    <row r="12" spans="1:23" x14ac:dyDescent="0.25">
      <c r="B12" s="31"/>
      <c r="C12" s="36" t="s">
        <v>806</v>
      </c>
      <c r="D12" s="37"/>
      <c r="E12" s="37"/>
      <c r="F12" s="38"/>
      <c r="G12" s="26" t="s">
        <v>798</v>
      </c>
    </row>
    <row r="13" spans="1:23" ht="15.75" thickBot="1" x14ac:dyDescent="0.3"/>
    <row r="14" spans="1:23" ht="39" thickBot="1" x14ac:dyDescent="0.3">
      <c r="A14" s="1" t="s">
        <v>28</v>
      </c>
      <c r="B14" s="4" t="s">
        <v>4</v>
      </c>
      <c r="C14" s="2" t="s">
        <v>5</v>
      </c>
      <c r="D14" s="4" t="s">
        <v>9</v>
      </c>
      <c r="E14" s="2" t="s">
        <v>2</v>
      </c>
      <c r="F14" s="2" t="s">
        <v>23</v>
      </c>
      <c r="G14" s="2" t="s">
        <v>10</v>
      </c>
      <c r="H14" s="2" t="s">
        <v>0</v>
      </c>
      <c r="I14" s="2" t="s">
        <v>11</v>
      </c>
      <c r="J14" s="5" t="s">
        <v>12</v>
      </c>
      <c r="K14" s="6" t="s">
        <v>13</v>
      </c>
      <c r="L14" s="2" t="s">
        <v>14</v>
      </c>
      <c r="M14" s="2" t="s">
        <v>24</v>
      </c>
      <c r="N14" s="7" t="s">
        <v>15</v>
      </c>
      <c r="O14" s="2" t="s">
        <v>16</v>
      </c>
      <c r="P14" s="2" t="s">
        <v>17</v>
      </c>
      <c r="Q14" s="2" t="s">
        <v>18</v>
      </c>
      <c r="R14" s="6" t="s">
        <v>19</v>
      </c>
      <c r="S14" s="6" t="s">
        <v>20</v>
      </c>
      <c r="T14" s="6" t="s">
        <v>21</v>
      </c>
      <c r="U14" s="6" t="s">
        <v>22</v>
      </c>
      <c r="V14" s="8" t="s">
        <v>26</v>
      </c>
      <c r="W14" s="3" t="s">
        <v>27</v>
      </c>
    </row>
    <row r="15" spans="1:23" x14ac:dyDescent="0.25">
      <c r="H15" s="9"/>
      <c r="O15" t="s">
        <v>25</v>
      </c>
      <c r="P15" t="s">
        <v>25</v>
      </c>
      <c r="Q15" t="s">
        <v>25</v>
      </c>
    </row>
    <row r="16" spans="1:23" x14ac:dyDescent="0.25">
      <c r="H16" s="10"/>
    </row>
  </sheetData>
  <mergeCells count="8">
    <mergeCell ref="C8:F8"/>
    <mergeCell ref="C10:F10"/>
    <mergeCell ref="C2:F2"/>
    <mergeCell ref="C3:F3"/>
    <mergeCell ref="C4:F4"/>
    <mergeCell ref="C5:F5"/>
    <mergeCell ref="C6:F6"/>
    <mergeCell ref="C7:F7"/>
  </mergeCells>
  <pageMargins left="0.7" right="0.7" top="0.75" bottom="0.75" header="0.3" footer="0.3"/>
  <pageSetup paperSize="9" orientation="portrait" r:id="rId1"/>
  <headerFooter>
    <oddHeader>&amp;CCod: TEL – 07.50 Ed. I, rev. 0</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zoomScaleNormal="100" workbookViewId="0">
      <selection activeCell="E30" sqref="E30"/>
    </sheetView>
  </sheetViews>
  <sheetFormatPr defaultRowHeight="15" x14ac:dyDescent="0.25"/>
  <cols>
    <col min="1" max="1" width="5.85546875" customWidth="1"/>
    <col min="2" max="2" width="50.140625" customWidth="1"/>
    <col min="3" max="3" width="36" customWidth="1"/>
    <col min="4" max="4" width="14.7109375" customWidth="1"/>
    <col min="5" max="5" width="15.140625" customWidth="1"/>
    <col min="7" max="7" width="26.85546875" customWidth="1"/>
    <col min="8" max="8" width="53.28515625" customWidth="1"/>
    <col min="9" max="11" width="24" customWidth="1"/>
    <col min="12" max="13" width="14.140625"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3" ht="15.75" thickBot="1" x14ac:dyDescent="0.3"/>
    <row r="2" spans="1:23" x14ac:dyDescent="0.25">
      <c r="B2" s="23" t="s">
        <v>794</v>
      </c>
      <c r="C2" s="847">
        <v>45636</v>
      </c>
      <c r="D2" s="848"/>
      <c r="E2" s="848"/>
      <c r="F2" s="849"/>
      <c r="G2" s="24"/>
    </row>
    <row r="3" spans="1:23" ht="15.75" thickBot="1" x14ac:dyDescent="0.3">
      <c r="B3" s="25" t="s">
        <v>795</v>
      </c>
      <c r="C3" s="850" t="s">
        <v>796</v>
      </c>
      <c r="D3" s="850"/>
      <c r="E3" s="850"/>
      <c r="F3" s="851"/>
      <c r="G3" s="26"/>
    </row>
    <row r="4" spans="1:23" ht="15.75" x14ac:dyDescent="0.25">
      <c r="B4" s="27"/>
      <c r="C4" s="852" t="s">
        <v>797</v>
      </c>
      <c r="D4" s="852"/>
      <c r="E4" s="852"/>
      <c r="F4" s="853"/>
      <c r="G4" s="26"/>
    </row>
    <row r="5" spans="1:23" ht="15.75" thickBot="1" x14ac:dyDescent="0.3">
      <c r="B5" s="35"/>
      <c r="C5" s="858" t="s">
        <v>801</v>
      </c>
      <c r="D5" s="859"/>
      <c r="E5" s="859"/>
      <c r="F5" s="860"/>
    </row>
    <row r="6" spans="1:23" x14ac:dyDescent="0.25">
      <c r="B6" s="33"/>
      <c r="C6" s="861" t="s">
        <v>802</v>
      </c>
      <c r="D6" s="862"/>
      <c r="E6" s="862"/>
      <c r="F6" s="863"/>
    </row>
    <row r="7" spans="1:23" x14ac:dyDescent="0.25">
      <c r="B7" s="34"/>
      <c r="C7" s="864" t="s">
        <v>803</v>
      </c>
      <c r="D7" s="865"/>
      <c r="E7" s="865"/>
      <c r="F7" s="866"/>
    </row>
    <row r="8" spans="1:23" x14ac:dyDescent="0.25">
      <c r="B8" s="28"/>
      <c r="C8" s="854" t="s">
        <v>800</v>
      </c>
      <c r="D8" s="854"/>
      <c r="E8" s="854"/>
      <c r="F8" s="855"/>
      <c r="G8" s="26"/>
    </row>
    <row r="9" spans="1:23" x14ac:dyDescent="0.25">
      <c r="B9" s="32"/>
      <c r="C9" s="39" t="s">
        <v>799</v>
      </c>
      <c r="D9" s="40"/>
      <c r="E9" s="40"/>
      <c r="F9" s="41"/>
    </row>
    <row r="10" spans="1:23" x14ac:dyDescent="0.25">
      <c r="B10" s="29"/>
      <c r="C10" s="856" t="s">
        <v>804</v>
      </c>
      <c r="D10" s="856"/>
      <c r="E10" s="856"/>
      <c r="F10" s="857"/>
      <c r="G10" s="26" t="s">
        <v>798</v>
      </c>
    </row>
    <row r="11" spans="1:23" x14ac:dyDescent="0.25">
      <c r="B11" s="30"/>
      <c r="C11" s="42" t="s">
        <v>805</v>
      </c>
      <c r="D11" s="42"/>
      <c r="E11" s="42"/>
      <c r="F11" s="43"/>
      <c r="G11" s="26" t="s">
        <v>798</v>
      </c>
    </row>
    <row r="12" spans="1:23" x14ac:dyDescent="0.25">
      <c r="B12" s="31"/>
      <c r="C12" s="36" t="s">
        <v>806</v>
      </c>
      <c r="D12" s="37"/>
      <c r="E12" s="37"/>
      <c r="F12" s="38"/>
      <c r="G12" s="26" t="s">
        <v>798</v>
      </c>
    </row>
    <row r="13" spans="1:23" ht="15.75" thickBot="1" x14ac:dyDescent="0.3"/>
    <row r="14" spans="1:23" ht="39" thickBot="1" x14ac:dyDescent="0.3">
      <c r="A14" s="1" t="s">
        <v>28</v>
      </c>
      <c r="B14" s="4" t="s">
        <v>4</v>
      </c>
      <c r="C14" s="2" t="s">
        <v>5</v>
      </c>
      <c r="D14" s="4" t="s">
        <v>9</v>
      </c>
      <c r="E14" s="2" t="s">
        <v>2</v>
      </c>
      <c r="F14" s="2" t="s">
        <v>23</v>
      </c>
      <c r="G14" s="2" t="s">
        <v>10</v>
      </c>
      <c r="H14" s="2" t="s">
        <v>0</v>
      </c>
      <c r="I14" s="2" t="s">
        <v>11</v>
      </c>
      <c r="J14" s="5" t="s">
        <v>12</v>
      </c>
      <c r="K14" s="6" t="s">
        <v>13</v>
      </c>
      <c r="L14" s="2" t="s">
        <v>14</v>
      </c>
      <c r="M14" s="2" t="s">
        <v>24</v>
      </c>
      <c r="N14" s="7" t="s">
        <v>15</v>
      </c>
      <c r="O14" s="2" t="s">
        <v>16</v>
      </c>
      <c r="P14" s="2" t="s">
        <v>17</v>
      </c>
      <c r="Q14" s="2" t="s">
        <v>18</v>
      </c>
      <c r="R14" s="6" t="s">
        <v>19</v>
      </c>
      <c r="S14" s="6" t="s">
        <v>20</v>
      </c>
      <c r="T14" s="6" t="s">
        <v>21</v>
      </c>
      <c r="U14" s="6" t="s">
        <v>22</v>
      </c>
      <c r="V14" s="8" t="s">
        <v>26</v>
      </c>
      <c r="W14" s="3" t="s">
        <v>27</v>
      </c>
    </row>
    <row r="15" spans="1:23" x14ac:dyDescent="0.25">
      <c r="H15" s="9"/>
    </row>
    <row r="16" spans="1:23" x14ac:dyDescent="0.25">
      <c r="A16" s="74">
        <v>1</v>
      </c>
      <c r="B16" s="74" t="s">
        <v>1027</v>
      </c>
      <c r="C16" s="74" t="s">
        <v>1028</v>
      </c>
      <c r="D16" s="74" t="s">
        <v>1029</v>
      </c>
      <c r="E16" s="74">
        <v>3.359</v>
      </c>
      <c r="F16" s="74">
        <v>20</v>
      </c>
      <c r="G16" s="74" t="s">
        <v>1030</v>
      </c>
      <c r="H16" s="74"/>
      <c r="I16" s="74" t="s">
        <v>1026</v>
      </c>
      <c r="J16" s="75">
        <v>6040210704031</v>
      </c>
      <c r="K16" s="74" t="s">
        <v>1031</v>
      </c>
      <c r="L16" s="74" t="s">
        <v>116</v>
      </c>
      <c r="M16" s="74" t="s">
        <v>116</v>
      </c>
      <c r="N16" s="74"/>
      <c r="O16" s="74" t="s">
        <v>25</v>
      </c>
      <c r="P16" s="74" t="s">
        <v>25</v>
      </c>
      <c r="Q16" s="74" t="s">
        <v>25</v>
      </c>
      <c r="R16" s="74"/>
      <c r="S16" s="74"/>
      <c r="T16" s="74"/>
      <c r="U16" s="74"/>
      <c r="V16" s="74"/>
      <c r="W16" s="74"/>
    </row>
    <row r="18" spans="1:23" x14ac:dyDescent="0.25">
      <c r="A18" s="28">
        <v>1</v>
      </c>
      <c r="B18" s="488" t="s">
        <v>3218</v>
      </c>
      <c r="C18" s="28" t="s">
        <v>3219</v>
      </c>
      <c r="D18" s="28" t="s">
        <v>284</v>
      </c>
      <c r="E18" s="28">
        <v>2.9940000000000002</v>
      </c>
      <c r="F18" s="28">
        <v>20</v>
      </c>
      <c r="G18" s="28" t="s">
        <v>339</v>
      </c>
      <c r="H18" s="28" t="s">
        <v>3220</v>
      </c>
      <c r="I18" s="28" t="s">
        <v>287</v>
      </c>
      <c r="J18" s="28">
        <v>1005210309</v>
      </c>
      <c r="K18" s="414">
        <v>45084</v>
      </c>
      <c r="L18" s="488" t="s">
        <v>3703</v>
      </c>
      <c r="M18" s="489">
        <v>45159</v>
      </c>
      <c r="N18" s="414">
        <v>45291</v>
      </c>
      <c r="O18" s="28" t="s">
        <v>25</v>
      </c>
      <c r="P18" s="28" t="s">
        <v>25</v>
      </c>
      <c r="Q18" s="28" t="s">
        <v>25</v>
      </c>
      <c r="R18" s="28"/>
      <c r="S18" s="28"/>
      <c r="T18" s="28"/>
      <c r="U18" s="28"/>
      <c r="V18" s="28"/>
      <c r="W18" s="28">
        <v>2.9940000000000002</v>
      </c>
    </row>
    <row r="19" spans="1:23" x14ac:dyDescent="0.25">
      <c r="K19" s="64"/>
    </row>
    <row r="20" spans="1:23" x14ac:dyDescent="0.25">
      <c r="A20" s="29">
        <v>1</v>
      </c>
      <c r="B20" s="29" t="s">
        <v>2015</v>
      </c>
      <c r="C20" s="29" t="s">
        <v>3248</v>
      </c>
      <c r="D20" s="29" t="s">
        <v>917</v>
      </c>
      <c r="E20" s="29">
        <v>40.302</v>
      </c>
      <c r="F20" s="29">
        <v>110</v>
      </c>
      <c r="G20" s="29" t="s">
        <v>4680</v>
      </c>
      <c r="H20" s="29" t="s">
        <v>4045</v>
      </c>
      <c r="I20" s="29" t="s">
        <v>2411</v>
      </c>
      <c r="J20" s="73">
        <v>3060240302271</v>
      </c>
      <c r="K20" s="185">
        <v>45380</v>
      </c>
      <c r="L20" s="29"/>
      <c r="M20" s="29"/>
      <c r="N20" s="29"/>
      <c r="O20" s="29"/>
      <c r="P20" s="29"/>
      <c r="Q20" s="29"/>
      <c r="R20" s="29"/>
      <c r="S20" s="29"/>
      <c r="T20" s="29"/>
      <c r="U20" s="29"/>
      <c r="V20" s="29"/>
      <c r="W20" s="29"/>
    </row>
    <row r="22" spans="1:23" ht="30" x14ac:dyDescent="0.25">
      <c r="A22" s="677">
        <v>1</v>
      </c>
      <c r="B22" s="677" t="s">
        <v>5054</v>
      </c>
      <c r="C22" s="677" t="s">
        <v>5054</v>
      </c>
      <c r="D22" s="677" t="s">
        <v>779</v>
      </c>
      <c r="E22" s="677">
        <v>3.2770000000000001</v>
      </c>
      <c r="F22" s="677">
        <v>20</v>
      </c>
      <c r="G22" s="677"/>
      <c r="H22" s="678" t="s">
        <v>5055</v>
      </c>
      <c r="I22" s="677" t="s">
        <v>426</v>
      </c>
      <c r="J22" s="677">
        <v>1400000068</v>
      </c>
      <c r="K22" s="679">
        <v>45458</v>
      </c>
      <c r="L22" s="677"/>
      <c r="M22" s="677"/>
      <c r="N22" s="679">
        <v>45823</v>
      </c>
      <c r="O22" s="677" t="s">
        <v>25</v>
      </c>
      <c r="P22" s="677" t="s">
        <v>25</v>
      </c>
      <c r="Q22" s="677" t="s">
        <v>25</v>
      </c>
      <c r="R22" s="677"/>
      <c r="S22" s="677"/>
      <c r="T22" s="677"/>
      <c r="U22" s="677"/>
      <c r="V22" s="677"/>
      <c r="W22" s="677">
        <v>3.2770000000000001</v>
      </c>
    </row>
    <row r="23" spans="1:23" ht="30" x14ac:dyDescent="0.25">
      <c r="A23" s="677">
        <v>2</v>
      </c>
      <c r="B23" s="677"/>
      <c r="C23" s="777" t="s">
        <v>5893</v>
      </c>
      <c r="D23" s="677" t="s">
        <v>779</v>
      </c>
      <c r="E23" s="677">
        <v>3.4340000000000002</v>
      </c>
      <c r="F23" s="677">
        <v>20</v>
      </c>
      <c r="G23" s="677"/>
      <c r="H23" s="678" t="s">
        <v>5894</v>
      </c>
      <c r="I23" s="677" t="s">
        <v>426</v>
      </c>
      <c r="J23" s="677">
        <v>1400000072</v>
      </c>
      <c r="K23" s="679">
        <v>45603</v>
      </c>
      <c r="L23" s="677"/>
      <c r="M23" s="677"/>
      <c r="N23" s="677" t="s">
        <v>5895</v>
      </c>
      <c r="O23" s="677"/>
      <c r="P23" s="677"/>
      <c r="Q23" s="677"/>
      <c r="R23" s="677"/>
      <c r="S23" s="677"/>
      <c r="T23" s="677"/>
      <c r="U23" s="677"/>
      <c r="V23" s="677"/>
      <c r="W23" s="677">
        <v>3.4340000000000002</v>
      </c>
    </row>
  </sheetData>
  <mergeCells count="8">
    <mergeCell ref="C8:F8"/>
    <mergeCell ref="C10:F10"/>
    <mergeCell ref="C2:F2"/>
    <mergeCell ref="C3:F3"/>
    <mergeCell ref="C4:F4"/>
    <mergeCell ref="C5:F5"/>
    <mergeCell ref="C6:F6"/>
    <mergeCell ref="C7:F7"/>
  </mergeCells>
  <pageMargins left="0.7" right="0.7" top="0.75" bottom="0.75" header="0.3" footer="0.3"/>
  <pageSetup paperSize="9" orientation="portrait" r:id="rId1"/>
  <headerFooter>
    <oddHeader>&amp;CCod: TEL – 07.50 Ed. I, rev. 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852"/>
  <sheetViews>
    <sheetView topLeftCell="B1" zoomScale="80" zoomScaleNormal="80" workbookViewId="0">
      <selection activeCell="K7" sqref="K7"/>
    </sheetView>
  </sheetViews>
  <sheetFormatPr defaultRowHeight="15" x14ac:dyDescent="0.25"/>
  <cols>
    <col min="1" max="1" width="5.85546875" customWidth="1"/>
    <col min="2" max="2" width="44.42578125" customWidth="1"/>
    <col min="3" max="3" width="32.28515625" customWidth="1"/>
    <col min="4" max="4" width="13" customWidth="1"/>
    <col min="5" max="5" width="11" customWidth="1"/>
    <col min="7" max="7" width="31.42578125" customWidth="1"/>
    <col min="8" max="8" width="14.85546875" customWidth="1"/>
    <col min="9" max="9" width="19.42578125" customWidth="1"/>
    <col min="10" max="10" width="23.140625" style="76" customWidth="1"/>
    <col min="11" max="11" width="24" style="64" customWidth="1"/>
    <col min="12" max="12" width="16.28515625" style="95" customWidth="1"/>
    <col min="13" max="13" width="14.140625" style="64"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 min="25" max="25" width="9.140625" style="60"/>
  </cols>
  <sheetData>
    <row r="1" spans="1:23" ht="15.75" thickBot="1" x14ac:dyDescent="0.3"/>
    <row r="2" spans="1:23" x14ac:dyDescent="0.25">
      <c r="B2" s="23" t="s">
        <v>794</v>
      </c>
      <c r="C2" s="847">
        <v>45636</v>
      </c>
      <c r="D2" s="848"/>
      <c r="E2" s="848"/>
      <c r="F2" s="849"/>
      <c r="G2" s="24"/>
    </row>
    <row r="3" spans="1:23" ht="15.75" thickBot="1" x14ac:dyDescent="0.3">
      <c r="B3" s="25" t="s">
        <v>795</v>
      </c>
      <c r="C3" s="850" t="s">
        <v>796</v>
      </c>
      <c r="D3" s="850"/>
      <c r="E3" s="850"/>
      <c r="F3" s="851"/>
      <c r="G3" s="26"/>
    </row>
    <row r="4" spans="1:23" ht="15.75" x14ac:dyDescent="0.25">
      <c r="B4" s="27"/>
      <c r="C4" s="852" t="s">
        <v>797</v>
      </c>
      <c r="D4" s="852"/>
      <c r="E4" s="852"/>
      <c r="F4" s="853"/>
      <c r="G4" s="26"/>
    </row>
    <row r="5" spans="1:23" ht="15.75" thickBot="1" x14ac:dyDescent="0.3">
      <c r="B5" s="35"/>
      <c r="C5" s="858" t="s">
        <v>801</v>
      </c>
      <c r="D5" s="859"/>
      <c r="E5" s="859"/>
      <c r="F5" s="860"/>
    </row>
    <row r="6" spans="1:23" x14ac:dyDescent="0.25">
      <c r="B6" s="33"/>
      <c r="C6" s="861" t="s">
        <v>802</v>
      </c>
      <c r="D6" s="862"/>
      <c r="E6" s="862"/>
      <c r="F6" s="863"/>
    </row>
    <row r="7" spans="1:23" x14ac:dyDescent="0.25">
      <c r="B7" s="34"/>
      <c r="C7" s="864" t="s">
        <v>803</v>
      </c>
      <c r="D7" s="865"/>
      <c r="E7" s="865"/>
      <c r="F7" s="866"/>
    </row>
    <row r="8" spans="1:23" x14ac:dyDescent="0.25">
      <c r="B8" s="28"/>
      <c r="C8" s="854" t="s">
        <v>800</v>
      </c>
      <c r="D8" s="854"/>
      <c r="E8" s="854"/>
      <c r="F8" s="855"/>
      <c r="G8" s="26"/>
    </row>
    <row r="9" spans="1:23" x14ac:dyDescent="0.25">
      <c r="B9" s="32"/>
      <c r="C9" s="39" t="s">
        <v>799</v>
      </c>
      <c r="D9" s="40"/>
      <c r="E9" s="40"/>
      <c r="F9" s="41"/>
    </row>
    <row r="10" spans="1:23" x14ac:dyDescent="0.25">
      <c r="B10" s="29"/>
      <c r="C10" s="856" t="s">
        <v>804</v>
      </c>
      <c r="D10" s="856"/>
      <c r="E10" s="856"/>
      <c r="F10" s="857"/>
      <c r="G10" s="26" t="s">
        <v>798</v>
      </c>
    </row>
    <row r="11" spans="1:23" x14ac:dyDescent="0.25">
      <c r="B11" s="30"/>
      <c r="C11" s="42" t="s">
        <v>805</v>
      </c>
      <c r="D11" s="42"/>
      <c r="E11" s="42"/>
      <c r="F11" s="43"/>
      <c r="G11" s="26" t="s">
        <v>798</v>
      </c>
    </row>
    <row r="12" spans="1:23" x14ac:dyDescent="0.25">
      <c r="B12" s="31"/>
      <c r="C12" s="36" t="s">
        <v>806</v>
      </c>
      <c r="D12" s="37"/>
      <c r="E12" s="37"/>
      <c r="F12" s="38"/>
      <c r="G12" s="26" t="s">
        <v>798</v>
      </c>
    </row>
    <row r="13" spans="1:23" ht="15.75" thickBot="1" x14ac:dyDescent="0.3"/>
    <row r="14" spans="1:23" ht="39" thickBot="1" x14ac:dyDescent="0.3">
      <c r="A14" s="1" t="s">
        <v>28</v>
      </c>
      <c r="B14" s="4" t="s">
        <v>4</v>
      </c>
      <c r="C14" s="2" t="s">
        <v>5</v>
      </c>
      <c r="D14" s="4" t="s">
        <v>9</v>
      </c>
      <c r="E14" s="2" t="s">
        <v>2</v>
      </c>
      <c r="F14" s="2" t="s">
        <v>23</v>
      </c>
      <c r="G14" s="2" t="s">
        <v>10</v>
      </c>
      <c r="H14" s="2" t="s">
        <v>0</v>
      </c>
      <c r="I14" s="2" t="s">
        <v>11</v>
      </c>
      <c r="J14" s="77" t="s">
        <v>12</v>
      </c>
      <c r="K14" s="65" t="s">
        <v>13</v>
      </c>
      <c r="L14" s="208" t="s">
        <v>14</v>
      </c>
      <c r="M14" s="67" t="s">
        <v>24</v>
      </c>
      <c r="N14" s="7" t="s">
        <v>15</v>
      </c>
      <c r="O14" s="2" t="s">
        <v>16</v>
      </c>
      <c r="P14" s="2" t="s">
        <v>17</v>
      </c>
      <c r="Q14" s="2" t="s">
        <v>18</v>
      </c>
      <c r="R14" s="6" t="s">
        <v>19</v>
      </c>
      <c r="S14" s="6" t="s">
        <v>20</v>
      </c>
      <c r="T14" s="6" t="s">
        <v>21</v>
      </c>
      <c r="U14" s="6" t="s">
        <v>22</v>
      </c>
      <c r="V14" s="8" t="s">
        <v>26</v>
      </c>
      <c r="W14" s="3" t="s">
        <v>27</v>
      </c>
    </row>
    <row r="15" spans="1:23" ht="114.75" x14ac:dyDescent="0.25">
      <c r="A15" s="125">
        <v>1</v>
      </c>
      <c r="B15" s="108" t="s">
        <v>75</v>
      </c>
      <c r="C15" s="108" t="s">
        <v>76</v>
      </c>
      <c r="D15" s="108" t="s">
        <v>77</v>
      </c>
      <c r="E15" s="108">
        <v>39.131</v>
      </c>
      <c r="F15" s="108">
        <v>110</v>
      </c>
      <c r="G15" s="108" t="s">
        <v>78</v>
      </c>
      <c r="H15" s="109" t="s">
        <v>79</v>
      </c>
      <c r="I15" s="110" t="s">
        <v>91</v>
      </c>
      <c r="J15" s="544">
        <v>6</v>
      </c>
      <c r="K15" s="112">
        <v>43349</v>
      </c>
      <c r="L15" s="190" t="s">
        <v>80</v>
      </c>
      <c r="M15" s="112">
        <v>43712</v>
      </c>
      <c r="N15" s="111" t="s">
        <v>81</v>
      </c>
      <c r="O15" s="111"/>
      <c r="P15" s="111"/>
      <c r="Q15" s="111"/>
      <c r="R15" s="111"/>
      <c r="S15" s="111"/>
      <c r="T15" s="111"/>
      <c r="U15" s="111"/>
      <c r="V15" s="161">
        <v>0</v>
      </c>
      <c r="W15" s="515">
        <v>39.131</v>
      </c>
    </row>
    <row r="16" spans="1:23" ht="51" x14ac:dyDescent="0.25">
      <c r="A16" s="117">
        <v>2</v>
      </c>
      <c r="B16" s="113" t="s">
        <v>82</v>
      </c>
      <c r="C16" s="113" t="s">
        <v>83</v>
      </c>
      <c r="D16" s="113" t="s">
        <v>84</v>
      </c>
      <c r="E16" s="113">
        <v>131.25</v>
      </c>
      <c r="F16" s="113">
        <v>220</v>
      </c>
      <c r="G16" s="113" t="s">
        <v>85</v>
      </c>
      <c r="H16" s="114" t="s">
        <v>86</v>
      </c>
      <c r="I16" s="115" t="s">
        <v>91</v>
      </c>
      <c r="J16" s="545" t="s">
        <v>3875</v>
      </c>
      <c r="K16" s="116" t="s">
        <v>3876</v>
      </c>
      <c r="L16" s="191" t="s">
        <v>87</v>
      </c>
      <c r="M16" s="116" t="s">
        <v>88</v>
      </c>
      <c r="N16" s="114">
        <v>2022</v>
      </c>
      <c r="O16" s="114"/>
      <c r="P16" s="114"/>
      <c r="Q16" s="114"/>
      <c r="R16" s="114"/>
      <c r="S16" s="114"/>
      <c r="T16" s="114"/>
      <c r="U16" s="114"/>
      <c r="V16" s="155"/>
      <c r="W16" s="516">
        <v>131.25</v>
      </c>
    </row>
    <row r="17" spans="1:60" ht="90" thickBot="1" x14ac:dyDescent="0.3">
      <c r="A17" s="117">
        <v>3</v>
      </c>
      <c r="B17" s="117" t="s">
        <v>2446</v>
      </c>
      <c r="C17" s="117" t="s">
        <v>89</v>
      </c>
      <c r="D17" s="117" t="s">
        <v>90</v>
      </c>
      <c r="E17" s="118">
        <v>65.018000000000001</v>
      </c>
      <c r="F17" s="119">
        <v>110</v>
      </c>
      <c r="G17" s="117" t="s">
        <v>3864</v>
      </c>
      <c r="H17" s="117" t="s">
        <v>3865</v>
      </c>
      <c r="I17" s="115" t="s">
        <v>91</v>
      </c>
      <c r="J17" s="546" t="s">
        <v>3870</v>
      </c>
      <c r="K17" s="120" t="s">
        <v>3869</v>
      </c>
      <c r="L17" s="192"/>
      <c r="M17" s="120"/>
      <c r="N17" s="512">
        <v>45199</v>
      </c>
      <c r="O17" s="117"/>
      <c r="P17" s="117"/>
      <c r="Q17" s="117"/>
      <c r="R17" s="119"/>
      <c r="S17" s="119"/>
      <c r="T17" s="119"/>
      <c r="U17" s="119"/>
      <c r="V17" s="154"/>
      <c r="W17" s="517">
        <v>65.018000000000001</v>
      </c>
    </row>
    <row r="18" spans="1:60" ht="51" customHeight="1" x14ac:dyDescent="0.25">
      <c r="A18" s="125">
        <v>4</v>
      </c>
      <c r="B18" s="117" t="s">
        <v>92</v>
      </c>
      <c r="C18" s="124" t="s">
        <v>93</v>
      </c>
      <c r="D18" s="117" t="s">
        <v>94</v>
      </c>
      <c r="E18" s="118">
        <v>134.04</v>
      </c>
      <c r="F18" s="117">
        <v>220</v>
      </c>
      <c r="G18" s="117" t="s">
        <v>95</v>
      </c>
      <c r="H18" s="117" t="s">
        <v>96</v>
      </c>
      <c r="I18" s="115" t="s">
        <v>91</v>
      </c>
      <c r="J18" s="547" t="s">
        <v>97</v>
      </c>
      <c r="K18" s="120">
        <v>44497</v>
      </c>
      <c r="L18" s="192"/>
      <c r="M18" s="120"/>
      <c r="N18" s="120">
        <v>46022</v>
      </c>
      <c r="O18" s="117"/>
      <c r="P18" s="120"/>
      <c r="Q18" s="117"/>
      <c r="R18" s="119"/>
      <c r="S18" s="119"/>
      <c r="T18" s="119"/>
      <c r="U18" s="119"/>
      <c r="V18" s="154"/>
      <c r="W18" s="517">
        <v>134.04</v>
      </c>
      <c r="X18" s="93"/>
      <c r="Y18" s="101"/>
      <c r="Z18" s="93"/>
    </row>
    <row r="19" spans="1:60" ht="89.25" x14ac:dyDescent="0.25">
      <c r="A19" s="117">
        <v>5</v>
      </c>
      <c r="B19" s="117" t="s">
        <v>829</v>
      </c>
      <c r="C19" s="124" t="s">
        <v>830</v>
      </c>
      <c r="D19" s="117" t="s">
        <v>112</v>
      </c>
      <c r="E19" s="117">
        <v>1043.7</v>
      </c>
      <c r="F19" s="117">
        <v>400</v>
      </c>
      <c r="G19" s="117" t="s">
        <v>831</v>
      </c>
      <c r="H19" s="117" t="s">
        <v>3871</v>
      </c>
      <c r="I19" s="117" t="s">
        <v>832</v>
      </c>
      <c r="J19" s="547" t="s">
        <v>833</v>
      </c>
      <c r="K19" s="120">
        <v>44642</v>
      </c>
      <c r="L19" s="192"/>
      <c r="M19" s="120"/>
      <c r="N19" s="120">
        <v>45656</v>
      </c>
      <c r="O19" s="117"/>
      <c r="P19" s="117"/>
      <c r="Q19" s="117"/>
      <c r="R19" s="117"/>
      <c r="S19" s="117"/>
      <c r="T19" s="117"/>
      <c r="U19" s="117"/>
      <c r="V19" s="153"/>
      <c r="W19" s="518">
        <v>1043.7</v>
      </c>
      <c r="X19" s="93"/>
      <c r="Y19" s="101"/>
      <c r="Z19" s="93"/>
    </row>
    <row r="20" spans="1:60" ht="51" customHeight="1" thickBot="1" x14ac:dyDescent="0.3">
      <c r="A20" s="117">
        <v>6</v>
      </c>
      <c r="B20" s="117" t="s">
        <v>834</v>
      </c>
      <c r="C20" s="124" t="s">
        <v>835</v>
      </c>
      <c r="D20" s="117" t="s">
        <v>836</v>
      </c>
      <c r="E20" s="117">
        <v>165.14099999999999</v>
      </c>
      <c r="F20" s="121">
        <v>400</v>
      </c>
      <c r="G20" s="121" t="s">
        <v>1307</v>
      </c>
      <c r="H20" s="121" t="s">
        <v>1308</v>
      </c>
      <c r="I20" s="115" t="s">
        <v>91</v>
      </c>
      <c r="J20" s="548" t="s">
        <v>1309</v>
      </c>
      <c r="K20" s="197">
        <v>44769</v>
      </c>
      <c r="L20" s="193"/>
      <c r="M20" s="120"/>
      <c r="N20" s="120">
        <v>45565</v>
      </c>
      <c r="O20" s="121"/>
      <c r="P20" s="120"/>
      <c r="Q20" s="121"/>
      <c r="R20" s="122"/>
      <c r="S20" s="122"/>
      <c r="T20" s="122"/>
      <c r="U20" s="122"/>
      <c r="V20" s="158"/>
      <c r="W20" s="518">
        <v>165.14099999999999</v>
      </c>
      <c r="X20" s="152"/>
      <c r="Y20" s="156"/>
      <c r="Z20" s="157"/>
    </row>
    <row r="21" spans="1:60" ht="69" customHeight="1" x14ac:dyDescent="0.25">
      <c r="A21" s="125">
        <v>7</v>
      </c>
      <c r="B21" s="123" t="s">
        <v>1241</v>
      </c>
      <c r="C21" s="124" t="s">
        <v>1239</v>
      </c>
      <c r="D21" s="124" t="s">
        <v>1240</v>
      </c>
      <c r="E21" s="124">
        <v>108.69</v>
      </c>
      <c r="F21" s="121">
        <v>110</v>
      </c>
      <c r="G21" s="121" t="s">
        <v>1310</v>
      </c>
      <c r="H21" s="121" t="s">
        <v>1311</v>
      </c>
      <c r="I21" s="115" t="s">
        <v>91</v>
      </c>
      <c r="J21" s="548" t="s">
        <v>4844</v>
      </c>
      <c r="K21" s="197">
        <v>45380</v>
      </c>
      <c r="L21" s="193"/>
      <c r="M21" s="120"/>
      <c r="N21" s="197">
        <v>46022</v>
      </c>
      <c r="O21" s="121"/>
      <c r="P21" s="120"/>
      <c r="Q21" s="121"/>
      <c r="R21" s="122"/>
      <c r="S21" s="122"/>
      <c r="T21" s="122"/>
      <c r="U21" s="122"/>
      <c r="V21" s="158"/>
      <c r="W21" s="519">
        <v>108.69</v>
      </c>
      <c r="X21" s="152"/>
      <c r="Y21" s="156"/>
      <c r="Z21" s="157"/>
    </row>
    <row r="22" spans="1:60" ht="54" customHeight="1" x14ac:dyDescent="0.25">
      <c r="A22" s="117">
        <v>8</v>
      </c>
      <c r="B22" s="163" t="s">
        <v>1777</v>
      </c>
      <c r="C22" s="163" t="s">
        <v>1778</v>
      </c>
      <c r="D22" s="163" t="s">
        <v>112</v>
      </c>
      <c r="E22" s="167">
        <v>363.7</v>
      </c>
      <c r="F22" s="163">
        <v>400</v>
      </c>
      <c r="G22" s="163" t="s">
        <v>1779</v>
      </c>
      <c r="H22" s="163" t="s">
        <v>1780</v>
      </c>
      <c r="I22" s="168" t="s">
        <v>91</v>
      </c>
      <c r="J22" s="549" t="s">
        <v>1781</v>
      </c>
      <c r="K22" s="198">
        <v>44778</v>
      </c>
      <c r="L22" s="194"/>
      <c r="M22" s="169" t="s">
        <v>1782</v>
      </c>
      <c r="N22" s="164">
        <v>45143</v>
      </c>
      <c r="O22" s="163" t="s">
        <v>1783</v>
      </c>
      <c r="P22" s="169">
        <v>45656</v>
      </c>
      <c r="Q22" s="166"/>
      <c r="R22" s="170"/>
      <c r="S22" s="170"/>
      <c r="T22" s="170"/>
      <c r="U22" s="170"/>
      <c r="V22" s="160"/>
      <c r="W22" s="520">
        <v>363.7</v>
      </c>
      <c r="X22" s="162"/>
      <c r="Y22" s="243"/>
      <c r="Z22" s="157"/>
    </row>
    <row r="23" spans="1:60" ht="51.75" customHeight="1" thickBot="1" x14ac:dyDescent="0.3">
      <c r="A23" s="117">
        <v>9</v>
      </c>
      <c r="B23" s="171" t="s">
        <v>1784</v>
      </c>
      <c r="C23" s="166" t="s">
        <v>1785</v>
      </c>
      <c r="D23" s="166" t="s">
        <v>112</v>
      </c>
      <c r="E23" s="172">
        <v>302.77</v>
      </c>
      <c r="F23" s="166">
        <v>400</v>
      </c>
      <c r="G23" s="166" t="s">
        <v>1779</v>
      </c>
      <c r="H23" s="166" t="s">
        <v>1786</v>
      </c>
      <c r="I23" s="173" t="s">
        <v>91</v>
      </c>
      <c r="J23" s="550" t="s">
        <v>1787</v>
      </c>
      <c r="K23" s="199">
        <v>44781</v>
      </c>
      <c r="L23" s="210"/>
      <c r="M23" s="169" t="s">
        <v>1782</v>
      </c>
      <c r="N23" s="174">
        <v>45146</v>
      </c>
      <c r="O23" s="166" t="s">
        <v>1783</v>
      </c>
      <c r="P23" s="175">
        <v>45656</v>
      </c>
      <c r="Q23" s="166"/>
      <c r="R23" s="170"/>
      <c r="S23" s="170"/>
      <c r="T23" s="170"/>
      <c r="U23" s="170"/>
      <c r="V23" s="160"/>
      <c r="W23" s="521">
        <v>302.77</v>
      </c>
      <c r="X23" s="162"/>
      <c r="Y23" s="243"/>
      <c r="Z23" s="157"/>
    </row>
    <row r="24" spans="1:60" ht="54.75" customHeight="1" x14ac:dyDescent="0.25">
      <c r="A24" s="125">
        <v>10</v>
      </c>
      <c r="B24" s="276" t="s">
        <v>1788</v>
      </c>
      <c r="C24" s="163" t="s">
        <v>1789</v>
      </c>
      <c r="D24" s="163" t="s">
        <v>836</v>
      </c>
      <c r="E24" s="167">
        <v>221.88200000000001</v>
      </c>
      <c r="F24" s="163">
        <v>400</v>
      </c>
      <c r="G24" s="163" t="s">
        <v>1790</v>
      </c>
      <c r="H24" s="163" t="s">
        <v>1791</v>
      </c>
      <c r="I24" s="168" t="s">
        <v>91</v>
      </c>
      <c r="J24" s="549" t="s">
        <v>3716</v>
      </c>
      <c r="K24" s="198" t="s">
        <v>3717</v>
      </c>
      <c r="L24" s="194"/>
      <c r="M24" s="169" t="s">
        <v>1782</v>
      </c>
      <c r="N24" s="164">
        <v>45164</v>
      </c>
      <c r="O24" s="163" t="s">
        <v>1783</v>
      </c>
      <c r="P24" s="169">
        <v>45504</v>
      </c>
      <c r="Q24" s="163"/>
      <c r="R24" s="165"/>
      <c r="S24" s="165"/>
      <c r="T24" s="165"/>
      <c r="U24" s="165"/>
      <c r="V24" s="159"/>
      <c r="W24" s="520">
        <v>221.88200000000001</v>
      </c>
      <c r="X24" s="162"/>
      <c r="Y24" s="243"/>
      <c r="Z24" s="157"/>
    </row>
    <row r="25" spans="1:60" ht="57" customHeight="1" x14ac:dyDescent="0.25">
      <c r="A25" s="117">
        <v>11</v>
      </c>
      <c r="B25" s="277" t="s">
        <v>1792</v>
      </c>
      <c r="C25" s="171" t="s">
        <v>1793</v>
      </c>
      <c r="D25" s="171" t="s">
        <v>94</v>
      </c>
      <c r="E25" s="172">
        <v>72</v>
      </c>
      <c r="F25" s="171"/>
      <c r="G25" s="166" t="s">
        <v>1794</v>
      </c>
      <c r="H25" s="171" t="s">
        <v>1795</v>
      </c>
      <c r="I25" s="173" t="s">
        <v>91</v>
      </c>
      <c r="J25" s="550" t="s">
        <v>1796</v>
      </c>
      <c r="K25" s="199">
        <v>44799</v>
      </c>
      <c r="L25" s="210"/>
      <c r="M25" s="175" t="s">
        <v>1782</v>
      </c>
      <c r="N25" s="174">
        <v>45164</v>
      </c>
      <c r="O25" s="166" t="s">
        <v>1783</v>
      </c>
      <c r="P25" s="175">
        <v>45474</v>
      </c>
      <c r="Q25" s="166" t="s">
        <v>1797</v>
      </c>
      <c r="R25" s="166" t="s">
        <v>1797</v>
      </c>
      <c r="S25" s="166" t="s">
        <v>1797</v>
      </c>
      <c r="T25" s="246"/>
      <c r="U25" s="246"/>
      <c r="V25" s="247"/>
      <c r="W25" s="521">
        <v>72</v>
      </c>
      <c r="X25" s="162"/>
      <c r="Y25" s="243"/>
      <c r="Z25" s="157"/>
    </row>
    <row r="26" spans="1:60" ht="57" customHeight="1" thickBot="1" x14ac:dyDescent="0.3">
      <c r="A26" s="117">
        <v>12</v>
      </c>
      <c r="B26" s="278" t="s">
        <v>2009</v>
      </c>
      <c r="C26" s="166" t="s">
        <v>2010</v>
      </c>
      <c r="D26" s="166" t="s">
        <v>836</v>
      </c>
      <c r="E26" s="266">
        <v>121.298</v>
      </c>
      <c r="F26" s="166">
        <v>220</v>
      </c>
      <c r="G26" s="166" t="s">
        <v>2011</v>
      </c>
      <c r="H26" s="166" t="s">
        <v>2012</v>
      </c>
      <c r="I26" s="173" t="s">
        <v>91</v>
      </c>
      <c r="J26" s="551" t="s">
        <v>2013</v>
      </c>
      <c r="K26" s="267">
        <v>44881</v>
      </c>
      <c r="L26" s="210"/>
      <c r="M26" s="175" t="s">
        <v>2014</v>
      </c>
      <c r="N26" s="268">
        <v>45246</v>
      </c>
      <c r="O26" s="166" t="s">
        <v>1783</v>
      </c>
      <c r="P26" s="175">
        <v>46022</v>
      </c>
      <c r="Q26" s="166"/>
      <c r="R26" s="166"/>
      <c r="S26" s="166"/>
      <c r="T26" s="170"/>
      <c r="U26" s="170"/>
      <c r="V26" s="160"/>
      <c r="W26" s="522">
        <v>121.298</v>
      </c>
      <c r="X26" s="273"/>
      <c r="Y26" s="243"/>
      <c r="Z26" s="156"/>
      <c r="AA26" s="102"/>
      <c r="AB26" s="102"/>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row>
    <row r="27" spans="1:60" ht="84.75" customHeight="1" x14ac:dyDescent="0.25">
      <c r="A27" s="125">
        <v>13</v>
      </c>
      <c r="B27" s="278" t="s">
        <v>2157</v>
      </c>
      <c r="C27" s="276" t="s">
        <v>2153</v>
      </c>
      <c r="D27" s="163" t="s">
        <v>3440</v>
      </c>
      <c r="E27" s="167">
        <v>9.9</v>
      </c>
      <c r="F27" s="163">
        <v>20</v>
      </c>
      <c r="G27" s="163" t="s">
        <v>2158</v>
      </c>
      <c r="H27" s="163" t="s">
        <v>2159</v>
      </c>
      <c r="I27" s="173" t="s">
        <v>91</v>
      </c>
      <c r="J27" s="549">
        <v>1</v>
      </c>
      <c r="K27" s="466">
        <v>45103</v>
      </c>
      <c r="L27" s="210"/>
      <c r="M27" s="175"/>
      <c r="N27" s="268">
        <v>45261</v>
      </c>
      <c r="O27" s="166"/>
      <c r="P27" s="175"/>
      <c r="Q27" s="166"/>
      <c r="R27" s="166"/>
      <c r="S27" s="166"/>
      <c r="T27" s="170"/>
      <c r="U27" s="170" t="s">
        <v>5216</v>
      </c>
      <c r="V27" s="160"/>
      <c r="W27" s="520">
        <v>9.9</v>
      </c>
      <c r="X27" s="273"/>
      <c r="Y27" s="243"/>
      <c r="Z27" s="156"/>
      <c r="AA27" s="102"/>
      <c r="AB27" s="102"/>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row>
    <row r="28" spans="1:60" s="264" customFormat="1" ht="52.5" customHeight="1" x14ac:dyDescent="0.25">
      <c r="A28" s="117">
        <v>14</v>
      </c>
      <c r="B28" s="276" t="s">
        <v>2154</v>
      </c>
      <c r="C28" s="276" t="s">
        <v>2152</v>
      </c>
      <c r="D28" s="163" t="s">
        <v>917</v>
      </c>
      <c r="E28" s="622">
        <v>117.657</v>
      </c>
      <c r="F28" s="271">
        <v>220</v>
      </c>
      <c r="G28" s="270" t="s">
        <v>3435</v>
      </c>
      <c r="H28" s="272" t="s">
        <v>2155</v>
      </c>
      <c r="I28" s="248" t="s">
        <v>91</v>
      </c>
      <c r="J28" s="552" t="s">
        <v>2156</v>
      </c>
      <c r="K28" s="275">
        <v>45283</v>
      </c>
      <c r="L28" s="194"/>
      <c r="M28" s="270"/>
      <c r="N28" s="275">
        <v>45647</v>
      </c>
      <c r="O28" s="270"/>
      <c r="P28" s="270"/>
      <c r="Q28" s="270"/>
      <c r="R28" s="270"/>
      <c r="S28" s="270"/>
      <c r="T28" s="270"/>
      <c r="U28" s="270"/>
      <c r="V28" s="270"/>
      <c r="W28" s="523">
        <v>117.657</v>
      </c>
      <c r="X28" s="274"/>
      <c r="Y28" s="274"/>
      <c r="Z28" s="274"/>
      <c r="AA28" s="102"/>
      <c r="AB28" s="102"/>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269"/>
    </row>
    <row r="29" spans="1:60" s="70" customFormat="1" ht="48" customHeight="1" thickBot="1" x14ac:dyDescent="0.3">
      <c r="A29" s="117">
        <v>15</v>
      </c>
      <c r="B29" s="283" t="s">
        <v>2195</v>
      </c>
      <c r="C29" s="276" t="s">
        <v>2196</v>
      </c>
      <c r="D29" s="270" t="s">
        <v>917</v>
      </c>
      <c r="E29" s="622">
        <v>217.16499999999999</v>
      </c>
      <c r="F29" s="271">
        <v>400</v>
      </c>
      <c r="G29" s="270"/>
      <c r="H29" s="272" t="s">
        <v>2197</v>
      </c>
      <c r="I29" s="248" t="s">
        <v>91</v>
      </c>
      <c r="J29" s="552" t="s">
        <v>5562</v>
      </c>
      <c r="K29" s="275">
        <v>45533</v>
      </c>
      <c r="L29" s="194"/>
      <c r="M29" s="270"/>
      <c r="N29" s="275">
        <v>46022</v>
      </c>
      <c r="O29" s="270"/>
      <c r="P29" s="270"/>
      <c r="Q29" s="270"/>
      <c r="R29" s="270"/>
      <c r="S29" s="270"/>
      <c r="T29" s="270"/>
      <c r="U29" s="768" t="s">
        <v>5563</v>
      </c>
      <c r="V29" s="298"/>
      <c r="W29" s="523">
        <v>217.16499999999999</v>
      </c>
      <c r="X29" s="274"/>
      <c r="Y29" s="274"/>
      <c r="Z29" s="274"/>
      <c r="AA29" s="102"/>
      <c r="AB29" s="102"/>
    </row>
    <row r="30" spans="1:60" s="70" customFormat="1" ht="60" customHeight="1" x14ac:dyDescent="0.25">
      <c r="A30" s="125">
        <v>16</v>
      </c>
      <c r="B30" s="296" t="s">
        <v>2300</v>
      </c>
      <c r="C30" s="527" t="s">
        <v>2301</v>
      </c>
      <c r="D30" s="296" t="s">
        <v>438</v>
      </c>
      <c r="E30" s="623">
        <v>74.375</v>
      </c>
      <c r="F30" s="296">
        <v>400</v>
      </c>
      <c r="G30" s="296" t="s">
        <v>3436</v>
      </c>
      <c r="H30" s="297" t="s">
        <v>2302</v>
      </c>
      <c r="I30" s="248" t="s">
        <v>91</v>
      </c>
      <c r="J30" s="553" t="s">
        <v>2425</v>
      </c>
      <c r="K30" s="307">
        <v>44952</v>
      </c>
      <c r="L30" s="296"/>
      <c r="M30" s="296"/>
      <c r="N30" s="296"/>
      <c r="O30" s="296"/>
      <c r="P30" s="296"/>
      <c r="Q30" s="296"/>
      <c r="R30" s="296"/>
      <c r="S30" s="296"/>
      <c r="T30" s="296"/>
      <c r="U30" s="296"/>
      <c r="V30" s="299"/>
      <c r="W30" s="524">
        <v>74.375</v>
      </c>
      <c r="X30" s="102"/>
      <c r="AB30" s="102"/>
    </row>
    <row r="31" spans="1:60" s="70" customFormat="1" ht="105" x14ac:dyDescent="0.25">
      <c r="A31" s="117">
        <v>17</v>
      </c>
      <c r="B31" s="303" t="s">
        <v>2332</v>
      </c>
      <c r="C31" s="528" t="s">
        <v>2333</v>
      </c>
      <c r="D31" s="270" t="s">
        <v>41</v>
      </c>
      <c r="E31" s="622">
        <v>75.400000000000006</v>
      </c>
      <c r="F31" s="270">
        <v>220</v>
      </c>
      <c r="G31" s="270" t="s">
        <v>3861</v>
      </c>
      <c r="H31" s="272" t="s">
        <v>3862</v>
      </c>
      <c r="I31" s="248" t="s">
        <v>91</v>
      </c>
      <c r="J31" s="552" t="s">
        <v>3863</v>
      </c>
      <c r="K31" s="275">
        <v>44980</v>
      </c>
      <c r="L31" s="270"/>
      <c r="M31" s="270"/>
      <c r="N31" s="270"/>
      <c r="O31" s="270"/>
      <c r="P31" s="270"/>
      <c r="Q31" s="270"/>
      <c r="R31" s="270"/>
      <c r="S31" s="270"/>
      <c r="T31" s="270"/>
      <c r="U31" s="270"/>
      <c r="V31" s="298"/>
      <c r="W31" s="523">
        <v>75.400000000000006</v>
      </c>
      <c r="X31" s="102"/>
      <c r="Z31" s="209"/>
      <c r="AB31" s="102"/>
    </row>
    <row r="32" spans="1:60" s="70" customFormat="1" ht="48.75" customHeight="1" thickBot="1" x14ac:dyDescent="0.3">
      <c r="A32" s="117">
        <v>18</v>
      </c>
      <c r="B32" s="296" t="s">
        <v>2422</v>
      </c>
      <c r="C32" s="529" t="s">
        <v>2423</v>
      </c>
      <c r="D32" s="296" t="s">
        <v>438</v>
      </c>
      <c r="E32" s="624">
        <f>155.494+69.413+63.312</f>
        <v>288.21899999999999</v>
      </c>
      <c r="F32" s="296">
        <v>400</v>
      </c>
      <c r="G32" s="296" t="s">
        <v>3437</v>
      </c>
      <c r="H32" s="297" t="s">
        <v>2424</v>
      </c>
      <c r="I32" s="248" t="s">
        <v>91</v>
      </c>
      <c r="J32" s="554" t="s">
        <v>3868</v>
      </c>
      <c r="K32" s="307">
        <v>44994</v>
      </c>
      <c r="L32" s="296"/>
      <c r="M32" s="296"/>
      <c r="N32" s="296"/>
      <c r="O32" s="296"/>
      <c r="P32" s="296"/>
      <c r="Q32" s="296"/>
      <c r="R32" s="296"/>
      <c r="S32" s="296"/>
      <c r="T32" s="296"/>
      <c r="U32" s="511" t="s">
        <v>3873</v>
      </c>
      <c r="V32" s="296"/>
      <c r="W32" s="513">
        <f>155.494+69.413+63.312</f>
        <v>288.21899999999999</v>
      </c>
      <c r="AB32" s="102"/>
    </row>
    <row r="33" spans="1:72" s="70" customFormat="1" ht="60" customHeight="1" x14ac:dyDescent="0.25">
      <c r="A33" s="125">
        <v>19</v>
      </c>
      <c r="B33" s="270" t="s">
        <v>2570</v>
      </c>
      <c r="C33" s="528" t="s">
        <v>2571</v>
      </c>
      <c r="D33" s="270" t="s">
        <v>2572</v>
      </c>
      <c r="E33" s="622">
        <v>64.319999999999993</v>
      </c>
      <c r="F33" s="270">
        <v>220</v>
      </c>
      <c r="G33" s="270"/>
      <c r="H33" s="272" t="s">
        <v>3872</v>
      </c>
      <c r="I33" s="248" t="s">
        <v>91</v>
      </c>
      <c r="J33" s="552" t="s">
        <v>2574</v>
      </c>
      <c r="K33" s="275">
        <v>45028</v>
      </c>
      <c r="L33" s="270"/>
      <c r="M33" s="270"/>
      <c r="N33" s="270"/>
      <c r="O33" s="270"/>
      <c r="P33" s="270"/>
      <c r="Q33" s="270"/>
      <c r="R33" s="270"/>
      <c r="S33" s="270"/>
      <c r="T33" s="270"/>
      <c r="U33" s="270"/>
      <c r="V33" s="270"/>
      <c r="W33" s="523">
        <v>64.319999999999993</v>
      </c>
      <c r="AB33" s="102"/>
    </row>
    <row r="34" spans="1:72" s="70" customFormat="1" ht="30.75" customHeight="1" x14ac:dyDescent="0.25">
      <c r="A34" s="117">
        <v>20</v>
      </c>
      <c r="B34" s="270" t="s">
        <v>2570</v>
      </c>
      <c r="C34" s="528" t="s">
        <v>2573</v>
      </c>
      <c r="D34" s="270" t="s">
        <v>2572</v>
      </c>
      <c r="E34" s="622">
        <v>64.319999999999993</v>
      </c>
      <c r="F34" s="270">
        <v>220</v>
      </c>
      <c r="G34" s="270"/>
      <c r="H34" s="272" t="s">
        <v>3872</v>
      </c>
      <c r="I34" s="248" t="s">
        <v>91</v>
      </c>
      <c r="J34" s="552" t="s">
        <v>2575</v>
      </c>
      <c r="K34" s="275">
        <v>45028</v>
      </c>
      <c r="L34" s="270"/>
      <c r="M34" s="270"/>
      <c r="N34" s="270"/>
      <c r="O34" s="270"/>
      <c r="P34" s="270"/>
      <c r="Q34" s="270"/>
      <c r="R34" s="270"/>
      <c r="S34" s="270"/>
      <c r="T34" s="270"/>
      <c r="U34" s="270"/>
      <c r="V34" s="270"/>
      <c r="W34" s="523">
        <v>64.319999999999993</v>
      </c>
      <c r="AB34" s="102"/>
    </row>
    <row r="35" spans="1:72" s="70" customFormat="1" ht="53.25" customHeight="1" thickBot="1" x14ac:dyDescent="0.3">
      <c r="A35" s="117">
        <v>21</v>
      </c>
      <c r="B35" s="317" t="s">
        <v>2332</v>
      </c>
      <c r="C35" s="319" t="s">
        <v>2577</v>
      </c>
      <c r="D35" s="316" t="s">
        <v>416</v>
      </c>
      <c r="E35" s="625">
        <v>97.55</v>
      </c>
      <c r="F35" s="270">
        <v>400</v>
      </c>
      <c r="G35" s="270" t="s">
        <v>2576</v>
      </c>
      <c r="H35" s="272" t="s">
        <v>4900</v>
      </c>
      <c r="I35" s="173" t="s">
        <v>91</v>
      </c>
      <c r="J35" s="555" t="s">
        <v>2583</v>
      </c>
      <c r="K35" s="318">
        <v>45028</v>
      </c>
      <c r="L35" s="270"/>
      <c r="M35" s="316"/>
      <c r="N35" s="316"/>
      <c r="O35" s="316"/>
      <c r="P35" s="316"/>
      <c r="Q35" s="316"/>
      <c r="R35" s="315"/>
      <c r="S35" s="315"/>
      <c r="T35" s="315"/>
      <c r="U35" s="315"/>
      <c r="V35" s="315"/>
      <c r="W35" s="525">
        <v>97.55</v>
      </c>
      <c r="AB35" s="102"/>
    </row>
    <row r="36" spans="1:72" s="70" customFormat="1" ht="65.25" customHeight="1" x14ac:dyDescent="0.25">
      <c r="A36" s="125">
        <v>22</v>
      </c>
      <c r="B36" s="283" t="s">
        <v>2332</v>
      </c>
      <c r="C36" s="284" t="s">
        <v>2578</v>
      </c>
      <c r="D36" s="270" t="s">
        <v>416</v>
      </c>
      <c r="E36" s="622">
        <v>113.54</v>
      </c>
      <c r="F36" s="270">
        <v>400</v>
      </c>
      <c r="G36" s="270" t="s">
        <v>2576</v>
      </c>
      <c r="H36" s="272" t="s">
        <v>2580</v>
      </c>
      <c r="I36" s="173" t="s">
        <v>91</v>
      </c>
      <c r="J36" s="552" t="s">
        <v>2581</v>
      </c>
      <c r="K36" s="275">
        <v>45028</v>
      </c>
      <c r="L36" s="270"/>
      <c r="M36" s="270"/>
      <c r="N36" s="270"/>
      <c r="O36" s="270"/>
      <c r="P36" s="270"/>
      <c r="Q36" s="270"/>
      <c r="R36" s="270"/>
      <c r="S36" s="270"/>
      <c r="T36" s="270"/>
      <c r="U36" s="270"/>
      <c r="V36" s="270"/>
      <c r="W36" s="523">
        <v>113.54</v>
      </c>
      <c r="AB36" s="102"/>
    </row>
    <row r="37" spans="1:72" s="70" customFormat="1" ht="39" customHeight="1" x14ac:dyDescent="0.25">
      <c r="A37" s="117">
        <v>23</v>
      </c>
      <c r="B37" s="283" t="s">
        <v>2332</v>
      </c>
      <c r="C37" s="284" t="s">
        <v>2579</v>
      </c>
      <c r="D37" s="270" t="s">
        <v>416</v>
      </c>
      <c r="E37" s="622">
        <v>116.47</v>
      </c>
      <c r="F37" s="270">
        <v>400</v>
      </c>
      <c r="G37" s="270" t="s">
        <v>2576</v>
      </c>
      <c r="H37" s="272" t="s">
        <v>2580</v>
      </c>
      <c r="I37" s="173" t="s">
        <v>91</v>
      </c>
      <c r="J37" s="552" t="s">
        <v>2582</v>
      </c>
      <c r="K37" s="275">
        <v>45028</v>
      </c>
      <c r="L37" s="270"/>
      <c r="M37" s="270"/>
      <c r="N37" s="270"/>
      <c r="O37" s="270"/>
      <c r="P37" s="270"/>
      <c r="Q37" s="270"/>
      <c r="R37" s="270"/>
      <c r="S37" s="270"/>
      <c r="T37" s="270"/>
      <c r="U37" s="270"/>
      <c r="V37" s="270"/>
      <c r="W37" s="523">
        <v>116.47</v>
      </c>
      <c r="AB37" s="102"/>
    </row>
    <row r="38" spans="1:72" s="70" customFormat="1" ht="38.25" customHeight="1" thickBot="1" x14ac:dyDescent="0.3">
      <c r="A38" s="117">
        <v>24</v>
      </c>
      <c r="B38" s="283" t="s">
        <v>2619</v>
      </c>
      <c r="C38" s="323" t="s">
        <v>2620</v>
      </c>
      <c r="D38" s="270" t="s">
        <v>90</v>
      </c>
      <c r="E38" s="622">
        <v>49.442</v>
      </c>
      <c r="F38" s="270">
        <v>110</v>
      </c>
      <c r="G38" s="270" t="s">
        <v>2622</v>
      </c>
      <c r="H38" s="272" t="s">
        <v>3874</v>
      </c>
      <c r="I38" s="248" t="s">
        <v>91</v>
      </c>
      <c r="J38" s="552" t="s">
        <v>2621</v>
      </c>
      <c r="K38" s="275">
        <v>45054</v>
      </c>
      <c r="L38" s="270"/>
      <c r="M38" s="270"/>
      <c r="N38" s="275">
        <v>46387</v>
      </c>
      <c r="O38" s="270"/>
      <c r="P38" s="270"/>
      <c r="Q38" s="270"/>
      <c r="R38" s="270"/>
      <c r="S38" s="270"/>
      <c r="T38" s="270"/>
      <c r="U38" s="270"/>
      <c r="V38" s="270"/>
      <c r="W38" s="523">
        <v>49.442</v>
      </c>
      <c r="AB38" s="102"/>
    </row>
    <row r="39" spans="1:72" s="70" customFormat="1" ht="44.25" customHeight="1" x14ac:dyDescent="0.25">
      <c r="A39" s="125">
        <v>25</v>
      </c>
      <c r="B39" s="283" t="s">
        <v>3215</v>
      </c>
      <c r="C39" s="323" t="s">
        <v>3214</v>
      </c>
      <c r="D39" s="270" t="s">
        <v>3216</v>
      </c>
      <c r="E39" s="622">
        <v>193.977</v>
      </c>
      <c r="F39" s="270">
        <v>400</v>
      </c>
      <c r="G39" s="270" t="s">
        <v>3438</v>
      </c>
      <c r="H39" s="272" t="s">
        <v>3217</v>
      </c>
      <c r="I39" s="248" t="s">
        <v>91</v>
      </c>
      <c r="J39" s="552" t="s">
        <v>3866</v>
      </c>
      <c r="K39" s="275" t="s">
        <v>3867</v>
      </c>
      <c r="L39" s="270"/>
      <c r="M39" s="270"/>
      <c r="N39" s="275">
        <v>46022</v>
      </c>
      <c r="O39" s="270"/>
      <c r="P39" s="270"/>
      <c r="Q39" s="270"/>
      <c r="R39" s="270"/>
      <c r="S39" s="270"/>
      <c r="T39" s="270"/>
      <c r="U39" s="270"/>
      <c r="V39" s="270"/>
      <c r="W39" s="523">
        <v>193.977</v>
      </c>
      <c r="AB39" s="102"/>
    </row>
    <row r="40" spans="1:72" s="70" customFormat="1" ht="45.75" customHeight="1" x14ac:dyDescent="0.25">
      <c r="A40" s="117">
        <v>26</v>
      </c>
      <c r="B40" s="283" t="s">
        <v>3431</v>
      </c>
      <c r="C40" s="323" t="s">
        <v>3432</v>
      </c>
      <c r="D40" s="270" t="s">
        <v>917</v>
      </c>
      <c r="E40" s="622">
        <v>177.35</v>
      </c>
      <c r="F40" s="270">
        <v>220</v>
      </c>
      <c r="G40" s="270" t="s">
        <v>3439</v>
      </c>
      <c r="H40" s="272" t="s">
        <v>3434</v>
      </c>
      <c r="I40" s="248" t="s">
        <v>91</v>
      </c>
      <c r="J40" s="552" t="s">
        <v>3433</v>
      </c>
      <c r="K40" s="275">
        <v>45142</v>
      </c>
      <c r="L40" s="270"/>
      <c r="M40" s="270"/>
      <c r="N40" s="275">
        <v>45657</v>
      </c>
      <c r="O40" s="270"/>
      <c r="P40" s="270"/>
      <c r="Q40" s="270"/>
      <c r="R40" s="270"/>
      <c r="S40" s="270"/>
      <c r="T40" s="270"/>
      <c r="U40" s="270"/>
      <c r="V40" s="270"/>
      <c r="W40" s="523">
        <v>177.35</v>
      </c>
      <c r="AB40" s="102"/>
    </row>
    <row r="41" spans="1:72" s="70" customFormat="1" ht="49.5" customHeight="1" thickBot="1" x14ac:dyDescent="0.3">
      <c r="A41" s="117">
        <v>27</v>
      </c>
      <c r="B41" s="283" t="s">
        <v>3493</v>
      </c>
      <c r="C41" s="323" t="s">
        <v>3492</v>
      </c>
      <c r="D41" s="270" t="s">
        <v>112</v>
      </c>
      <c r="E41" s="622">
        <v>272.8</v>
      </c>
      <c r="F41" s="270">
        <v>400</v>
      </c>
      <c r="G41" s="270" t="s">
        <v>112</v>
      </c>
      <c r="H41" s="272" t="s">
        <v>3494</v>
      </c>
      <c r="I41" s="248" t="s">
        <v>91</v>
      </c>
      <c r="J41" s="722" t="s">
        <v>5215</v>
      </c>
      <c r="K41" s="275">
        <v>45475</v>
      </c>
      <c r="L41" s="270"/>
      <c r="M41" s="270"/>
      <c r="N41" s="275">
        <v>46568</v>
      </c>
      <c r="O41" s="270"/>
      <c r="P41" s="270"/>
      <c r="Q41" s="270"/>
      <c r="R41" s="270"/>
      <c r="S41" s="270"/>
      <c r="T41" s="270"/>
      <c r="U41" s="270"/>
      <c r="V41" s="270"/>
      <c r="W41" s="523">
        <v>272.8</v>
      </c>
      <c r="AB41" s="102"/>
    </row>
    <row r="42" spans="1:72" s="264" customFormat="1" ht="42.75" customHeight="1" x14ac:dyDescent="0.25">
      <c r="A42" s="125">
        <v>28</v>
      </c>
      <c r="B42" s="283" t="s">
        <v>3774</v>
      </c>
      <c r="C42" s="323" t="s">
        <v>3769</v>
      </c>
      <c r="D42" s="270" t="s">
        <v>438</v>
      </c>
      <c r="E42" s="622">
        <v>185.4</v>
      </c>
      <c r="F42" s="270">
        <v>400</v>
      </c>
      <c r="G42" s="270" t="s">
        <v>3777</v>
      </c>
      <c r="H42" s="272" t="s">
        <v>3778</v>
      </c>
      <c r="I42" s="173" t="s">
        <v>91</v>
      </c>
      <c r="J42" s="552" t="s">
        <v>3772</v>
      </c>
      <c r="K42" s="275" t="s">
        <v>3773</v>
      </c>
      <c r="L42" s="270"/>
      <c r="M42" s="270"/>
      <c r="N42" s="275">
        <v>46022</v>
      </c>
      <c r="O42" s="270"/>
      <c r="P42" s="270"/>
      <c r="Q42" s="270"/>
      <c r="R42" s="270"/>
      <c r="S42" s="270"/>
      <c r="T42" s="270"/>
      <c r="U42" s="270"/>
      <c r="V42" s="270"/>
      <c r="W42" s="523">
        <v>185.4</v>
      </c>
      <c r="X42" s="70"/>
      <c r="Y42" s="70"/>
      <c r="Z42" s="70"/>
      <c r="AA42" s="70"/>
      <c r="AB42" s="102"/>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269"/>
    </row>
    <row r="43" spans="1:72" s="264" customFormat="1" ht="45" customHeight="1" x14ac:dyDescent="0.25">
      <c r="A43" s="117">
        <v>29</v>
      </c>
      <c r="B43" s="283" t="s">
        <v>3775</v>
      </c>
      <c r="C43" s="323" t="s">
        <v>3770</v>
      </c>
      <c r="D43" s="270" t="s">
        <v>438</v>
      </c>
      <c r="E43" s="622">
        <v>167.4</v>
      </c>
      <c r="F43" s="270">
        <v>400</v>
      </c>
      <c r="G43" s="270" t="s">
        <v>3777</v>
      </c>
      <c r="H43" s="272" t="s">
        <v>3778</v>
      </c>
      <c r="I43" s="173" t="s">
        <v>91</v>
      </c>
      <c r="J43" s="552" t="s">
        <v>3779</v>
      </c>
      <c r="K43" s="275">
        <v>45188</v>
      </c>
      <c r="L43" s="270"/>
      <c r="M43" s="270"/>
      <c r="N43" s="275">
        <v>46022</v>
      </c>
      <c r="O43" s="270"/>
      <c r="P43" s="270"/>
      <c r="Q43" s="270"/>
      <c r="R43" s="270"/>
      <c r="S43" s="270"/>
      <c r="T43" s="270"/>
      <c r="U43" s="270"/>
      <c r="V43" s="270"/>
      <c r="W43" s="523">
        <v>167.4</v>
      </c>
      <c r="X43" s="70"/>
      <c r="Y43" s="70"/>
      <c r="Z43" s="70"/>
      <c r="AA43" s="70"/>
      <c r="AB43" s="102"/>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269"/>
    </row>
    <row r="44" spans="1:72" s="264" customFormat="1" ht="40.5" customHeight="1" thickBot="1" x14ac:dyDescent="0.3">
      <c r="A44" s="117">
        <v>30</v>
      </c>
      <c r="B44" s="283" t="s">
        <v>3776</v>
      </c>
      <c r="C44" s="323" t="s">
        <v>3771</v>
      </c>
      <c r="D44" s="270" t="s">
        <v>438</v>
      </c>
      <c r="E44" s="622">
        <v>188.77500000000001</v>
      </c>
      <c r="F44" s="270">
        <v>400</v>
      </c>
      <c r="G44" s="270" t="s">
        <v>3777</v>
      </c>
      <c r="H44" s="272" t="s">
        <v>3778</v>
      </c>
      <c r="I44" s="173" t="s">
        <v>91</v>
      </c>
      <c r="J44" s="552" t="s">
        <v>3780</v>
      </c>
      <c r="K44" s="275">
        <v>45188</v>
      </c>
      <c r="L44" s="270"/>
      <c r="M44" s="270"/>
      <c r="N44" s="275">
        <v>46022</v>
      </c>
      <c r="O44" s="270"/>
      <c r="P44" s="270"/>
      <c r="Q44" s="270"/>
      <c r="R44" s="270"/>
      <c r="S44" s="270"/>
      <c r="T44" s="270"/>
      <c r="U44" s="270"/>
      <c r="V44" s="270"/>
      <c r="W44" s="523">
        <v>188.77500000000001</v>
      </c>
      <c r="X44" s="70"/>
      <c r="Y44" s="70"/>
      <c r="Z44" s="70"/>
      <c r="AA44" s="70"/>
      <c r="AB44" s="102"/>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269"/>
    </row>
    <row r="45" spans="1:72" s="70" customFormat="1" ht="40.5" customHeight="1" x14ac:dyDescent="0.25">
      <c r="A45" s="125">
        <v>31</v>
      </c>
      <c r="B45" s="283" t="s">
        <v>4233</v>
      </c>
      <c r="C45" s="323" t="s">
        <v>4234</v>
      </c>
      <c r="D45" s="270" t="s">
        <v>256</v>
      </c>
      <c r="E45" s="270">
        <v>19.904</v>
      </c>
      <c r="F45" s="270">
        <v>110</v>
      </c>
      <c r="G45" s="270" t="s">
        <v>4235</v>
      </c>
      <c r="H45" s="272" t="s">
        <v>4236</v>
      </c>
      <c r="I45" s="173" t="s">
        <v>91</v>
      </c>
      <c r="J45" s="552" t="s">
        <v>4237</v>
      </c>
      <c r="K45" s="275">
        <v>45282</v>
      </c>
      <c r="L45" s="270"/>
      <c r="M45" s="270"/>
      <c r="N45" s="275">
        <v>45838</v>
      </c>
      <c r="O45" s="270"/>
      <c r="P45" s="270"/>
      <c r="Q45" s="270"/>
      <c r="R45" s="270"/>
      <c r="S45" s="270"/>
      <c r="T45" s="270"/>
      <c r="U45" s="270" t="s">
        <v>4238</v>
      </c>
      <c r="V45" s="270"/>
      <c r="W45" s="523"/>
      <c r="AB45" s="102"/>
    </row>
    <row r="46" spans="1:72" s="70" customFormat="1" ht="40.5" customHeight="1" x14ac:dyDescent="0.25">
      <c r="A46" s="117">
        <v>32</v>
      </c>
      <c r="B46" s="283" t="s">
        <v>4241</v>
      </c>
      <c r="C46" s="323" t="s">
        <v>4239</v>
      </c>
      <c r="D46" s="270" t="s">
        <v>3440</v>
      </c>
      <c r="E46" s="270">
        <v>155.97999999999999</v>
      </c>
      <c r="F46" s="270">
        <v>110</v>
      </c>
      <c r="G46" s="270" t="s">
        <v>2158</v>
      </c>
      <c r="H46" s="272" t="s">
        <v>4240</v>
      </c>
      <c r="I46" s="248" t="s">
        <v>91</v>
      </c>
      <c r="J46" s="582" t="s">
        <v>4242</v>
      </c>
      <c r="K46" s="275" t="s">
        <v>4243</v>
      </c>
      <c r="L46" s="270"/>
      <c r="M46" s="270"/>
      <c r="N46" s="552">
        <v>2025</v>
      </c>
      <c r="O46" s="270"/>
      <c r="P46" s="270"/>
      <c r="Q46" s="270"/>
      <c r="R46" s="270"/>
      <c r="S46" s="270"/>
      <c r="T46" s="270"/>
      <c r="U46" s="270"/>
      <c r="V46" s="270"/>
      <c r="W46" s="523"/>
      <c r="AB46" s="102"/>
    </row>
    <row r="47" spans="1:72" s="70" customFormat="1" ht="40.5" customHeight="1" thickBot="1" x14ac:dyDescent="0.3">
      <c r="A47" s="117">
        <v>33</v>
      </c>
      <c r="B47" s="283" t="s">
        <v>3034</v>
      </c>
      <c r="C47" s="323" t="s">
        <v>4658</v>
      </c>
      <c r="D47" s="270" t="s">
        <v>156</v>
      </c>
      <c r="E47" s="270">
        <v>244.42</v>
      </c>
      <c r="F47" s="270">
        <v>220</v>
      </c>
      <c r="G47" s="270" t="s">
        <v>4664</v>
      </c>
      <c r="H47" s="270" t="s">
        <v>4659</v>
      </c>
      <c r="I47" s="248" t="s">
        <v>91</v>
      </c>
      <c r="J47" s="582" t="s">
        <v>4660</v>
      </c>
      <c r="K47" s="275">
        <v>45344</v>
      </c>
      <c r="L47" s="270"/>
      <c r="M47" s="270"/>
      <c r="N47" s="275">
        <v>46387</v>
      </c>
      <c r="O47" s="270"/>
      <c r="P47" s="270"/>
      <c r="Q47" s="270"/>
      <c r="R47" s="270"/>
      <c r="S47" s="270"/>
      <c r="T47" s="270"/>
      <c r="U47" s="270"/>
      <c r="V47" s="270"/>
      <c r="W47" s="523">
        <v>249.375</v>
      </c>
      <c r="AB47" s="102"/>
    </row>
    <row r="48" spans="1:72" s="70" customFormat="1" ht="40.5" customHeight="1" x14ac:dyDescent="0.25">
      <c r="A48" s="125">
        <v>34</v>
      </c>
      <c r="B48" s="283" t="s">
        <v>4668</v>
      </c>
      <c r="C48" s="323" t="s">
        <v>4666</v>
      </c>
      <c r="D48" s="270" t="s">
        <v>100</v>
      </c>
      <c r="E48" s="270">
        <v>201</v>
      </c>
      <c r="F48" s="270">
        <v>220</v>
      </c>
      <c r="G48" s="270" t="s">
        <v>4664</v>
      </c>
      <c r="H48" s="270" t="s">
        <v>4659</v>
      </c>
      <c r="I48" s="248" t="s">
        <v>91</v>
      </c>
      <c r="J48" s="582" t="s">
        <v>4667</v>
      </c>
      <c r="K48" s="275">
        <v>45348</v>
      </c>
      <c r="L48" s="270"/>
      <c r="M48" s="270"/>
      <c r="N48" s="275">
        <v>46022</v>
      </c>
      <c r="O48" s="270"/>
      <c r="P48" s="270"/>
      <c r="Q48" s="270"/>
      <c r="R48" s="270"/>
      <c r="S48" s="270"/>
      <c r="T48" s="270"/>
      <c r="U48" s="270"/>
      <c r="V48" s="270"/>
      <c r="W48" s="523">
        <v>201</v>
      </c>
      <c r="AB48" s="102"/>
    </row>
    <row r="49" spans="1:28" s="70" customFormat="1" ht="40.5" customHeight="1" x14ac:dyDescent="0.25">
      <c r="A49" s="117">
        <v>35</v>
      </c>
      <c r="B49" s="283" t="s">
        <v>4842</v>
      </c>
      <c r="C49" s="323" t="s">
        <v>4839</v>
      </c>
      <c r="D49" s="270" t="s">
        <v>100</v>
      </c>
      <c r="E49" s="270">
        <v>41.12</v>
      </c>
      <c r="F49" s="270">
        <v>110</v>
      </c>
      <c r="G49" s="270" t="s">
        <v>4840</v>
      </c>
      <c r="H49" s="270" t="s">
        <v>4843</v>
      </c>
      <c r="I49" s="248" t="s">
        <v>91</v>
      </c>
      <c r="J49" s="582" t="s">
        <v>4841</v>
      </c>
      <c r="K49" s="275">
        <v>45385</v>
      </c>
      <c r="L49" s="270"/>
      <c r="M49" s="270"/>
      <c r="N49" s="275">
        <v>46022</v>
      </c>
      <c r="O49" s="270"/>
      <c r="P49" s="270"/>
      <c r="Q49" s="270"/>
      <c r="R49" s="270"/>
      <c r="S49" s="270"/>
      <c r="T49" s="270"/>
      <c r="U49" s="270"/>
      <c r="V49" s="270"/>
      <c r="W49" s="523"/>
      <c r="AB49" s="102"/>
    </row>
    <row r="50" spans="1:28" s="70" customFormat="1" ht="40.5" customHeight="1" thickBot="1" x14ac:dyDescent="0.3">
      <c r="A50" s="117">
        <v>36</v>
      </c>
      <c r="B50" s="283" t="s">
        <v>4902</v>
      </c>
      <c r="C50" s="323" t="s">
        <v>4901</v>
      </c>
      <c r="D50" s="270" t="s">
        <v>416</v>
      </c>
      <c r="E50" s="270">
        <v>73.459999999999994</v>
      </c>
      <c r="F50" s="270">
        <v>220</v>
      </c>
      <c r="G50" s="270" t="s">
        <v>2576</v>
      </c>
      <c r="H50" s="272" t="s">
        <v>4903</v>
      </c>
      <c r="I50" s="248" t="s">
        <v>91</v>
      </c>
      <c r="J50" s="582" t="s">
        <v>4904</v>
      </c>
      <c r="K50" s="275">
        <v>45394</v>
      </c>
      <c r="L50" s="270"/>
      <c r="M50" s="270"/>
      <c r="N50" s="275">
        <v>45838</v>
      </c>
      <c r="O50" s="270"/>
      <c r="P50" s="270"/>
      <c r="Q50" s="270"/>
      <c r="R50" s="270"/>
      <c r="S50" s="270"/>
      <c r="T50" s="270"/>
      <c r="U50" s="270"/>
      <c r="V50" s="270"/>
      <c r="W50" s="523"/>
      <c r="AB50" s="102"/>
    </row>
    <row r="51" spans="1:28" s="70" customFormat="1" ht="40.5" customHeight="1" x14ac:dyDescent="0.25">
      <c r="A51" s="125">
        <v>37</v>
      </c>
      <c r="B51" s="283" t="s">
        <v>4902</v>
      </c>
      <c r="C51" s="323" t="s">
        <v>4906</v>
      </c>
      <c r="D51" s="270" t="s">
        <v>416</v>
      </c>
      <c r="E51" s="270">
        <v>16.72</v>
      </c>
      <c r="F51" s="270">
        <v>220</v>
      </c>
      <c r="G51" s="270" t="s">
        <v>2576</v>
      </c>
      <c r="H51" s="272" t="s">
        <v>4903</v>
      </c>
      <c r="I51" s="248" t="s">
        <v>91</v>
      </c>
      <c r="J51" s="582" t="s">
        <v>4905</v>
      </c>
      <c r="K51" s="275">
        <v>45394</v>
      </c>
      <c r="L51" s="270"/>
      <c r="M51" s="270"/>
      <c r="N51" s="275">
        <v>45838</v>
      </c>
      <c r="O51" s="270"/>
      <c r="P51" s="270"/>
      <c r="Q51" s="270"/>
      <c r="R51" s="270"/>
      <c r="S51" s="270"/>
      <c r="T51" s="270"/>
      <c r="U51" s="270"/>
      <c r="V51" s="270"/>
      <c r="W51" s="523"/>
      <c r="AB51" s="102"/>
    </row>
    <row r="52" spans="1:28" s="70" customFormat="1" ht="40.5" customHeight="1" x14ac:dyDescent="0.25">
      <c r="A52" s="117">
        <v>38</v>
      </c>
      <c r="B52" s="283" t="s">
        <v>4902</v>
      </c>
      <c r="C52" s="323" t="s">
        <v>4908</v>
      </c>
      <c r="D52" s="270" t="s">
        <v>416</v>
      </c>
      <c r="E52" s="270">
        <v>57.7</v>
      </c>
      <c r="F52" s="270">
        <v>220</v>
      </c>
      <c r="G52" s="270" t="s">
        <v>2576</v>
      </c>
      <c r="H52" s="272" t="s">
        <v>4903</v>
      </c>
      <c r="I52" s="248" t="s">
        <v>91</v>
      </c>
      <c r="J52" s="582" t="s">
        <v>4907</v>
      </c>
      <c r="K52" s="275">
        <v>45394</v>
      </c>
      <c r="L52" s="270"/>
      <c r="M52" s="270"/>
      <c r="N52" s="275">
        <v>45838</v>
      </c>
      <c r="O52" s="270"/>
      <c r="P52" s="270"/>
      <c r="Q52" s="270"/>
      <c r="R52" s="270"/>
      <c r="S52" s="270"/>
      <c r="T52" s="270"/>
      <c r="U52" s="270"/>
      <c r="V52" s="270"/>
      <c r="W52" s="523"/>
      <c r="AB52" s="102"/>
    </row>
    <row r="53" spans="1:28" s="70" customFormat="1" ht="40.5" customHeight="1" thickBot="1" x14ac:dyDescent="0.3">
      <c r="A53" s="117">
        <v>39</v>
      </c>
      <c r="B53" s="283" t="s">
        <v>4902</v>
      </c>
      <c r="C53" s="323" t="s">
        <v>4909</v>
      </c>
      <c r="D53" s="270" t="s">
        <v>416</v>
      </c>
      <c r="E53" s="270">
        <v>109.45</v>
      </c>
      <c r="F53" s="270">
        <v>400</v>
      </c>
      <c r="G53" s="270" t="s">
        <v>4910</v>
      </c>
      <c r="H53" s="272" t="s">
        <v>4911</v>
      </c>
      <c r="I53" s="248" t="s">
        <v>91</v>
      </c>
      <c r="J53" s="582" t="s">
        <v>4912</v>
      </c>
      <c r="K53" s="275">
        <v>45433</v>
      </c>
      <c r="L53" s="270"/>
      <c r="M53" s="270"/>
      <c r="N53" s="275">
        <v>45838</v>
      </c>
      <c r="O53" s="270"/>
      <c r="P53" s="270"/>
      <c r="Q53" s="270"/>
      <c r="R53" s="270"/>
      <c r="S53" s="270"/>
      <c r="T53" s="270"/>
      <c r="U53" s="270"/>
      <c r="V53" s="270"/>
      <c r="W53" s="523"/>
      <c r="AB53" s="102"/>
    </row>
    <row r="54" spans="1:28" s="70" customFormat="1" ht="40.5" customHeight="1" x14ac:dyDescent="0.25">
      <c r="A54" s="125">
        <v>40</v>
      </c>
      <c r="B54" s="283" t="s">
        <v>4924</v>
      </c>
      <c r="C54" s="323" t="s">
        <v>4920</v>
      </c>
      <c r="D54" s="270" t="s">
        <v>4919</v>
      </c>
      <c r="E54" s="270">
        <v>293.92</v>
      </c>
      <c r="F54" s="270">
        <v>400</v>
      </c>
      <c r="G54" s="270" t="s">
        <v>4922</v>
      </c>
      <c r="H54" s="272" t="s">
        <v>4923</v>
      </c>
      <c r="I54" s="248" t="s">
        <v>91</v>
      </c>
      <c r="J54" s="582" t="s">
        <v>4921</v>
      </c>
      <c r="K54" s="275">
        <v>45442</v>
      </c>
      <c r="L54" s="270"/>
      <c r="M54" s="270"/>
      <c r="N54" s="275">
        <v>46752</v>
      </c>
      <c r="O54" s="270"/>
      <c r="P54" s="270"/>
      <c r="Q54" s="270"/>
      <c r="R54" s="270"/>
      <c r="S54" s="270"/>
      <c r="T54" s="270"/>
      <c r="U54" s="270"/>
      <c r="V54" s="270"/>
      <c r="W54" s="523"/>
      <c r="AB54" s="102"/>
    </row>
    <row r="55" spans="1:28" s="70" customFormat="1" ht="40.5" customHeight="1" x14ac:dyDescent="0.25">
      <c r="A55" s="117">
        <v>41</v>
      </c>
      <c r="B55" s="283"/>
      <c r="C55" s="323" t="s">
        <v>5206</v>
      </c>
      <c r="D55" s="270" t="s">
        <v>3216</v>
      </c>
      <c r="E55" s="270">
        <v>116.6</v>
      </c>
      <c r="F55" s="270">
        <v>110</v>
      </c>
      <c r="G55" s="270" t="s">
        <v>5207</v>
      </c>
      <c r="H55" s="272" t="s">
        <v>5208</v>
      </c>
      <c r="I55" s="248" t="s">
        <v>91</v>
      </c>
      <c r="J55" s="582" t="s">
        <v>5209</v>
      </c>
      <c r="K55" s="275">
        <v>45357</v>
      </c>
      <c r="L55" s="270"/>
      <c r="M55" s="270"/>
      <c r="N55" s="275">
        <v>46387</v>
      </c>
      <c r="O55" s="270"/>
      <c r="P55" s="270"/>
      <c r="Q55" s="270"/>
      <c r="R55" s="270"/>
      <c r="S55" s="270"/>
      <c r="T55" s="270"/>
      <c r="U55" s="270"/>
      <c r="V55" s="270"/>
      <c r="W55" s="523"/>
      <c r="AB55" s="102"/>
    </row>
    <row r="56" spans="1:28" s="70" customFormat="1" ht="40.5" customHeight="1" thickBot="1" x14ac:dyDescent="0.3">
      <c r="A56" s="117">
        <v>42</v>
      </c>
      <c r="B56" s="283" t="s">
        <v>5210</v>
      </c>
      <c r="C56" s="323" t="s">
        <v>5211</v>
      </c>
      <c r="D56" s="270" t="s">
        <v>836</v>
      </c>
      <c r="E56" s="270">
        <v>48.3</v>
      </c>
      <c r="F56" s="270">
        <v>110</v>
      </c>
      <c r="G56" s="270" t="s">
        <v>5212</v>
      </c>
      <c r="H56" s="272" t="s">
        <v>5213</v>
      </c>
      <c r="I56" s="248" t="s">
        <v>91</v>
      </c>
      <c r="J56" s="582" t="s">
        <v>5214</v>
      </c>
      <c r="K56" s="275">
        <v>45474</v>
      </c>
      <c r="L56" s="270"/>
      <c r="M56" s="270"/>
      <c r="N56" s="275"/>
      <c r="O56" s="270"/>
      <c r="P56" s="270"/>
      <c r="Q56" s="270"/>
      <c r="R56" s="270"/>
      <c r="S56" s="270"/>
      <c r="T56" s="270"/>
      <c r="U56" s="270"/>
      <c r="V56" s="270"/>
      <c r="W56" s="523"/>
      <c r="AB56" s="102"/>
    </row>
    <row r="57" spans="1:28" s="70" customFormat="1" ht="40.5" customHeight="1" x14ac:dyDescent="0.25">
      <c r="A57" s="125">
        <v>43</v>
      </c>
      <c r="B57" s="283" t="s">
        <v>5536</v>
      </c>
      <c r="C57" s="323" t="s">
        <v>5535</v>
      </c>
      <c r="D57" s="270" t="s">
        <v>2546</v>
      </c>
      <c r="E57" s="270">
        <v>19.600000000000001</v>
      </c>
      <c r="F57" s="270">
        <v>400</v>
      </c>
      <c r="G57" s="270" t="s">
        <v>5549</v>
      </c>
      <c r="H57" s="272" t="s">
        <v>5537</v>
      </c>
      <c r="I57" s="248" t="s">
        <v>91</v>
      </c>
      <c r="J57" s="582" t="s">
        <v>5538</v>
      </c>
      <c r="K57" s="275">
        <v>45488</v>
      </c>
      <c r="L57" s="270"/>
      <c r="M57" s="270"/>
      <c r="N57" s="275">
        <v>46752</v>
      </c>
      <c r="O57" s="270"/>
      <c r="P57" s="270"/>
      <c r="Q57" s="270"/>
      <c r="R57" s="270"/>
      <c r="S57" s="270"/>
      <c r="T57" s="270"/>
      <c r="U57" s="270"/>
      <c r="V57" s="270"/>
      <c r="W57" s="523"/>
      <c r="AB57" s="102"/>
    </row>
    <row r="58" spans="1:28" s="70" customFormat="1" ht="40.5" customHeight="1" x14ac:dyDescent="0.25">
      <c r="A58" s="117">
        <v>44</v>
      </c>
      <c r="B58" s="283" t="s">
        <v>5550</v>
      </c>
      <c r="C58" s="323" t="s">
        <v>5545</v>
      </c>
      <c r="D58" s="270" t="s">
        <v>100</v>
      </c>
      <c r="E58" s="270">
        <v>41.926000000000002</v>
      </c>
      <c r="F58" s="270">
        <v>220</v>
      </c>
      <c r="G58" s="270" t="s">
        <v>5551</v>
      </c>
      <c r="H58" s="272" t="s">
        <v>5552</v>
      </c>
      <c r="I58" s="248" t="s">
        <v>91</v>
      </c>
      <c r="J58" s="582" t="s">
        <v>5553</v>
      </c>
      <c r="K58" s="275">
        <v>45510</v>
      </c>
      <c r="L58" s="270"/>
      <c r="M58" s="270"/>
      <c r="N58" s="275">
        <v>46387</v>
      </c>
      <c r="O58" s="270"/>
      <c r="P58" s="270"/>
      <c r="Q58" s="270"/>
      <c r="R58" s="270"/>
      <c r="S58" s="270"/>
      <c r="T58" s="270"/>
      <c r="U58" s="270"/>
      <c r="V58" s="270"/>
      <c r="W58" s="523"/>
      <c r="AB58" s="102"/>
    </row>
    <row r="59" spans="1:28" s="70" customFormat="1" ht="40.5" customHeight="1" thickBot="1" x14ac:dyDescent="0.3">
      <c r="A59" s="117">
        <v>45</v>
      </c>
      <c r="B59" s="283" t="s">
        <v>5550</v>
      </c>
      <c r="C59" s="323" t="s">
        <v>5546</v>
      </c>
      <c r="D59" s="270" t="s">
        <v>100</v>
      </c>
      <c r="E59" s="270">
        <v>41.926000000000002</v>
      </c>
      <c r="F59" s="270">
        <v>220</v>
      </c>
      <c r="G59" s="270" t="s">
        <v>5551</v>
      </c>
      <c r="H59" s="272" t="s">
        <v>5552</v>
      </c>
      <c r="I59" s="248" t="s">
        <v>91</v>
      </c>
      <c r="J59" s="582" t="s">
        <v>5554</v>
      </c>
      <c r="K59" s="275">
        <v>45510</v>
      </c>
      <c r="L59" s="270"/>
      <c r="M59" s="270"/>
      <c r="N59" s="275">
        <v>46387</v>
      </c>
      <c r="O59" s="270"/>
      <c r="P59" s="270"/>
      <c r="Q59" s="270"/>
      <c r="R59" s="270"/>
      <c r="S59" s="270"/>
      <c r="T59" s="270"/>
      <c r="U59" s="270"/>
      <c r="V59" s="270"/>
      <c r="W59" s="523"/>
      <c r="AB59" s="102"/>
    </row>
    <row r="60" spans="1:28" s="70" customFormat="1" ht="40.5" customHeight="1" x14ac:dyDescent="0.25">
      <c r="A60" s="125">
        <v>46</v>
      </c>
      <c r="B60" s="283" t="s">
        <v>5550</v>
      </c>
      <c r="C60" s="323" t="s">
        <v>5547</v>
      </c>
      <c r="D60" s="270" t="s">
        <v>100</v>
      </c>
      <c r="E60" s="270">
        <v>41.926000000000002</v>
      </c>
      <c r="F60" s="270">
        <v>220</v>
      </c>
      <c r="G60" s="270" t="s">
        <v>5551</v>
      </c>
      <c r="H60" s="272" t="s">
        <v>5552</v>
      </c>
      <c r="I60" s="248" t="s">
        <v>91</v>
      </c>
      <c r="J60" s="582" t="s">
        <v>5555</v>
      </c>
      <c r="K60" s="275">
        <v>45510</v>
      </c>
      <c r="L60" s="270"/>
      <c r="M60" s="270"/>
      <c r="N60" s="275">
        <v>46387</v>
      </c>
      <c r="O60" s="270"/>
      <c r="P60" s="270"/>
      <c r="Q60" s="270"/>
      <c r="R60" s="270"/>
      <c r="S60" s="270"/>
      <c r="T60" s="270"/>
      <c r="U60" s="270"/>
      <c r="V60" s="270"/>
      <c r="W60" s="523"/>
      <c r="AB60" s="102"/>
    </row>
    <row r="61" spans="1:28" s="70" customFormat="1" ht="40.5" customHeight="1" x14ac:dyDescent="0.25">
      <c r="A61" s="895">
        <v>47</v>
      </c>
      <c r="B61" s="799" t="s">
        <v>5550</v>
      </c>
      <c r="C61" s="800" t="s">
        <v>5548</v>
      </c>
      <c r="D61" s="296" t="s">
        <v>100</v>
      </c>
      <c r="E61" s="296">
        <v>41.926000000000002</v>
      </c>
      <c r="F61" s="296">
        <v>220</v>
      </c>
      <c r="G61" s="296" t="s">
        <v>5551</v>
      </c>
      <c r="H61" s="297" t="s">
        <v>5552</v>
      </c>
      <c r="I61" s="173" t="s">
        <v>91</v>
      </c>
      <c r="J61" s="801" t="s">
        <v>5556</v>
      </c>
      <c r="K61" s="307">
        <v>45510</v>
      </c>
      <c r="L61" s="296"/>
      <c r="M61" s="296"/>
      <c r="N61" s="307">
        <v>46387</v>
      </c>
      <c r="O61" s="296"/>
      <c r="P61" s="296"/>
      <c r="Q61" s="296"/>
      <c r="R61" s="296"/>
      <c r="S61" s="296"/>
      <c r="T61" s="296"/>
      <c r="U61" s="296"/>
      <c r="V61" s="296"/>
      <c r="W61" s="524"/>
      <c r="AB61" s="102"/>
    </row>
    <row r="62" spans="1:28" s="264" customFormat="1" ht="40.5" customHeight="1" x14ac:dyDescent="0.25">
      <c r="A62" s="896">
        <v>48</v>
      </c>
      <c r="B62" s="283" t="s">
        <v>6169</v>
      </c>
      <c r="C62" s="894" t="s">
        <v>6170</v>
      </c>
      <c r="D62" s="270" t="s">
        <v>6172</v>
      </c>
      <c r="E62" s="270">
        <v>55.963999999999999</v>
      </c>
      <c r="F62" s="270">
        <v>110</v>
      </c>
      <c r="G62" s="270" t="s">
        <v>6173</v>
      </c>
      <c r="H62" s="270" t="s">
        <v>6174</v>
      </c>
      <c r="I62" s="248" t="s">
        <v>91</v>
      </c>
      <c r="J62" s="582" t="s">
        <v>6171</v>
      </c>
      <c r="K62" s="275">
        <v>45518</v>
      </c>
      <c r="L62" s="270"/>
      <c r="M62" s="270"/>
      <c r="N62" s="275">
        <v>46022</v>
      </c>
      <c r="O62" s="270"/>
      <c r="P62" s="270"/>
      <c r="Q62" s="270"/>
      <c r="R62" s="270"/>
      <c r="S62" s="270"/>
      <c r="T62" s="270"/>
      <c r="U62" s="270"/>
      <c r="V62" s="270"/>
      <c r="W62" s="523"/>
      <c r="AB62" s="396"/>
    </row>
    <row r="63" spans="1:28" x14ac:dyDescent="0.25">
      <c r="W63" s="306"/>
      <c r="X63" s="152"/>
      <c r="Y63" s="156"/>
      <c r="Z63" s="157"/>
      <c r="AA63" s="70"/>
      <c r="AB63" s="70"/>
    </row>
    <row r="64" spans="1:28" ht="25.5" x14ac:dyDescent="0.25">
      <c r="A64" s="106">
        <v>1</v>
      </c>
      <c r="B64" s="467" t="s">
        <v>154</v>
      </c>
      <c r="C64" s="106" t="s">
        <v>155</v>
      </c>
      <c r="D64" s="106" t="s">
        <v>156</v>
      </c>
      <c r="E64" s="106">
        <v>2.4500000000000002</v>
      </c>
      <c r="F64" s="106">
        <v>20</v>
      </c>
      <c r="G64" s="106" t="s">
        <v>157</v>
      </c>
      <c r="H64" s="106"/>
      <c r="I64" s="106" t="s">
        <v>150</v>
      </c>
      <c r="J64" s="443">
        <v>8164450</v>
      </c>
      <c r="K64" s="107">
        <v>44505</v>
      </c>
      <c r="L64" s="467">
        <v>8164450</v>
      </c>
      <c r="M64" s="468">
        <v>44764</v>
      </c>
      <c r="N64" s="106"/>
      <c r="O64" s="106"/>
      <c r="P64" s="106"/>
      <c r="Q64" s="106"/>
      <c r="R64" s="106"/>
      <c r="S64" s="106"/>
      <c r="T64" s="106"/>
      <c r="U64" s="106">
        <v>0</v>
      </c>
      <c r="V64" s="300"/>
      <c r="W64" s="139">
        <f>E64-U64</f>
        <v>2.4500000000000002</v>
      </c>
      <c r="X64" s="152"/>
      <c r="Y64" s="156"/>
      <c r="Z64" s="157"/>
      <c r="AA64" s="70"/>
      <c r="AB64" s="70"/>
    </row>
    <row r="65" spans="1:24" ht="25.5" x14ac:dyDescent="0.25">
      <c r="A65" s="106">
        <v>2</v>
      </c>
      <c r="B65" s="467" t="s">
        <v>158</v>
      </c>
      <c r="C65" s="106" t="s">
        <v>159</v>
      </c>
      <c r="D65" s="106" t="s">
        <v>160</v>
      </c>
      <c r="E65" s="106">
        <v>4.257924</v>
      </c>
      <c r="F65" s="106">
        <v>20</v>
      </c>
      <c r="G65" s="106" t="s">
        <v>136</v>
      </c>
      <c r="H65" s="106"/>
      <c r="I65" s="106" t="s">
        <v>150</v>
      </c>
      <c r="J65" s="443">
        <v>8675837</v>
      </c>
      <c r="K65" s="107">
        <v>44589</v>
      </c>
      <c r="L65" s="467">
        <v>8675837</v>
      </c>
      <c r="M65" s="468">
        <v>44757</v>
      </c>
      <c r="N65" s="106"/>
      <c r="O65" s="106"/>
      <c r="P65" s="106"/>
      <c r="Q65" s="106"/>
      <c r="R65" s="106"/>
      <c r="S65" s="106"/>
      <c r="T65" s="106"/>
      <c r="U65" s="106">
        <v>0</v>
      </c>
      <c r="V65" s="106"/>
      <c r="W65" s="106">
        <f>E65-U65</f>
        <v>4.257924</v>
      </c>
      <c r="X65" s="86"/>
    </row>
    <row r="66" spans="1:24" ht="24.75" customHeight="1" x14ac:dyDescent="0.25">
      <c r="A66" s="106">
        <v>3</v>
      </c>
      <c r="B66" s="467" t="s">
        <v>3714</v>
      </c>
      <c r="C66" s="106" t="s">
        <v>811</v>
      </c>
      <c r="D66" s="106" t="s">
        <v>156</v>
      </c>
      <c r="E66" s="106">
        <v>2.96</v>
      </c>
      <c r="F66" s="106">
        <v>20</v>
      </c>
      <c r="G66" s="106" t="s">
        <v>101</v>
      </c>
      <c r="H66" s="106" t="s">
        <v>812</v>
      </c>
      <c r="I66" s="106" t="s">
        <v>150</v>
      </c>
      <c r="J66" s="443">
        <v>9073323</v>
      </c>
      <c r="K66" s="107">
        <v>44645</v>
      </c>
      <c r="L66" s="467">
        <v>9073323</v>
      </c>
      <c r="M66" s="468">
        <v>45000</v>
      </c>
      <c r="N66" s="106"/>
      <c r="O66" s="106"/>
      <c r="P66" s="106"/>
      <c r="Q66" s="106"/>
      <c r="R66" s="106"/>
      <c r="S66" s="106"/>
      <c r="T66" s="106"/>
      <c r="U66" s="106">
        <v>0</v>
      </c>
      <c r="V66" s="106"/>
      <c r="W66" s="106">
        <v>2.96</v>
      </c>
    </row>
    <row r="67" spans="1:24" ht="24.75" customHeight="1" x14ac:dyDescent="0.25">
      <c r="A67" s="106">
        <v>4</v>
      </c>
      <c r="B67" s="467" t="s">
        <v>1199</v>
      </c>
      <c r="C67" s="106" t="s">
        <v>1200</v>
      </c>
      <c r="D67" s="106" t="s">
        <v>156</v>
      </c>
      <c r="E67" s="106">
        <v>4.4080000000000004</v>
      </c>
      <c r="F67" s="106">
        <v>20</v>
      </c>
      <c r="G67" s="106" t="s">
        <v>1201</v>
      </c>
      <c r="H67" s="106" t="s">
        <v>1202</v>
      </c>
      <c r="I67" s="106" t="s">
        <v>150</v>
      </c>
      <c r="J67" s="443">
        <v>9145840</v>
      </c>
      <c r="K67" s="107">
        <v>44718</v>
      </c>
      <c r="L67" s="467">
        <v>9145840</v>
      </c>
      <c r="M67" s="468">
        <v>45090</v>
      </c>
      <c r="N67" s="106"/>
      <c r="O67" s="106"/>
      <c r="P67" s="106"/>
      <c r="Q67" s="106"/>
      <c r="R67" s="106"/>
      <c r="S67" s="106"/>
      <c r="T67" s="106"/>
      <c r="U67" s="106">
        <v>0</v>
      </c>
      <c r="V67" s="106"/>
      <c r="W67" s="106">
        <v>4.4080000000000004</v>
      </c>
    </row>
    <row r="68" spans="1:24" ht="24.75" customHeight="1" x14ac:dyDescent="0.25">
      <c r="A68" s="106">
        <v>5</v>
      </c>
      <c r="B68" s="467" t="s">
        <v>1203</v>
      </c>
      <c r="C68" s="106" t="s">
        <v>1204</v>
      </c>
      <c r="D68" s="106" t="s">
        <v>160</v>
      </c>
      <c r="E68" s="106">
        <v>3.3220000000000001</v>
      </c>
      <c r="F68" s="106">
        <v>20</v>
      </c>
      <c r="G68" s="106" t="s">
        <v>1205</v>
      </c>
      <c r="H68" s="106" t="s">
        <v>1206</v>
      </c>
      <c r="I68" s="106" t="s">
        <v>150</v>
      </c>
      <c r="J68" s="443">
        <v>8479359</v>
      </c>
      <c r="K68" s="107">
        <v>44736</v>
      </c>
      <c r="L68" s="467">
        <v>8479359</v>
      </c>
      <c r="M68" s="468">
        <v>45175</v>
      </c>
      <c r="N68" s="106"/>
      <c r="O68" s="106"/>
      <c r="P68" s="106"/>
      <c r="Q68" s="106"/>
      <c r="R68" s="106"/>
      <c r="S68" s="106"/>
      <c r="T68" s="106"/>
      <c r="U68" s="106">
        <v>0</v>
      </c>
      <c r="V68" s="106"/>
      <c r="W68" s="106">
        <v>3.3220000000000001</v>
      </c>
    </row>
    <row r="69" spans="1:24" ht="24.75" customHeight="1" x14ac:dyDescent="0.25">
      <c r="A69" s="106">
        <v>6</v>
      </c>
      <c r="B69" s="467" t="str">
        <f>[1]report1657732978145!$H$5</f>
        <v>IMOBLES FORM SRL</v>
      </c>
      <c r="C69" s="106" t="s">
        <v>1274</v>
      </c>
      <c r="D69" s="106" t="s">
        <v>160</v>
      </c>
      <c r="E69" s="106">
        <v>3.95</v>
      </c>
      <c r="F69" s="106">
        <v>20</v>
      </c>
      <c r="G69" s="106" t="s">
        <v>1275</v>
      </c>
      <c r="H69" s="106" t="s">
        <v>1276</v>
      </c>
      <c r="I69" s="106" t="s">
        <v>150</v>
      </c>
      <c r="J69" s="443">
        <v>8903562</v>
      </c>
      <c r="K69" s="107">
        <v>44746</v>
      </c>
      <c r="L69" s="467">
        <v>8903562</v>
      </c>
      <c r="M69" s="468">
        <v>45195</v>
      </c>
      <c r="N69" s="106"/>
      <c r="O69" s="106"/>
      <c r="P69" s="106"/>
      <c r="Q69" s="106"/>
      <c r="R69" s="106"/>
      <c r="S69" s="106"/>
      <c r="T69" s="106"/>
      <c r="U69" s="106">
        <v>0</v>
      </c>
      <c r="V69" s="106"/>
      <c r="W69" s="106">
        <v>3.95</v>
      </c>
    </row>
    <row r="70" spans="1:24" ht="24.75" customHeight="1" x14ac:dyDescent="0.25">
      <c r="A70" s="106">
        <v>7</v>
      </c>
      <c r="B70" s="467" t="s">
        <v>1277</v>
      </c>
      <c r="C70" s="467" t="s">
        <v>1278</v>
      </c>
      <c r="D70" s="467" t="s">
        <v>160</v>
      </c>
      <c r="E70" s="467">
        <v>4.4080000000000004</v>
      </c>
      <c r="F70" s="467">
        <v>20</v>
      </c>
      <c r="G70" s="467" t="s">
        <v>1279</v>
      </c>
      <c r="H70" s="467" t="s">
        <v>1280</v>
      </c>
      <c r="I70" s="467" t="s">
        <v>150</v>
      </c>
      <c r="J70" s="507">
        <v>9102397</v>
      </c>
      <c r="K70" s="468">
        <v>44769</v>
      </c>
      <c r="L70" s="467">
        <v>9102397</v>
      </c>
      <c r="M70" s="468">
        <v>45202</v>
      </c>
      <c r="N70" s="106"/>
      <c r="O70" s="106"/>
      <c r="P70" s="106"/>
      <c r="Q70" s="106"/>
      <c r="R70" s="106"/>
      <c r="S70" s="106"/>
      <c r="T70" s="106"/>
      <c r="U70" s="106">
        <v>0</v>
      </c>
      <c r="V70" s="106"/>
      <c r="W70" s="106">
        <v>4.4080000000000004</v>
      </c>
    </row>
    <row r="71" spans="1:24" ht="24.75" customHeight="1" x14ac:dyDescent="0.25">
      <c r="A71" s="106">
        <v>8</v>
      </c>
      <c r="B71" s="467" t="s">
        <v>1281</v>
      </c>
      <c r="C71" s="467" t="s">
        <v>1282</v>
      </c>
      <c r="D71" s="467" t="s">
        <v>160</v>
      </c>
      <c r="E71" s="467">
        <v>2.3439999999999999</v>
      </c>
      <c r="F71" s="467">
        <v>20</v>
      </c>
      <c r="G71" s="467" t="s">
        <v>1283</v>
      </c>
      <c r="H71" s="467" t="s">
        <v>1284</v>
      </c>
      <c r="I71" s="467" t="s">
        <v>150</v>
      </c>
      <c r="J71" s="507">
        <v>9097388</v>
      </c>
      <c r="K71" s="468">
        <v>44757</v>
      </c>
      <c r="L71" s="467">
        <v>9097388</v>
      </c>
      <c r="M71" s="468">
        <v>44978</v>
      </c>
      <c r="N71" s="106"/>
      <c r="O71" s="106"/>
      <c r="P71" s="106"/>
      <c r="Q71" s="106"/>
      <c r="R71" s="106"/>
      <c r="S71" s="106"/>
      <c r="T71" s="106"/>
      <c r="U71" s="106">
        <v>0</v>
      </c>
      <c r="V71" s="106"/>
      <c r="W71" s="106">
        <v>2.3439999999999999</v>
      </c>
    </row>
    <row r="72" spans="1:24" ht="24.75" customHeight="1" x14ac:dyDescent="0.25">
      <c r="A72" s="106">
        <v>9</v>
      </c>
      <c r="B72" s="467" t="s">
        <v>1285</v>
      </c>
      <c r="C72" s="467" t="s">
        <v>1286</v>
      </c>
      <c r="D72" s="467" t="s">
        <v>156</v>
      </c>
      <c r="E72" s="467">
        <v>39.996000000000002</v>
      </c>
      <c r="F72" s="467">
        <v>110</v>
      </c>
      <c r="G72" s="467" t="s">
        <v>1287</v>
      </c>
      <c r="H72" s="467" t="s">
        <v>1288</v>
      </c>
      <c r="I72" s="467" t="s">
        <v>150</v>
      </c>
      <c r="J72" s="507">
        <v>8756068</v>
      </c>
      <c r="K72" s="468">
        <v>44755</v>
      </c>
      <c r="L72" s="467">
        <v>8756068</v>
      </c>
      <c r="M72" s="468">
        <v>45006</v>
      </c>
      <c r="N72" s="106"/>
      <c r="O72" s="106"/>
      <c r="P72" s="106"/>
      <c r="Q72" s="106"/>
      <c r="R72" s="106"/>
      <c r="S72" s="106"/>
      <c r="T72" s="106"/>
      <c r="U72" s="106">
        <v>0</v>
      </c>
      <c r="V72" s="106"/>
      <c r="W72" s="106">
        <v>39.996000000000002</v>
      </c>
    </row>
    <row r="73" spans="1:24" ht="24.75" customHeight="1" x14ac:dyDescent="0.25">
      <c r="A73" s="106">
        <v>10</v>
      </c>
      <c r="B73" s="467" t="s">
        <v>1373</v>
      </c>
      <c r="C73" s="467" t="s">
        <v>1374</v>
      </c>
      <c r="D73" s="467" t="s">
        <v>160</v>
      </c>
      <c r="E73" s="467">
        <v>49.57</v>
      </c>
      <c r="F73" s="467">
        <v>110</v>
      </c>
      <c r="G73" s="467" t="s">
        <v>1375</v>
      </c>
      <c r="H73" s="467" t="s">
        <v>1376</v>
      </c>
      <c r="I73" s="467" t="s">
        <v>150</v>
      </c>
      <c r="J73" s="507">
        <v>11020196</v>
      </c>
      <c r="K73" s="468">
        <v>44778</v>
      </c>
      <c r="L73" s="467">
        <v>11020196</v>
      </c>
      <c r="M73" s="468">
        <v>45140</v>
      </c>
      <c r="N73" s="106"/>
      <c r="O73" s="106"/>
      <c r="P73" s="106"/>
      <c r="Q73" s="106"/>
      <c r="R73" s="106"/>
      <c r="S73" s="106"/>
      <c r="T73" s="106"/>
      <c r="U73" s="106">
        <v>0</v>
      </c>
      <c r="V73" s="106"/>
      <c r="W73" s="106">
        <v>49.57</v>
      </c>
    </row>
    <row r="74" spans="1:24" ht="24.75" customHeight="1" x14ac:dyDescent="0.25">
      <c r="A74" s="106">
        <v>11</v>
      </c>
      <c r="B74" s="467" t="s">
        <v>3715</v>
      </c>
      <c r="C74" s="467" t="s">
        <v>811</v>
      </c>
      <c r="D74" s="467" t="s">
        <v>156</v>
      </c>
      <c r="E74" s="467">
        <v>2.96</v>
      </c>
      <c r="F74" s="467">
        <v>20</v>
      </c>
      <c r="G74" s="467" t="s">
        <v>1377</v>
      </c>
      <c r="H74" s="467" t="s">
        <v>1378</v>
      </c>
      <c r="I74" s="467" t="s">
        <v>150</v>
      </c>
      <c r="J74" s="507">
        <v>9850054</v>
      </c>
      <c r="K74" s="468">
        <v>44776</v>
      </c>
      <c r="L74" s="467">
        <v>9850054</v>
      </c>
      <c r="M74" s="468">
        <v>45121</v>
      </c>
      <c r="N74" s="106"/>
      <c r="O74" s="106"/>
      <c r="P74" s="106"/>
      <c r="Q74" s="106"/>
      <c r="R74" s="106"/>
      <c r="S74" s="106"/>
      <c r="T74" s="106"/>
      <c r="U74" s="106"/>
      <c r="V74" s="106"/>
      <c r="W74" s="106"/>
    </row>
    <row r="75" spans="1:24" ht="24.75" customHeight="1" x14ac:dyDescent="0.25">
      <c r="A75" s="106">
        <v>12</v>
      </c>
      <c r="B75" s="245" t="s">
        <v>1203</v>
      </c>
      <c r="C75" s="245" t="s">
        <v>1715</v>
      </c>
      <c r="D75" s="245" t="s">
        <v>160</v>
      </c>
      <c r="E75" s="508">
        <v>3.65</v>
      </c>
      <c r="F75" s="245">
        <v>20</v>
      </c>
      <c r="G75" s="251" t="s">
        <v>1205</v>
      </c>
      <c r="H75" s="245" t="s">
        <v>1716</v>
      </c>
      <c r="I75" s="245" t="s">
        <v>150</v>
      </c>
      <c r="J75" s="509">
        <v>8505213</v>
      </c>
      <c r="K75" s="403">
        <v>44802</v>
      </c>
      <c r="L75" s="245">
        <v>8505213</v>
      </c>
      <c r="M75" s="403">
        <v>45222</v>
      </c>
      <c r="N75" s="139"/>
      <c r="O75" s="139"/>
      <c r="P75" s="139"/>
      <c r="Q75" s="139"/>
      <c r="R75" s="139"/>
      <c r="S75" s="139"/>
      <c r="T75" s="139"/>
      <c r="U75" s="139">
        <v>0</v>
      </c>
      <c r="V75" s="139"/>
      <c r="W75" s="140">
        <v>3.65</v>
      </c>
    </row>
    <row r="76" spans="1:24" ht="24.75" customHeight="1" x14ac:dyDescent="0.25">
      <c r="A76" s="106">
        <v>13</v>
      </c>
      <c r="B76" s="245" t="s">
        <v>1717</v>
      </c>
      <c r="C76" s="245" t="s">
        <v>1718</v>
      </c>
      <c r="D76" s="245" t="s">
        <v>160</v>
      </c>
      <c r="E76" s="510">
        <v>4.4080000000000004</v>
      </c>
      <c r="F76" s="245">
        <v>20</v>
      </c>
      <c r="G76" s="245" t="s">
        <v>1283</v>
      </c>
      <c r="H76" s="245" t="s">
        <v>1719</v>
      </c>
      <c r="I76" s="245" t="s">
        <v>150</v>
      </c>
      <c r="J76" s="509" t="s">
        <v>1720</v>
      </c>
      <c r="K76" s="403">
        <v>44809</v>
      </c>
      <c r="L76" s="245">
        <v>9104104</v>
      </c>
      <c r="M76" s="403">
        <v>45203</v>
      </c>
      <c r="N76" s="139"/>
      <c r="O76" s="139"/>
      <c r="P76" s="139"/>
      <c r="Q76" s="139"/>
      <c r="R76" s="139"/>
      <c r="S76" s="139"/>
      <c r="T76" s="139"/>
      <c r="U76" s="139">
        <v>0</v>
      </c>
      <c r="V76" s="139"/>
      <c r="W76" s="139">
        <v>4.4080000000000004</v>
      </c>
    </row>
    <row r="77" spans="1:24" ht="24.75" customHeight="1" x14ac:dyDescent="0.25">
      <c r="A77" s="106">
        <v>14</v>
      </c>
      <c r="B77" s="245" t="s">
        <v>1836</v>
      </c>
      <c r="C77" s="245" t="s">
        <v>579</v>
      </c>
      <c r="D77" s="245" t="s">
        <v>148</v>
      </c>
      <c r="E77" s="245">
        <v>2.96</v>
      </c>
      <c r="F77" s="245">
        <v>20</v>
      </c>
      <c r="G77" s="245" t="s">
        <v>1837</v>
      </c>
      <c r="H77" s="245" t="s">
        <v>1838</v>
      </c>
      <c r="I77" s="245" t="s">
        <v>150</v>
      </c>
      <c r="J77" s="509">
        <v>10116176</v>
      </c>
      <c r="K77" s="403">
        <v>44841</v>
      </c>
      <c r="L77" s="245">
        <v>10116176</v>
      </c>
      <c r="M77" s="403">
        <v>45139</v>
      </c>
      <c r="N77" s="139"/>
      <c r="O77" s="139"/>
      <c r="P77" s="139"/>
      <c r="Q77" s="139"/>
      <c r="R77" s="139"/>
      <c r="S77" s="139"/>
      <c r="T77" s="139"/>
      <c r="U77" s="139">
        <v>0</v>
      </c>
      <c r="V77" s="139"/>
      <c r="W77" s="139">
        <v>2.96</v>
      </c>
    </row>
    <row r="78" spans="1:24" ht="24.75" customHeight="1" x14ac:dyDescent="0.25">
      <c r="A78" s="106">
        <v>15</v>
      </c>
      <c r="B78" s="245" t="s">
        <v>1845</v>
      </c>
      <c r="C78" s="245" t="s">
        <v>1846</v>
      </c>
      <c r="D78" s="245" t="s">
        <v>156</v>
      </c>
      <c r="E78" s="245">
        <v>1.974</v>
      </c>
      <c r="F78" s="245">
        <v>20</v>
      </c>
      <c r="G78" s="245" t="s">
        <v>157</v>
      </c>
      <c r="H78" s="245" t="s">
        <v>1847</v>
      </c>
      <c r="I78" s="245" t="s">
        <v>150</v>
      </c>
      <c r="J78" s="509">
        <v>8803431</v>
      </c>
      <c r="K78" s="403">
        <v>44847</v>
      </c>
      <c r="L78" s="245">
        <v>8803431</v>
      </c>
      <c r="M78" s="403">
        <v>45212</v>
      </c>
      <c r="N78" s="139"/>
      <c r="O78" s="139"/>
      <c r="P78" s="139"/>
      <c r="Q78" s="139"/>
      <c r="R78" s="139"/>
      <c r="S78" s="139"/>
      <c r="T78" s="139"/>
      <c r="U78" s="139">
        <v>0</v>
      </c>
      <c r="V78" s="139"/>
      <c r="W78" s="139">
        <v>1.974</v>
      </c>
    </row>
    <row r="79" spans="1:24" ht="24.75" customHeight="1" x14ac:dyDescent="0.25">
      <c r="A79" s="106">
        <v>16</v>
      </c>
      <c r="B79" s="245" t="s">
        <v>1848</v>
      </c>
      <c r="C79" s="245" t="s">
        <v>1849</v>
      </c>
      <c r="D79" s="245" t="s">
        <v>156</v>
      </c>
      <c r="E79" s="245">
        <v>2.96</v>
      </c>
      <c r="F79" s="245">
        <v>20</v>
      </c>
      <c r="G79" s="245" t="s">
        <v>1850</v>
      </c>
      <c r="H79" s="245" t="s">
        <v>1851</v>
      </c>
      <c r="I79" s="245" t="s">
        <v>150</v>
      </c>
      <c r="J79" s="509">
        <v>9915631</v>
      </c>
      <c r="K79" s="403">
        <v>44848</v>
      </c>
      <c r="L79" s="245">
        <v>9915631</v>
      </c>
      <c r="M79" s="403">
        <v>45222</v>
      </c>
      <c r="N79" s="139"/>
      <c r="O79" s="139"/>
      <c r="P79" s="139"/>
      <c r="Q79" s="139"/>
      <c r="R79" s="139"/>
      <c r="S79" s="139"/>
      <c r="T79" s="139"/>
      <c r="U79" s="139">
        <v>0</v>
      </c>
      <c r="V79" s="139"/>
      <c r="W79" s="139">
        <v>2.96</v>
      </c>
    </row>
    <row r="80" spans="1:24" ht="24.75" customHeight="1" x14ac:dyDescent="0.25">
      <c r="A80" s="106">
        <v>17</v>
      </c>
      <c r="B80" s="245" t="s">
        <v>1848</v>
      </c>
      <c r="C80" s="245" t="s">
        <v>1852</v>
      </c>
      <c r="D80" s="245" t="s">
        <v>156</v>
      </c>
      <c r="E80" s="245">
        <v>2.96</v>
      </c>
      <c r="F80" s="245">
        <v>20</v>
      </c>
      <c r="G80" s="245" t="s">
        <v>1850</v>
      </c>
      <c r="H80" s="245" t="s">
        <v>1853</v>
      </c>
      <c r="I80" s="245" t="s">
        <v>150</v>
      </c>
      <c r="J80" s="509">
        <v>9916625</v>
      </c>
      <c r="K80" s="403">
        <v>44855</v>
      </c>
      <c r="L80" s="245">
        <v>9916625</v>
      </c>
      <c r="M80" s="403">
        <v>45222</v>
      </c>
      <c r="N80" s="139"/>
      <c r="O80" s="139"/>
      <c r="P80" s="139"/>
      <c r="Q80" s="139"/>
      <c r="R80" s="139"/>
      <c r="S80" s="139"/>
      <c r="T80" s="139"/>
      <c r="U80" s="139">
        <v>0</v>
      </c>
      <c r="V80" s="139"/>
      <c r="W80" s="139">
        <v>2.96</v>
      </c>
    </row>
    <row r="81" spans="1:23" ht="24.75" customHeight="1" x14ac:dyDescent="0.25">
      <c r="A81" s="106">
        <v>18</v>
      </c>
      <c r="B81" s="245" t="s">
        <v>1281</v>
      </c>
      <c r="C81" s="245" t="s">
        <v>1854</v>
      </c>
      <c r="D81" s="245" t="s">
        <v>156</v>
      </c>
      <c r="E81" s="245">
        <v>2.7044800000000002</v>
      </c>
      <c r="F81" s="245">
        <v>20</v>
      </c>
      <c r="G81" s="245" t="s">
        <v>1855</v>
      </c>
      <c r="H81" s="245" t="s">
        <v>1856</v>
      </c>
      <c r="I81" s="245" t="s">
        <v>150</v>
      </c>
      <c r="J81" s="509" t="s">
        <v>1857</v>
      </c>
      <c r="K81" s="403">
        <v>44847</v>
      </c>
      <c r="L81" s="245">
        <v>9163313</v>
      </c>
      <c r="M81" s="403">
        <v>45020</v>
      </c>
      <c r="N81" s="139"/>
      <c r="O81" s="139"/>
      <c r="P81" s="139"/>
      <c r="Q81" s="139"/>
      <c r="R81" s="139"/>
      <c r="S81" s="139"/>
      <c r="T81" s="139"/>
      <c r="U81" s="139">
        <v>0</v>
      </c>
      <c r="V81" s="139"/>
      <c r="W81" s="139">
        <v>2.7044800000000002</v>
      </c>
    </row>
    <row r="82" spans="1:23" ht="24.75" customHeight="1" x14ac:dyDescent="0.25">
      <c r="A82" s="106">
        <v>19</v>
      </c>
      <c r="B82" s="245" t="s">
        <v>1893</v>
      </c>
      <c r="C82" s="245" t="s">
        <v>811</v>
      </c>
      <c r="D82" s="245" t="s">
        <v>160</v>
      </c>
      <c r="E82" s="510">
        <v>6.1440000000000001</v>
      </c>
      <c r="F82" s="245">
        <v>20</v>
      </c>
      <c r="G82" s="245" t="s">
        <v>1894</v>
      </c>
      <c r="H82" s="251" t="s">
        <v>1895</v>
      </c>
      <c r="I82" s="245" t="s">
        <v>150</v>
      </c>
      <c r="J82" s="509">
        <v>10099318</v>
      </c>
      <c r="K82" s="403">
        <v>44869</v>
      </c>
      <c r="L82" s="245">
        <v>10099318</v>
      </c>
      <c r="M82" s="403">
        <v>44991</v>
      </c>
      <c r="N82" s="139"/>
      <c r="O82" s="139"/>
      <c r="P82" s="139"/>
      <c r="Q82" s="139"/>
      <c r="R82" s="139"/>
      <c r="S82" s="139"/>
      <c r="T82" s="139"/>
      <c r="U82" s="139">
        <v>0</v>
      </c>
      <c r="V82" s="139"/>
      <c r="W82" s="139">
        <v>6.1440000000000001</v>
      </c>
    </row>
    <row r="83" spans="1:23" ht="24.75" customHeight="1" x14ac:dyDescent="0.25">
      <c r="A83" s="106">
        <v>20</v>
      </c>
      <c r="B83" s="245" t="s">
        <v>1896</v>
      </c>
      <c r="C83" s="245" t="s">
        <v>811</v>
      </c>
      <c r="D83" s="245" t="s">
        <v>160</v>
      </c>
      <c r="E83" s="510">
        <v>31.16</v>
      </c>
      <c r="F83" s="245">
        <v>110</v>
      </c>
      <c r="G83" s="245" t="s">
        <v>1897</v>
      </c>
      <c r="H83" s="251" t="s">
        <v>1898</v>
      </c>
      <c r="I83" s="245" t="s">
        <v>150</v>
      </c>
      <c r="J83" s="509">
        <v>9574520</v>
      </c>
      <c r="K83" s="403">
        <v>44861</v>
      </c>
      <c r="L83" s="245">
        <v>9574520</v>
      </c>
      <c r="M83" s="403">
        <v>45148</v>
      </c>
      <c r="N83" s="139"/>
      <c r="O83" s="139"/>
      <c r="P83" s="139"/>
      <c r="Q83" s="139"/>
      <c r="R83" s="139"/>
      <c r="S83" s="139"/>
      <c r="T83" s="139"/>
      <c r="U83" s="139">
        <v>0</v>
      </c>
      <c r="V83" s="139"/>
      <c r="W83" s="139">
        <v>31.16</v>
      </c>
    </row>
    <row r="84" spans="1:23" ht="24.75" customHeight="1" x14ac:dyDescent="0.25">
      <c r="A84" s="106">
        <v>21</v>
      </c>
      <c r="B84" s="245" t="s">
        <v>1899</v>
      </c>
      <c r="C84" s="245" t="s">
        <v>811</v>
      </c>
      <c r="D84" s="245" t="s">
        <v>156</v>
      </c>
      <c r="E84" s="510">
        <v>29.78</v>
      </c>
      <c r="F84" s="245">
        <v>110</v>
      </c>
      <c r="G84" s="245" t="s">
        <v>1900</v>
      </c>
      <c r="H84" s="251" t="s">
        <v>1901</v>
      </c>
      <c r="I84" s="245" t="s">
        <v>150</v>
      </c>
      <c r="J84" s="509">
        <v>9577843</v>
      </c>
      <c r="K84" s="403">
        <v>44859</v>
      </c>
      <c r="L84" s="245">
        <v>9577843</v>
      </c>
      <c r="M84" s="403">
        <v>45224</v>
      </c>
      <c r="N84" s="139"/>
      <c r="O84" s="139"/>
      <c r="P84" s="139"/>
      <c r="Q84" s="139"/>
      <c r="R84" s="139"/>
      <c r="S84" s="139"/>
      <c r="T84" s="139"/>
      <c r="U84" s="139">
        <v>0</v>
      </c>
      <c r="V84" s="139"/>
      <c r="W84" s="139">
        <v>29.78</v>
      </c>
    </row>
    <row r="85" spans="1:23" ht="24.75" customHeight="1" x14ac:dyDescent="0.25">
      <c r="A85" s="106">
        <v>22</v>
      </c>
      <c r="B85" s="245" t="s">
        <v>1983</v>
      </c>
      <c r="C85" s="245" t="s">
        <v>951</v>
      </c>
      <c r="D85" s="245" t="s">
        <v>156</v>
      </c>
      <c r="E85" s="245">
        <v>4.7270000000000003</v>
      </c>
      <c r="F85" s="245">
        <v>20</v>
      </c>
      <c r="G85" s="251" t="s">
        <v>1984</v>
      </c>
      <c r="H85" s="251" t="s">
        <v>1985</v>
      </c>
      <c r="I85" s="245" t="s">
        <v>150</v>
      </c>
      <c r="J85" s="509">
        <v>9967994</v>
      </c>
      <c r="K85" s="403">
        <v>44875</v>
      </c>
      <c r="L85" s="245">
        <v>9967994</v>
      </c>
      <c r="M85" s="403">
        <v>45236</v>
      </c>
      <c r="N85" s="139"/>
      <c r="O85" s="139"/>
      <c r="P85" s="139"/>
      <c r="Q85" s="139"/>
      <c r="R85" s="139"/>
      <c r="S85" s="139"/>
      <c r="T85" s="139"/>
      <c r="U85" s="139"/>
      <c r="V85" s="139"/>
      <c r="W85" s="139"/>
    </row>
    <row r="86" spans="1:23" ht="24.75" customHeight="1" x14ac:dyDescent="0.25">
      <c r="A86" s="106">
        <v>23</v>
      </c>
      <c r="B86" s="245" t="s">
        <v>1986</v>
      </c>
      <c r="C86" s="245" t="s">
        <v>1987</v>
      </c>
      <c r="D86" s="245" t="s">
        <v>156</v>
      </c>
      <c r="E86" s="510">
        <v>2.95</v>
      </c>
      <c r="F86" s="245">
        <v>20</v>
      </c>
      <c r="G86" s="251" t="s">
        <v>1988</v>
      </c>
      <c r="H86" s="245" t="s">
        <v>1989</v>
      </c>
      <c r="I86" s="245" t="s">
        <v>150</v>
      </c>
      <c r="J86" s="509">
        <v>10839420</v>
      </c>
      <c r="K86" s="403">
        <v>44880</v>
      </c>
      <c r="L86" s="245">
        <v>10839420</v>
      </c>
      <c r="M86" s="403">
        <v>45209</v>
      </c>
      <c r="N86" s="139"/>
      <c r="O86" s="139"/>
      <c r="P86" s="139"/>
      <c r="Q86" s="139"/>
      <c r="R86" s="139"/>
      <c r="S86" s="139"/>
      <c r="T86" s="139"/>
      <c r="U86" s="139">
        <v>0</v>
      </c>
      <c r="V86" s="139"/>
      <c r="W86" s="139">
        <v>2.95</v>
      </c>
    </row>
    <row r="87" spans="1:23" ht="24.75" customHeight="1" x14ac:dyDescent="0.25">
      <c r="A87" s="106">
        <v>24</v>
      </c>
      <c r="B87" s="245" t="s">
        <v>1990</v>
      </c>
      <c r="C87" s="245" t="s">
        <v>1991</v>
      </c>
      <c r="D87" s="245" t="s">
        <v>160</v>
      </c>
      <c r="E87" s="245">
        <v>2.9095</v>
      </c>
      <c r="F87" s="245">
        <v>20</v>
      </c>
      <c r="G87" s="251" t="s">
        <v>1992</v>
      </c>
      <c r="H87" s="245" t="s">
        <v>1993</v>
      </c>
      <c r="I87" s="245" t="s">
        <v>150</v>
      </c>
      <c r="J87" s="509" t="s">
        <v>1994</v>
      </c>
      <c r="K87" s="403">
        <v>44887</v>
      </c>
      <c r="L87" s="245">
        <v>10084108</v>
      </c>
      <c r="M87" s="403">
        <v>45079</v>
      </c>
      <c r="N87" s="139"/>
      <c r="O87" s="139"/>
      <c r="P87" s="139"/>
      <c r="Q87" s="139"/>
      <c r="R87" s="139"/>
      <c r="S87" s="139"/>
      <c r="T87" s="139"/>
      <c r="U87" s="139"/>
      <c r="V87" s="139"/>
      <c r="W87" s="139"/>
    </row>
    <row r="88" spans="1:23" ht="24.75" customHeight="1" x14ac:dyDescent="0.25">
      <c r="A88" s="106">
        <v>25</v>
      </c>
      <c r="B88" s="251" t="s">
        <v>2027</v>
      </c>
      <c r="C88" s="141" t="s">
        <v>811</v>
      </c>
      <c r="D88" s="139" t="s">
        <v>156</v>
      </c>
      <c r="E88" s="252">
        <v>2.4550000000000001</v>
      </c>
      <c r="F88" s="139">
        <v>20</v>
      </c>
      <c r="G88" s="139" t="s">
        <v>2028</v>
      </c>
      <c r="H88" s="139" t="s">
        <v>2029</v>
      </c>
      <c r="I88" s="139" t="s">
        <v>150</v>
      </c>
      <c r="J88" s="444">
        <v>10843469</v>
      </c>
      <c r="K88" s="142">
        <v>44889</v>
      </c>
      <c r="L88" s="245">
        <v>10843469</v>
      </c>
      <c r="M88" s="403">
        <v>45205</v>
      </c>
      <c r="N88" s="139"/>
      <c r="O88" s="139"/>
      <c r="P88" s="139"/>
      <c r="Q88" s="139"/>
      <c r="R88" s="139"/>
      <c r="S88" s="139"/>
      <c r="T88" s="139"/>
      <c r="U88" s="139">
        <v>0</v>
      </c>
      <c r="V88" s="139"/>
      <c r="W88" s="252">
        <v>2.4550000000000001</v>
      </c>
    </row>
    <row r="89" spans="1:23" ht="24.75" customHeight="1" x14ac:dyDescent="0.25">
      <c r="A89" s="106">
        <v>26</v>
      </c>
      <c r="B89" s="251" t="s">
        <v>2030</v>
      </c>
      <c r="C89" s="141" t="s">
        <v>811</v>
      </c>
      <c r="D89" s="139" t="s">
        <v>160</v>
      </c>
      <c r="E89" s="139">
        <v>3.4449999999999998</v>
      </c>
      <c r="F89" s="139">
        <v>20</v>
      </c>
      <c r="G89" s="139" t="s">
        <v>2031</v>
      </c>
      <c r="H89" s="139" t="s">
        <v>2032</v>
      </c>
      <c r="I89" s="139" t="s">
        <v>150</v>
      </c>
      <c r="J89" s="444" t="s">
        <v>2033</v>
      </c>
      <c r="K89" s="142">
        <v>44889</v>
      </c>
      <c r="L89" s="245">
        <v>10344284</v>
      </c>
      <c r="M89" s="403">
        <v>45264</v>
      </c>
      <c r="N89" s="139"/>
      <c r="O89" s="139"/>
      <c r="P89" s="139"/>
      <c r="Q89" s="139"/>
      <c r="R89" s="139"/>
      <c r="S89" s="139"/>
      <c r="T89" s="139"/>
      <c r="U89" s="139">
        <v>0</v>
      </c>
      <c r="V89" s="139"/>
      <c r="W89" s="139">
        <v>3.4449999999999998</v>
      </c>
    </row>
    <row r="90" spans="1:23" ht="24.75" customHeight="1" x14ac:dyDescent="0.25">
      <c r="A90" s="106">
        <v>27</v>
      </c>
      <c r="B90" s="251" t="s">
        <v>2051</v>
      </c>
      <c r="C90" s="141" t="s">
        <v>155</v>
      </c>
      <c r="D90" s="139" t="s">
        <v>156</v>
      </c>
      <c r="E90" s="139">
        <v>5.93</v>
      </c>
      <c r="F90" s="139">
        <v>20</v>
      </c>
      <c r="G90" s="141" t="s">
        <v>2052</v>
      </c>
      <c r="H90" s="139"/>
      <c r="I90" s="139" t="s">
        <v>150</v>
      </c>
      <c r="J90" s="444" t="s">
        <v>2053</v>
      </c>
      <c r="K90" s="142">
        <v>44917</v>
      </c>
      <c r="L90" s="245">
        <v>11957878</v>
      </c>
      <c r="M90" s="403">
        <v>45175</v>
      </c>
      <c r="N90" s="139"/>
      <c r="O90" s="139"/>
      <c r="P90" s="139"/>
      <c r="Q90" s="139"/>
      <c r="R90" s="139"/>
      <c r="S90" s="139"/>
      <c r="T90" s="139"/>
      <c r="U90" s="139"/>
      <c r="V90" s="139"/>
      <c r="W90" s="139">
        <v>5.93</v>
      </c>
    </row>
    <row r="91" spans="1:23" ht="24.75" customHeight="1" x14ac:dyDescent="0.25">
      <c r="A91" s="106">
        <v>28</v>
      </c>
      <c r="B91" s="251" t="s">
        <v>2054</v>
      </c>
      <c r="C91" s="141" t="s">
        <v>2055</v>
      </c>
      <c r="D91" s="139" t="s">
        <v>156</v>
      </c>
      <c r="E91" s="139">
        <v>3.95</v>
      </c>
      <c r="F91" s="139">
        <v>20</v>
      </c>
      <c r="G91" s="141" t="s">
        <v>2056</v>
      </c>
      <c r="H91" s="139"/>
      <c r="I91" s="139" t="s">
        <v>150</v>
      </c>
      <c r="J91" s="444" t="s">
        <v>2057</v>
      </c>
      <c r="K91" s="142">
        <v>44917</v>
      </c>
      <c r="L91" s="245">
        <v>11847304</v>
      </c>
      <c r="M91" s="403">
        <v>45273</v>
      </c>
      <c r="N91" s="139"/>
      <c r="O91" s="139"/>
      <c r="P91" s="139"/>
      <c r="Q91" s="139"/>
      <c r="R91" s="139"/>
      <c r="S91" s="139"/>
      <c r="T91" s="139"/>
      <c r="U91" s="139"/>
      <c r="V91" s="139"/>
      <c r="W91" s="139">
        <v>3.95</v>
      </c>
    </row>
    <row r="92" spans="1:23" ht="24.75" customHeight="1" x14ac:dyDescent="0.25">
      <c r="A92" s="106">
        <v>29</v>
      </c>
      <c r="B92" s="251" t="s">
        <v>2210</v>
      </c>
      <c r="C92" s="141" t="s">
        <v>2211</v>
      </c>
      <c r="D92" s="139" t="s">
        <v>160</v>
      </c>
      <c r="E92" s="139">
        <v>1.2857000000000001</v>
      </c>
      <c r="F92" s="139">
        <v>20</v>
      </c>
      <c r="G92" s="141" t="s">
        <v>2212</v>
      </c>
      <c r="H92" s="139"/>
      <c r="I92" s="139" t="s">
        <v>150</v>
      </c>
      <c r="J92" s="444" t="s">
        <v>2213</v>
      </c>
      <c r="K92" s="142">
        <v>44952</v>
      </c>
      <c r="L92" s="139">
        <v>10157565</v>
      </c>
      <c r="M92" s="142">
        <v>45323</v>
      </c>
      <c r="N92" s="139"/>
      <c r="O92" s="139"/>
      <c r="P92" s="139"/>
      <c r="Q92" s="139"/>
      <c r="R92" s="139"/>
      <c r="S92" s="139"/>
      <c r="T92" s="139"/>
      <c r="U92" s="139">
        <v>0</v>
      </c>
      <c r="V92" s="139"/>
      <c r="W92" s="139">
        <v>1.2857000000000001</v>
      </c>
    </row>
    <row r="93" spans="1:23" ht="24.75" customHeight="1" x14ac:dyDescent="0.25">
      <c r="A93" s="106">
        <v>30</v>
      </c>
      <c r="B93" s="251" t="s">
        <v>2214</v>
      </c>
      <c r="C93" s="141" t="s">
        <v>2215</v>
      </c>
      <c r="D93" s="139" t="s">
        <v>160</v>
      </c>
      <c r="E93" s="139">
        <v>5.7317970000000003</v>
      </c>
      <c r="F93" s="139">
        <v>20</v>
      </c>
      <c r="G93" s="141" t="s">
        <v>2216</v>
      </c>
      <c r="H93" s="139"/>
      <c r="I93" s="139" t="s">
        <v>150</v>
      </c>
      <c r="J93" s="444" t="s">
        <v>2217</v>
      </c>
      <c r="K93" s="142">
        <v>44952</v>
      </c>
      <c r="L93" s="139">
        <v>9946396</v>
      </c>
      <c r="M93" s="142">
        <v>45337</v>
      </c>
      <c r="N93" s="139"/>
      <c r="O93" s="139"/>
      <c r="P93" s="139"/>
      <c r="Q93" s="139"/>
      <c r="R93" s="139"/>
      <c r="S93" s="139"/>
      <c r="T93" s="139"/>
      <c r="U93" s="139">
        <v>0</v>
      </c>
      <c r="V93" s="139"/>
      <c r="W93" s="139">
        <v>5.7317970000000003</v>
      </c>
    </row>
    <row r="94" spans="1:23" ht="24.75" customHeight="1" x14ac:dyDescent="0.25">
      <c r="A94" s="106">
        <v>31</v>
      </c>
      <c r="B94" s="251" t="s">
        <v>2334</v>
      </c>
      <c r="C94" s="141" t="s">
        <v>811</v>
      </c>
      <c r="D94" s="139" t="s">
        <v>148</v>
      </c>
      <c r="E94" s="139">
        <v>2.95</v>
      </c>
      <c r="F94" s="139">
        <v>20</v>
      </c>
      <c r="G94" s="139" t="s">
        <v>2335</v>
      </c>
      <c r="H94" s="139"/>
      <c r="I94" s="139" t="s">
        <v>150</v>
      </c>
      <c r="J94" s="444">
        <v>11596325</v>
      </c>
      <c r="K94" s="142">
        <v>44973</v>
      </c>
      <c r="L94" s="139">
        <v>11596325</v>
      </c>
      <c r="M94" s="142">
        <v>45356</v>
      </c>
      <c r="N94" s="139"/>
      <c r="O94" s="139"/>
      <c r="P94" s="139"/>
      <c r="Q94" s="139"/>
      <c r="R94" s="139"/>
      <c r="S94" s="139"/>
      <c r="T94" s="139"/>
      <c r="U94" s="139">
        <v>0</v>
      </c>
      <c r="V94" s="139"/>
      <c r="W94" s="139">
        <v>2.95</v>
      </c>
    </row>
    <row r="95" spans="1:23" ht="24.75" customHeight="1" x14ac:dyDescent="0.25">
      <c r="A95" s="106">
        <v>32</v>
      </c>
      <c r="B95" s="245" t="s">
        <v>2336</v>
      </c>
      <c r="C95" s="139" t="s">
        <v>811</v>
      </c>
      <c r="D95" s="139" t="s">
        <v>156</v>
      </c>
      <c r="E95" s="139">
        <v>3.3159999999999998</v>
      </c>
      <c r="F95" s="139">
        <v>20</v>
      </c>
      <c r="G95" s="139" t="s">
        <v>2337</v>
      </c>
      <c r="H95" s="139"/>
      <c r="I95" s="139" t="s">
        <v>150</v>
      </c>
      <c r="J95" s="444">
        <v>10024179</v>
      </c>
      <c r="K95" s="142">
        <v>44970</v>
      </c>
      <c r="L95" s="139">
        <v>10024179</v>
      </c>
      <c r="M95" s="142">
        <v>45343</v>
      </c>
      <c r="N95" s="139"/>
      <c r="O95" s="139"/>
      <c r="P95" s="139"/>
      <c r="Q95" s="139"/>
      <c r="R95" s="139"/>
      <c r="S95" s="139"/>
      <c r="T95" s="139"/>
      <c r="U95" s="139">
        <v>0</v>
      </c>
      <c r="V95" s="139"/>
      <c r="W95" s="139">
        <v>3.3159999999999998</v>
      </c>
    </row>
    <row r="96" spans="1:23" ht="24.75" customHeight="1" x14ac:dyDescent="0.25">
      <c r="A96" s="106">
        <v>33</v>
      </c>
      <c r="B96" s="245" t="s">
        <v>2374</v>
      </c>
      <c r="C96" s="141" t="s">
        <v>2375</v>
      </c>
      <c r="D96" s="139" t="s">
        <v>160</v>
      </c>
      <c r="E96" s="139">
        <v>1.8560000000000001</v>
      </c>
      <c r="F96" s="139">
        <v>20</v>
      </c>
      <c r="G96" s="141" t="s">
        <v>2376</v>
      </c>
      <c r="H96" s="139"/>
      <c r="I96" s="139" t="s">
        <v>150</v>
      </c>
      <c r="J96" s="444">
        <v>13379978</v>
      </c>
      <c r="K96" s="142">
        <v>44981</v>
      </c>
      <c r="L96" s="139">
        <v>13379978</v>
      </c>
      <c r="M96" s="142">
        <v>45343</v>
      </c>
      <c r="N96" s="139"/>
      <c r="O96" s="139"/>
      <c r="P96" s="139"/>
      <c r="Q96" s="139"/>
      <c r="R96" s="139"/>
      <c r="S96" s="139"/>
      <c r="T96" s="139"/>
      <c r="U96" s="139">
        <v>0</v>
      </c>
      <c r="V96" s="139"/>
      <c r="W96" s="139">
        <v>1.8560000000000001</v>
      </c>
    </row>
    <row r="97" spans="1:23" ht="24.75" customHeight="1" x14ac:dyDescent="0.25">
      <c r="A97" s="106">
        <v>34</v>
      </c>
      <c r="B97" s="245" t="s">
        <v>2377</v>
      </c>
      <c r="C97" s="141" t="s">
        <v>2378</v>
      </c>
      <c r="D97" s="139" t="s">
        <v>160</v>
      </c>
      <c r="E97" s="139">
        <v>3.153</v>
      </c>
      <c r="F97" s="139">
        <v>20</v>
      </c>
      <c r="G97" s="141" t="s">
        <v>2379</v>
      </c>
      <c r="H97" s="139"/>
      <c r="I97" s="139" t="s">
        <v>150</v>
      </c>
      <c r="J97" s="444">
        <v>10188035</v>
      </c>
      <c r="K97" s="142">
        <v>44977</v>
      </c>
      <c r="L97" s="139">
        <v>10188035</v>
      </c>
      <c r="M97" s="142">
        <v>45342</v>
      </c>
      <c r="N97" s="139"/>
      <c r="O97" s="139"/>
      <c r="P97" s="139"/>
      <c r="Q97" s="139"/>
      <c r="R97" s="139"/>
      <c r="S97" s="139"/>
      <c r="T97" s="139"/>
      <c r="U97" s="139">
        <v>0</v>
      </c>
      <c r="V97" s="139"/>
      <c r="W97" s="139">
        <v>3.153</v>
      </c>
    </row>
    <row r="98" spans="1:23" ht="24.75" customHeight="1" x14ac:dyDescent="0.25">
      <c r="A98" s="106">
        <v>35</v>
      </c>
      <c r="B98" s="245" t="s">
        <v>2380</v>
      </c>
      <c r="C98" s="141" t="s">
        <v>2381</v>
      </c>
      <c r="D98" s="139" t="s">
        <v>152</v>
      </c>
      <c r="E98" s="139">
        <v>2.3677999999999999</v>
      </c>
      <c r="F98" s="139">
        <v>20</v>
      </c>
      <c r="G98" s="141" t="s">
        <v>2382</v>
      </c>
      <c r="H98" s="139"/>
      <c r="I98" s="139" t="s">
        <v>150</v>
      </c>
      <c r="J98" s="444">
        <v>8831973</v>
      </c>
      <c r="K98" s="142">
        <v>44978</v>
      </c>
      <c r="L98" s="139">
        <v>8831973</v>
      </c>
      <c r="M98" s="142">
        <v>45405</v>
      </c>
      <c r="N98" s="139"/>
      <c r="O98" s="139"/>
      <c r="P98" s="139"/>
      <c r="Q98" s="139"/>
      <c r="R98" s="139"/>
      <c r="S98" s="139"/>
      <c r="T98" s="139"/>
      <c r="U98" s="139">
        <v>0.4</v>
      </c>
      <c r="V98" s="139"/>
      <c r="W98" s="139">
        <v>1.9678</v>
      </c>
    </row>
    <row r="99" spans="1:23" ht="24.75" customHeight="1" x14ac:dyDescent="0.25">
      <c r="A99" s="106">
        <v>36</v>
      </c>
      <c r="B99" s="245" t="s">
        <v>2383</v>
      </c>
      <c r="C99" s="141" t="s">
        <v>2384</v>
      </c>
      <c r="D99" s="139" t="s">
        <v>152</v>
      </c>
      <c r="E99" s="139">
        <v>49.875</v>
      </c>
      <c r="F99" s="139">
        <v>110</v>
      </c>
      <c r="G99" s="141" t="s">
        <v>2385</v>
      </c>
      <c r="H99" s="139"/>
      <c r="I99" s="139" t="s">
        <v>150</v>
      </c>
      <c r="J99" s="444">
        <v>9679509</v>
      </c>
      <c r="K99" s="142">
        <v>44965</v>
      </c>
      <c r="L99" s="139">
        <v>9679509</v>
      </c>
      <c r="M99" s="142">
        <v>45420</v>
      </c>
      <c r="N99" s="139"/>
      <c r="O99" s="139"/>
      <c r="P99" s="139"/>
      <c r="Q99" s="139"/>
      <c r="R99" s="139"/>
      <c r="S99" s="139"/>
      <c r="T99" s="139"/>
      <c r="U99" s="139">
        <v>0</v>
      </c>
      <c r="V99" s="139"/>
      <c r="W99" s="139">
        <v>49.875</v>
      </c>
    </row>
    <row r="100" spans="1:23" ht="24.75" customHeight="1" x14ac:dyDescent="0.25">
      <c r="A100" s="106">
        <v>37</v>
      </c>
      <c r="B100" s="245" t="s">
        <v>2426</v>
      </c>
      <c r="C100" s="139" t="s">
        <v>2427</v>
      </c>
      <c r="D100" s="139" t="s">
        <v>148</v>
      </c>
      <c r="E100" s="139">
        <v>4.4637500000000001</v>
      </c>
      <c r="F100" s="139">
        <v>20</v>
      </c>
      <c r="G100" s="139" t="s">
        <v>2428</v>
      </c>
      <c r="H100" s="139"/>
      <c r="I100" s="139" t="s">
        <v>150</v>
      </c>
      <c r="J100" s="444">
        <v>10815862</v>
      </c>
      <c r="K100" s="142">
        <v>44987</v>
      </c>
      <c r="L100" s="139"/>
      <c r="M100" s="139"/>
      <c r="N100" s="139"/>
      <c r="O100" s="139"/>
      <c r="P100" s="139"/>
      <c r="Q100" s="139"/>
      <c r="R100" s="139"/>
      <c r="S100" s="139"/>
      <c r="T100" s="139"/>
      <c r="U100" s="139">
        <v>0</v>
      </c>
      <c r="V100" s="139"/>
      <c r="W100" s="139">
        <v>4.4637500000000001</v>
      </c>
    </row>
    <row r="101" spans="1:23" ht="24.75" customHeight="1" x14ac:dyDescent="0.25">
      <c r="A101" s="106">
        <v>38</v>
      </c>
      <c r="B101" s="245" t="s">
        <v>2429</v>
      </c>
      <c r="C101" s="139" t="s">
        <v>2430</v>
      </c>
      <c r="D101" s="139" t="s">
        <v>156</v>
      </c>
      <c r="E101" s="139">
        <v>47.898000000000003</v>
      </c>
      <c r="F101" s="139">
        <v>110</v>
      </c>
      <c r="G101" s="139" t="s">
        <v>2431</v>
      </c>
      <c r="H101" s="139"/>
      <c r="I101" s="139" t="s">
        <v>150</v>
      </c>
      <c r="J101" s="444">
        <v>10069677</v>
      </c>
      <c r="K101" s="142">
        <v>44998</v>
      </c>
      <c r="L101" s="139">
        <v>10069677</v>
      </c>
      <c r="M101" s="142">
        <v>45370</v>
      </c>
      <c r="N101" s="139"/>
      <c r="O101" s="139"/>
      <c r="P101" s="139"/>
      <c r="Q101" s="139"/>
      <c r="R101" s="139"/>
      <c r="S101" s="139"/>
      <c r="T101" s="139"/>
      <c r="U101" s="139">
        <v>0</v>
      </c>
      <c r="V101" s="139"/>
      <c r="W101" s="139">
        <v>47.898000000000003</v>
      </c>
    </row>
    <row r="102" spans="1:23" ht="24.75" customHeight="1" x14ac:dyDescent="0.25">
      <c r="A102" s="106">
        <v>39</v>
      </c>
      <c r="B102" s="245" t="s">
        <v>2432</v>
      </c>
      <c r="C102" s="139" t="s">
        <v>2433</v>
      </c>
      <c r="D102" s="139" t="s">
        <v>160</v>
      </c>
      <c r="E102" s="139">
        <v>49.776000000000003</v>
      </c>
      <c r="F102" s="139">
        <v>110</v>
      </c>
      <c r="G102" s="139" t="s">
        <v>2434</v>
      </c>
      <c r="H102" s="139"/>
      <c r="I102" s="139" t="s">
        <v>150</v>
      </c>
      <c r="J102" s="444">
        <v>9677810</v>
      </c>
      <c r="K102" s="142">
        <v>44992</v>
      </c>
      <c r="L102" s="139">
        <v>9677810</v>
      </c>
      <c r="M102" s="142">
        <v>45400</v>
      </c>
      <c r="N102" s="139"/>
      <c r="O102" s="139"/>
      <c r="P102" s="139"/>
      <c r="Q102" s="139"/>
      <c r="R102" s="139"/>
      <c r="S102" s="139"/>
      <c r="T102" s="139"/>
      <c r="U102" s="139">
        <v>0</v>
      </c>
      <c r="V102" s="139"/>
      <c r="W102" s="139">
        <v>49.776000000000003</v>
      </c>
    </row>
    <row r="103" spans="1:23" ht="24.75" customHeight="1" x14ac:dyDescent="0.25">
      <c r="A103" s="106">
        <v>40</v>
      </c>
      <c r="B103" s="245" t="s">
        <v>2483</v>
      </c>
      <c r="C103" s="139" t="s">
        <v>2484</v>
      </c>
      <c r="D103" s="139" t="s">
        <v>156</v>
      </c>
      <c r="E103" s="139">
        <v>47.42</v>
      </c>
      <c r="F103" s="139">
        <v>100</v>
      </c>
      <c r="G103" s="139" t="s">
        <v>2485</v>
      </c>
      <c r="H103" s="139"/>
      <c r="I103" s="139" t="s">
        <v>150</v>
      </c>
      <c r="J103" s="444">
        <v>10121053</v>
      </c>
      <c r="K103" s="142">
        <v>45015</v>
      </c>
      <c r="L103" s="139">
        <v>10121053</v>
      </c>
      <c r="M103" s="142">
        <v>45378</v>
      </c>
      <c r="N103" s="139"/>
      <c r="O103" s="139"/>
      <c r="P103" s="139"/>
      <c r="Q103" s="139"/>
      <c r="R103" s="139"/>
      <c r="S103" s="139"/>
      <c r="T103" s="139"/>
      <c r="U103" s="139">
        <v>0</v>
      </c>
      <c r="V103" s="139"/>
      <c r="W103" s="139">
        <v>47.42</v>
      </c>
    </row>
    <row r="104" spans="1:23" ht="24.75" customHeight="1" x14ac:dyDescent="0.25">
      <c r="A104" s="106">
        <v>41</v>
      </c>
      <c r="B104" s="245" t="s">
        <v>2486</v>
      </c>
      <c r="C104" s="139" t="s">
        <v>811</v>
      </c>
      <c r="D104" s="139" t="s">
        <v>160</v>
      </c>
      <c r="E104" s="139">
        <v>4.1875</v>
      </c>
      <c r="F104" s="139">
        <v>20</v>
      </c>
      <c r="G104" s="139" t="s">
        <v>2487</v>
      </c>
      <c r="H104" s="139"/>
      <c r="I104" s="139" t="s">
        <v>150</v>
      </c>
      <c r="J104" s="444">
        <v>10366684</v>
      </c>
      <c r="K104" s="142">
        <v>45013</v>
      </c>
      <c r="L104" s="139">
        <v>10366684</v>
      </c>
      <c r="M104" s="142">
        <v>45362</v>
      </c>
      <c r="N104" s="139"/>
      <c r="O104" s="139"/>
      <c r="P104" s="139"/>
      <c r="Q104" s="139"/>
      <c r="R104" s="139"/>
      <c r="S104" s="139"/>
      <c r="T104" s="139"/>
      <c r="U104" s="139">
        <v>0</v>
      </c>
      <c r="V104" s="139"/>
      <c r="W104" s="139">
        <v>4.1875</v>
      </c>
    </row>
    <row r="105" spans="1:23" ht="24.75" customHeight="1" x14ac:dyDescent="0.25">
      <c r="A105" s="106">
        <v>42</v>
      </c>
      <c r="B105" s="245" t="s">
        <v>2488</v>
      </c>
      <c r="C105" s="139" t="s">
        <v>2489</v>
      </c>
      <c r="D105" s="139" t="s">
        <v>160</v>
      </c>
      <c r="E105" s="139">
        <v>3.1480000000000001</v>
      </c>
      <c r="F105" s="139">
        <v>20</v>
      </c>
      <c r="G105" s="139" t="s">
        <v>2490</v>
      </c>
      <c r="H105" s="139"/>
      <c r="I105" s="139" t="s">
        <v>150</v>
      </c>
      <c r="J105" s="444">
        <v>12197709</v>
      </c>
      <c r="K105" s="142">
        <v>45013</v>
      </c>
      <c r="L105" s="139">
        <v>12197709</v>
      </c>
      <c r="M105" s="142">
        <v>45377</v>
      </c>
      <c r="N105" s="139"/>
      <c r="O105" s="139"/>
      <c r="P105" s="139"/>
      <c r="Q105" s="139"/>
      <c r="R105" s="139"/>
      <c r="S105" s="139"/>
      <c r="T105" s="139"/>
      <c r="U105" s="139">
        <v>0</v>
      </c>
      <c r="V105" s="139"/>
      <c r="W105" s="139">
        <v>3.1480000000000001</v>
      </c>
    </row>
    <row r="106" spans="1:23" ht="24.75" customHeight="1" x14ac:dyDescent="0.25">
      <c r="A106" s="106">
        <v>43</v>
      </c>
      <c r="B106" s="245" t="s">
        <v>2598</v>
      </c>
      <c r="C106" s="141" t="s">
        <v>2599</v>
      </c>
      <c r="D106" s="139" t="s">
        <v>148</v>
      </c>
      <c r="E106" s="139">
        <v>48.04</v>
      </c>
      <c r="F106" s="139">
        <v>110</v>
      </c>
      <c r="G106" s="141" t="s">
        <v>2485</v>
      </c>
      <c r="H106" s="139"/>
      <c r="I106" s="139" t="s">
        <v>150</v>
      </c>
      <c r="J106" s="444">
        <v>9857298</v>
      </c>
      <c r="K106" s="142">
        <v>45021</v>
      </c>
      <c r="L106" s="139">
        <v>9857298</v>
      </c>
      <c r="M106" s="142">
        <v>45334</v>
      </c>
      <c r="N106" s="139"/>
      <c r="O106" s="139"/>
      <c r="P106" s="139"/>
      <c r="Q106" s="139"/>
      <c r="R106" s="139"/>
      <c r="S106" s="139"/>
      <c r="T106" s="139"/>
      <c r="U106" s="139">
        <v>0</v>
      </c>
      <c r="V106" s="139"/>
      <c r="W106" s="139">
        <v>48.04</v>
      </c>
    </row>
    <row r="107" spans="1:23" ht="24.75" customHeight="1" x14ac:dyDescent="0.25">
      <c r="A107" s="106">
        <v>44</v>
      </c>
      <c r="B107" s="245" t="s">
        <v>2600</v>
      </c>
      <c r="C107" s="141" t="s">
        <v>811</v>
      </c>
      <c r="D107" s="139" t="s">
        <v>156</v>
      </c>
      <c r="E107" s="139">
        <v>2.4550000000000001</v>
      </c>
      <c r="F107" s="139">
        <v>20</v>
      </c>
      <c r="G107" s="139" t="s">
        <v>2601</v>
      </c>
      <c r="H107" s="139"/>
      <c r="I107" s="139" t="s">
        <v>150</v>
      </c>
      <c r="J107" s="444">
        <v>10738996</v>
      </c>
      <c r="K107" s="142">
        <v>45028</v>
      </c>
      <c r="L107" s="139">
        <v>10738996</v>
      </c>
      <c r="M107" s="142">
        <v>45320</v>
      </c>
      <c r="N107" s="139"/>
      <c r="O107" s="139"/>
      <c r="P107" s="139"/>
      <c r="Q107" s="139"/>
      <c r="R107" s="139"/>
      <c r="S107" s="139"/>
      <c r="T107" s="139"/>
      <c r="U107" s="139">
        <v>0</v>
      </c>
      <c r="V107" s="139"/>
      <c r="W107" s="139">
        <v>2.4550000000000001</v>
      </c>
    </row>
    <row r="108" spans="1:23" ht="24.75" customHeight="1" x14ac:dyDescent="0.25">
      <c r="A108" s="106">
        <v>45</v>
      </c>
      <c r="B108" s="245" t="s">
        <v>2602</v>
      </c>
      <c r="C108" s="141" t="s">
        <v>951</v>
      </c>
      <c r="D108" s="139" t="s">
        <v>156</v>
      </c>
      <c r="E108" s="139">
        <v>2.4500000000000002</v>
      </c>
      <c r="F108" s="139">
        <v>20</v>
      </c>
      <c r="G108" s="141" t="s">
        <v>2603</v>
      </c>
      <c r="H108" s="139"/>
      <c r="I108" s="139" t="s">
        <v>150</v>
      </c>
      <c r="J108" s="444">
        <v>13099966</v>
      </c>
      <c r="K108" s="142">
        <v>45029</v>
      </c>
      <c r="L108" s="139"/>
      <c r="M108" s="139"/>
      <c r="N108" s="139"/>
      <c r="O108" s="139"/>
      <c r="P108" s="139"/>
      <c r="Q108" s="139"/>
      <c r="R108" s="139"/>
      <c r="S108" s="139"/>
      <c r="T108" s="139"/>
      <c r="U108" s="139">
        <v>0</v>
      </c>
      <c r="V108" s="139"/>
      <c r="W108" s="139">
        <v>2.4500000000000002</v>
      </c>
    </row>
    <row r="109" spans="1:23" ht="24.75" customHeight="1" x14ac:dyDescent="0.25">
      <c r="A109" s="106">
        <v>46</v>
      </c>
      <c r="B109" s="245" t="s">
        <v>2742</v>
      </c>
      <c r="C109" s="251" t="s">
        <v>2743</v>
      </c>
      <c r="D109" s="139" t="s">
        <v>160</v>
      </c>
      <c r="E109" s="139">
        <v>3.5779999999999998</v>
      </c>
      <c r="F109" s="139">
        <v>20</v>
      </c>
      <c r="G109" s="141" t="s">
        <v>2744</v>
      </c>
      <c r="H109" s="139"/>
      <c r="I109" s="139" t="s">
        <v>150</v>
      </c>
      <c r="J109" s="444">
        <v>10343242</v>
      </c>
      <c r="K109" s="142">
        <v>45057</v>
      </c>
      <c r="L109" s="139">
        <v>10343242</v>
      </c>
      <c r="M109" s="142">
        <v>45425</v>
      </c>
      <c r="N109" s="139"/>
      <c r="O109" s="139"/>
      <c r="P109" s="139"/>
      <c r="Q109" s="139"/>
      <c r="R109" s="139"/>
      <c r="S109" s="139"/>
      <c r="T109" s="139"/>
      <c r="U109" s="139">
        <v>0</v>
      </c>
      <c r="V109" s="139"/>
      <c r="W109" s="139">
        <v>3.5779999999999998</v>
      </c>
    </row>
    <row r="110" spans="1:23" ht="24.75" customHeight="1" x14ac:dyDescent="0.25">
      <c r="A110" s="106">
        <v>47</v>
      </c>
      <c r="B110" s="245" t="s">
        <v>2941</v>
      </c>
      <c r="C110" s="245" t="s">
        <v>811</v>
      </c>
      <c r="D110" s="139" t="s">
        <v>152</v>
      </c>
      <c r="E110" s="139">
        <v>1.96</v>
      </c>
      <c r="F110" s="139">
        <v>20</v>
      </c>
      <c r="G110" s="139" t="s">
        <v>2942</v>
      </c>
      <c r="H110" s="139"/>
      <c r="I110" s="139" t="s">
        <v>150</v>
      </c>
      <c r="J110" s="444">
        <v>12094212</v>
      </c>
      <c r="K110" s="142">
        <v>45063</v>
      </c>
      <c r="L110" s="139">
        <v>12094212</v>
      </c>
      <c r="M110" s="403">
        <v>45271</v>
      </c>
      <c r="N110" s="139"/>
      <c r="O110" s="139"/>
      <c r="P110" s="139"/>
      <c r="Q110" s="139"/>
      <c r="R110" s="139"/>
      <c r="S110" s="139"/>
      <c r="T110" s="139"/>
      <c r="U110" s="139">
        <v>0</v>
      </c>
      <c r="V110" s="139"/>
      <c r="W110" s="139">
        <v>1.96</v>
      </c>
    </row>
    <row r="111" spans="1:23" ht="24.75" customHeight="1" x14ac:dyDescent="0.25">
      <c r="A111" s="106">
        <v>48</v>
      </c>
      <c r="B111" s="245" t="s">
        <v>2943</v>
      </c>
      <c r="C111" s="245" t="s">
        <v>2944</v>
      </c>
      <c r="D111" s="139" t="s">
        <v>160</v>
      </c>
      <c r="E111" s="139">
        <v>31.917999999999999</v>
      </c>
      <c r="F111" s="139">
        <v>110</v>
      </c>
      <c r="G111" s="139" t="s">
        <v>2945</v>
      </c>
      <c r="H111" s="139"/>
      <c r="I111" s="139" t="s">
        <v>150</v>
      </c>
      <c r="J111" s="444">
        <v>10199597</v>
      </c>
      <c r="K111" s="142">
        <v>45068</v>
      </c>
      <c r="L111" s="139"/>
      <c r="M111" s="139"/>
      <c r="N111" s="139"/>
      <c r="O111" s="139"/>
      <c r="P111" s="139"/>
      <c r="Q111" s="139"/>
      <c r="R111" s="139"/>
      <c r="S111" s="139"/>
      <c r="T111" s="139"/>
      <c r="U111" s="139">
        <v>0</v>
      </c>
      <c r="V111" s="139"/>
      <c r="W111" s="139">
        <v>31.917999999999999</v>
      </c>
    </row>
    <row r="112" spans="1:23" ht="24.75" customHeight="1" x14ac:dyDescent="0.25">
      <c r="A112" s="106">
        <v>49</v>
      </c>
      <c r="B112" s="245" t="s">
        <v>2946</v>
      </c>
      <c r="C112" s="245" t="s">
        <v>2947</v>
      </c>
      <c r="D112" s="139" t="s">
        <v>152</v>
      </c>
      <c r="E112" s="139">
        <v>1.9790000000000001</v>
      </c>
      <c r="F112" s="139">
        <v>20</v>
      </c>
      <c r="G112" s="139" t="s">
        <v>2948</v>
      </c>
      <c r="H112" s="139"/>
      <c r="I112" s="139" t="s">
        <v>150</v>
      </c>
      <c r="J112" s="444">
        <v>12509700</v>
      </c>
      <c r="K112" s="142">
        <v>45075</v>
      </c>
      <c r="L112" s="139"/>
      <c r="M112" s="139"/>
      <c r="N112" s="139"/>
      <c r="O112" s="139"/>
      <c r="P112" s="139"/>
      <c r="Q112" s="139"/>
      <c r="R112" s="139"/>
      <c r="S112" s="139"/>
      <c r="T112" s="139"/>
      <c r="U112" s="139">
        <v>0</v>
      </c>
      <c r="V112" s="139"/>
      <c r="W112" s="139">
        <v>1.9790000000000001</v>
      </c>
    </row>
    <row r="113" spans="1:35" ht="24.75" customHeight="1" x14ac:dyDescent="0.25">
      <c r="A113" s="106">
        <v>50</v>
      </c>
      <c r="B113" s="245" t="s">
        <v>2960</v>
      </c>
      <c r="C113" s="251" t="s">
        <v>2961</v>
      </c>
      <c r="D113" s="139" t="s">
        <v>156</v>
      </c>
      <c r="E113" s="139">
        <v>2.23278</v>
      </c>
      <c r="F113" s="139">
        <v>20</v>
      </c>
      <c r="G113" s="141" t="s">
        <v>2962</v>
      </c>
      <c r="H113" s="139"/>
      <c r="I113" s="139" t="s">
        <v>150</v>
      </c>
      <c r="J113" s="444">
        <v>13720897</v>
      </c>
      <c r="K113" s="142">
        <v>45092</v>
      </c>
      <c r="L113" s="139">
        <v>13720897</v>
      </c>
      <c r="M113" s="142">
        <v>45328</v>
      </c>
      <c r="N113" s="139"/>
      <c r="O113" s="139"/>
      <c r="P113" s="139"/>
      <c r="Q113" s="139"/>
      <c r="R113" s="139"/>
      <c r="S113" s="139"/>
      <c r="T113" s="139"/>
      <c r="U113" s="139">
        <v>0</v>
      </c>
      <c r="V113" s="139"/>
      <c r="W113" s="139">
        <v>2.23278</v>
      </c>
    </row>
    <row r="114" spans="1:35" ht="24.75" customHeight="1" x14ac:dyDescent="0.25">
      <c r="A114" s="106">
        <v>51</v>
      </c>
      <c r="B114" s="245" t="s">
        <v>2963</v>
      </c>
      <c r="C114" s="251" t="s">
        <v>2964</v>
      </c>
      <c r="D114" s="139" t="s">
        <v>156</v>
      </c>
      <c r="E114" s="139">
        <v>5.915</v>
      </c>
      <c r="F114" s="139">
        <v>20</v>
      </c>
      <c r="G114" s="141" t="s">
        <v>2965</v>
      </c>
      <c r="H114" s="139"/>
      <c r="I114" s="139" t="s">
        <v>150</v>
      </c>
      <c r="J114" s="444">
        <v>9893376</v>
      </c>
      <c r="K114" s="142">
        <v>45089</v>
      </c>
      <c r="L114" s="139"/>
      <c r="M114" s="139"/>
      <c r="N114" s="139"/>
      <c r="O114" s="139"/>
      <c r="P114" s="139"/>
      <c r="Q114" s="139"/>
      <c r="R114" s="139"/>
      <c r="S114" s="139"/>
      <c r="T114" s="139"/>
      <c r="U114" s="139">
        <v>0</v>
      </c>
      <c r="V114" s="139"/>
      <c r="W114" s="139">
        <v>5.915</v>
      </c>
    </row>
    <row r="115" spans="1:35" ht="24.75" customHeight="1" x14ac:dyDescent="0.25">
      <c r="A115" s="106">
        <v>52</v>
      </c>
      <c r="B115" s="245" t="s">
        <v>2488</v>
      </c>
      <c r="C115" s="251" t="s">
        <v>2489</v>
      </c>
      <c r="D115" s="139" t="s">
        <v>160</v>
      </c>
      <c r="E115" s="139">
        <v>2.95</v>
      </c>
      <c r="F115" s="139">
        <v>20</v>
      </c>
      <c r="G115" s="141" t="s">
        <v>2966</v>
      </c>
      <c r="H115" s="139"/>
      <c r="I115" s="139" t="s">
        <v>150</v>
      </c>
      <c r="J115" s="444" t="s">
        <v>2967</v>
      </c>
      <c r="K115" s="142">
        <v>45089</v>
      </c>
      <c r="L115" s="139">
        <v>12198455</v>
      </c>
      <c r="M115" s="142">
        <v>45387</v>
      </c>
      <c r="N115" s="139"/>
      <c r="O115" s="139"/>
      <c r="P115" s="139"/>
      <c r="Q115" s="139"/>
      <c r="R115" s="139"/>
      <c r="S115" s="139"/>
      <c r="T115" s="139"/>
      <c r="U115" s="139">
        <v>0</v>
      </c>
      <c r="V115" s="139"/>
      <c r="W115" s="139">
        <v>2.95</v>
      </c>
    </row>
    <row r="116" spans="1:35" s="406" customFormat="1" ht="30.75" customHeight="1" x14ac:dyDescent="0.25">
      <c r="A116" s="106">
        <v>53</v>
      </c>
      <c r="B116" s="405" t="s">
        <v>3291</v>
      </c>
      <c r="C116" s="405" t="s">
        <v>3292</v>
      </c>
      <c r="D116" s="405" t="s">
        <v>160</v>
      </c>
      <c r="E116" s="405">
        <v>2.4529999999999998</v>
      </c>
      <c r="F116" s="405">
        <v>20</v>
      </c>
      <c r="G116" s="405" t="s">
        <v>3293</v>
      </c>
      <c r="H116" s="405"/>
      <c r="I116" s="405" t="s">
        <v>150</v>
      </c>
      <c r="J116" s="445">
        <v>11348543</v>
      </c>
      <c r="K116" s="404">
        <v>45120</v>
      </c>
      <c r="L116" s="405">
        <v>11348543</v>
      </c>
      <c r="M116" s="764">
        <v>45484</v>
      </c>
      <c r="N116" s="405"/>
      <c r="O116" s="405"/>
      <c r="P116" s="405" t="s">
        <v>3294</v>
      </c>
      <c r="Q116" s="405"/>
      <c r="R116" s="405"/>
      <c r="S116" s="405"/>
      <c r="T116" s="405"/>
      <c r="U116" s="405">
        <v>0</v>
      </c>
      <c r="V116" s="405"/>
      <c r="W116" s="405">
        <v>2.4529999999999998</v>
      </c>
      <c r="Y116" s="407"/>
    </row>
    <row r="117" spans="1:35" ht="30" customHeight="1" x14ac:dyDescent="0.25">
      <c r="A117" s="106">
        <v>54</v>
      </c>
      <c r="B117" s="292" t="s">
        <v>3291</v>
      </c>
      <c r="C117" s="292" t="s">
        <v>3295</v>
      </c>
      <c r="D117" s="292" t="s">
        <v>160</v>
      </c>
      <c r="E117" s="292">
        <v>2.2280000000000002</v>
      </c>
      <c r="F117" s="292">
        <v>20</v>
      </c>
      <c r="G117" s="292" t="s">
        <v>3296</v>
      </c>
      <c r="H117" s="292"/>
      <c r="I117" s="245" t="s">
        <v>150</v>
      </c>
      <c r="J117" s="446">
        <v>11373308</v>
      </c>
      <c r="K117" s="142">
        <v>45117</v>
      </c>
      <c r="L117" s="292">
        <v>11373308</v>
      </c>
      <c r="M117" s="765">
        <v>45490</v>
      </c>
      <c r="N117" s="292"/>
      <c r="O117" s="292"/>
      <c r="P117" s="245" t="s">
        <v>3297</v>
      </c>
      <c r="Q117" s="292"/>
      <c r="R117" s="292"/>
      <c r="S117" s="292"/>
      <c r="T117" s="292"/>
      <c r="U117" s="292">
        <v>0</v>
      </c>
      <c r="V117" s="292"/>
      <c r="W117" s="292">
        <v>2.2280000000000002</v>
      </c>
    </row>
    <row r="118" spans="1:35" ht="32.25" customHeight="1" x14ac:dyDescent="0.25">
      <c r="A118" s="106">
        <v>55</v>
      </c>
      <c r="B118" s="292" t="s">
        <v>3298</v>
      </c>
      <c r="C118" s="292" t="s">
        <v>811</v>
      </c>
      <c r="D118" s="292" t="s">
        <v>156</v>
      </c>
      <c r="E118" s="292">
        <v>2.5489999999999999</v>
      </c>
      <c r="F118" s="292">
        <v>20</v>
      </c>
      <c r="G118" s="245" t="s">
        <v>3299</v>
      </c>
      <c r="H118" s="292"/>
      <c r="I118" s="245" t="s">
        <v>150</v>
      </c>
      <c r="J118" s="446">
        <v>9733957</v>
      </c>
      <c r="K118" s="142">
        <v>45119</v>
      </c>
      <c r="L118" s="292">
        <v>9733957</v>
      </c>
      <c r="M118" s="765">
        <v>45485</v>
      </c>
      <c r="N118" s="292"/>
      <c r="O118" s="292"/>
      <c r="P118" s="292"/>
      <c r="Q118" s="292"/>
      <c r="R118" s="292"/>
      <c r="S118" s="292"/>
      <c r="T118" s="292"/>
      <c r="U118" s="292">
        <v>0</v>
      </c>
      <c r="V118" s="292"/>
      <c r="W118" s="292">
        <v>2.5489999999999999</v>
      </c>
    </row>
    <row r="119" spans="1:35" ht="32.25" customHeight="1" x14ac:dyDescent="0.25">
      <c r="A119" s="106">
        <v>56</v>
      </c>
      <c r="B119" s="292" t="s">
        <v>3300</v>
      </c>
      <c r="C119" s="292" t="s">
        <v>155</v>
      </c>
      <c r="D119" s="292" t="s">
        <v>156</v>
      </c>
      <c r="E119" s="292">
        <v>4.9301000000000004</v>
      </c>
      <c r="F119" s="292">
        <v>20</v>
      </c>
      <c r="G119" s="292" t="s">
        <v>3301</v>
      </c>
      <c r="H119" s="292"/>
      <c r="I119" s="245" t="s">
        <v>150</v>
      </c>
      <c r="J119" s="446">
        <v>13431656</v>
      </c>
      <c r="K119" s="142">
        <v>45119</v>
      </c>
      <c r="L119" s="292">
        <v>13431656</v>
      </c>
      <c r="M119" s="765">
        <v>45477</v>
      </c>
      <c r="N119" s="292"/>
      <c r="O119" s="292"/>
      <c r="P119" s="292"/>
      <c r="Q119" s="292"/>
      <c r="R119" s="292"/>
      <c r="S119" s="292"/>
      <c r="T119" s="292"/>
      <c r="U119" s="292">
        <v>0</v>
      </c>
      <c r="V119" s="292"/>
      <c r="W119" s="292">
        <v>4.9301000000000004</v>
      </c>
    </row>
    <row r="120" spans="1:35" ht="32.25" customHeight="1" x14ac:dyDescent="0.25">
      <c r="A120" s="106">
        <v>57</v>
      </c>
      <c r="B120" s="292" t="s">
        <v>2054</v>
      </c>
      <c r="C120" s="292" t="s">
        <v>3302</v>
      </c>
      <c r="D120" s="292" t="s">
        <v>156</v>
      </c>
      <c r="E120" s="292">
        <v>4.4450000000000003</v>
      </c>
      <c r="F120" s="292">
        <v>20</v>
      </c>
      <c r="G120" s="245" t="s">
        <v>3303</v>
      </c>
      <c r="H120" s="292"/>
      <c r="I120" s="245" t="s">
        <v>150</v>
      </c>
      <c r="J120" s="446" t="s">
        <v>3304</v>
      </c>
      <c r="K120" s="142">
        <v>45117</v>
      </c>
      <c r="L120" s="292">
        <v>17174847</v>
      </c>
      <c r="M120" s="765">
        <v>45482</v>
      </c>
      <c r="N120" s="292"/>
      <c r="O120" s="292"/>
      <c r="P120" s="292"/>
      <c r="Q120" s="292"/>
      <c r="R120" s="292"/>
      <c r="S120" s="292"/>
      <c r="T120" s="292"/>
      <c r="U120" s="292">
        <v>0</v>
      </c>
      <c r="V120" s="292"/>
      <c r="W120" s="292">
        <v>4.4450000000000003</v>
      </c>
    </row>
    <row r="121" spans="1:35" ht="32.25" customHeight="1" x14ac:dyDescent="0.25">
      <c r="A121" s="106">
        <v>58</v>
      </c>
      <c r="B121" s="292" t="s">
        <v>3305</v>
      </c>
      <c r="C121" s="292" t="s">
        <v>3306</v>
      </c>
      <c r="D121" s="292" t="s">
        <v>156</v>
      </c>
      <c r="E121" s="292">
        <v>33.469000000000001</v>
      </c>
      <c r="F121" s="292">
        <v>110</v>
      </c>
      <c r="G121" s="292" t="s">
        <v>3307</v>
      </c>
      <c r="H121" s="245" t="s">
        <v>3308</v>
      </c>
      <c r="I121" s="245" t="s">
        <v>150</v>
      </c>
      <c r="J121" s="446" t="s">
        <v>3309</v>
      </c>
      <c r="K121" s="142">
        <v>45126</v>
      </c>
      <c r="L121" s="292">
        <v>11150801</v>
      </c>
      <c r="M121" s="765">
        <v>45461</v>
      </c>
      <c r="N121" s="292"/>
      <c r="O121" s="292"/>
      <c r="P121" s="292"/>
      <c r="Q121" s="292"/>
      <c r="R121" s="292"/>
      <c r="S121" s="292"/>
      <c r="T121" s="292"/>
      <c r="U121" s="292">
        <v>0</v>
      </c>
      <c r="V121" s="292"/>
      <c r="W121" s="292">
        <v>33.469000000000001</v>
      </c>
    </row>
    <row r="122" spans="1:35" ht="32.25" customHeight="1" x14ac:dyDescent="0.25">
      <c r="A122" s="106">
        <v>59</v>
      </c>
      <c r="B122" s="292" t="s">
        <v>3310</v>
      </c>
      <c r="C122" s="292" t="s">
        <v>811</v>
      </c>
      <c r="D122" s="292" t="s">
        <v>156</v>
      </c>
      <c r="E122" s="292">
        <v>1.861</v>
      </c>
      <c r="F122" s="292">
        <v>20</v>
      </c>
      <c r="G122" s="245" t="s">
        <v>3311</v>
      </c>
      <c r="H122" s="292" t="s">
        <v>3312</v>
      </c>
      <c r="I122" s="245" t="s">
        <v>150</v>
      </c>
      <c r="J122" s="446" t="s">
        <v>3313</v>
      </c>
      <c r="K122" s="142">
        <v>45125</v>
      </c>
      <c r="L122" s="292">
        <v>13075624</v>
      </c>
      <c r="M122" s="765">
        <v>45488</v>
      </c>
      <c r="N122" s="292"/>
      <c r="O122" s="292"/>
      <c r="P122" s="292"/>
      <c r="Q122" s="292"/>
      <c r="R122" s="292"/>
      <c r="S122" s="292"/>
      <c r="T122" s="292"/>
      <c r="U122" s="292">
        <v>0</v>
      </c>
      <c r="V122" s="292"/>
      <c r="W122" s="292">
        <v>1.861</v>
      </c>
    </row>
    <row r="123" spans="1:35" ht="32.25" customHeight="1" x14ac:dyDescent="0.25">
      <c r="A123" s="106">
        <v>60</v>
      </c>
      <c r="B123" s="292" t="s">
        <v>3314</v>
      </c>
      <c r="C123" s="292" t="s">
        <v>155</v>
      </c>
      <c r="D123" s="292" t="s">
        <v>156</v>
      </c>
      <c r="E123" s="292">
        <v>4.9310999999999998</v>
      </c>
      <c r="F123" s="292">
        <v>20</v>
      </c>
      <c r="G123" s="292" t="s">
        <v>3301</v>
      </c>
      <c r="H123" s="292"/>
      <c r="I123" s="245" t="s">
        <v>150</v>
      </c>
      <c r="J123" s="446" t="s">
        <v>3315</v>
      </c>
      <c r="K123" s="142">
        <v>45132</v>
      </c>
      <c r="L123" s="292">
        <v>17259940</v>
      </c>
      <c r="M123" s="765">
        <v>45474</v>
      </c>
      <c r="N123" s="292"/>
      <c r="O123" s="292"/>
      <c r="P123" s="292"/>
      <c r="Q123" s="292"/>
      <c r="R123" s="292"/>
      <c r="S123" s="292"/>
      <c r="T123" s="292"/>
      <c r="U123" s="292">
        <v>0</v>
      </c>
      <c r="V123" s="292"/>
      <c r="W123" s="292">
        <v>4.9310999999999998</v>
      </c>
    </row>
    <row r="124" spans="1:35" ht="32.25" customHeight="1" x14ac:dyDescent="0.25">
      <c r="A124" s="106">
        <v>61</v>
      </c>
      <c r="B124" s="292" t="s">
        <v>3316</v>
      </c>
      <c r="C124" s="292" t="s">
        <v>811</v>
      </c>
      <c r="D124" s="292" t="s">
        <v>148</v>
      </c>
      <c r="E124" s="292">
        <v>3.9380000000000002</v>
      </c>
      <c r="F124" s="292">
        <v>20</v>
      </c>
      <c r="G124" s="245" t="s">
        <v>3317</v>
      </c>
      <c r="H124" s="292"/>
      <c r="I124" s="245" t="s">
        <v>150</v>
      </c>
      <c r="J124" s="446" t="s">
        <v>3318</v>
      </c>
      <c r="K124" s="142">
        <v>45126</v>
      </c>
      <c r="L124" s="292">
        <v>15449220</v>
      </c>
      <c r="M124" s="765">
        <v>45485</v>
      </c>
      <c r="N124" s="292"/>
      <c r="O124" s="292"/>
      <c r="P124" s="292"/>
      <c r="Q124" s="292"/>
      <c r="R124" s="292"/>
      <c r="S124" s="292"/>
      <c r="T124" s="292"/>
      <c r="U124" s="292">
        <v>0</v>
      </c>
      <c r="V124" s="292"/>
      <c r="W124" s="380">
        <v>3.9380000000000002</v>
      </c>
      <c r="X124" s="357"/>
      <c r="Y124" s="102"/>
      <c r="Z124" s="70"/>
      <c r="AA124" s="70"/>
      <c r="AB124" s="70"/>
      <c r="AC124" s="70"/>
      <c r="AD124" s="70"/>
      <c r="AE124" s="70"/>
      <c r="AF124" s="70"/>
      <c r="AG124" s="70"/>
      <c r="AH124" s="70"/>
    </row>
    <row r="125" spans="1:35" s="264" customFormat="1" ht="32.25" customHeight="1" x14ac:dyDescent="0.25">
      <c r="A125" s="106">
        <v>62</v>
      </c>
      <c r="B125" s="292" t="s">
        <v>3319</v>
      </c>
      <c r="C125" s="292" t="s">
        <v>3320</v>
      </c>
      <c r="D125" s="292" t="s">
        <v>160</v>
      </c>
      <c r="E125" s="292">
        <v>52.585999999999999</v>
      </c>
      <c r="F125" s="292">
        <v>110</v>
      </c>
      <c r="G125" s="292" t="s">
        <v>3321</v>
      </c>
      <c r="H125" s="292"/>
      <c r="I125" s="245" t="s">
        <v>150</v>
      </c>
      <c r="J125" s="446" t="s">
        <v>3322</v>
      </c>
      <c r="K125" s="142">
        <v>45134</v>
      </c>
      <c r="L125" s="292">
        <v>17879999</v>
      </c>
      <c r="M125" s="765">
        <v>45499</v>
      </c>
      <c r="N125" s="292"/>
      <c r="O125" s="292"/>
      <c r="P125" s="245" t="s">
        <v>3323</v>
      </c>
      <c r="Q125" s="292"/>
      <c r="R125" s="292"/>
      <c r="S125" s="292"/>
      <c r="T125" s="292"/>
      <c r="U125" s="292">
        <v>0</v>
      </c>
      <c r="V125" s="292"/>
      <c r="W125" s="380">
        <v>52.585999999999999</v>
      </c>
      <c r="X125" s="357"/>
      <c r="Y125" s="102"/>
      <c r="Z125" s="70"/>
      <c r="AA125" s="70"/>
      <c r="AB125" s="70"/>
      <c r="AC125" s="70"/>
      <c r="AD125" s="70"/>
      <c r="AE125" s="70"/>
      <c r="AF125" s="70"/>
      <c r="AG125" s="70"/>
      <c r="AH125" s="70"/>
      <c r="AI125" s="269"/>
    </row>
    <row r="126" spans="1:35" s="70" customFormat="1" ht="32.25" customHeight="1" x14ac:dyDescent="0.25">
      <c r="A126" s="106">
        <v>63</v>
      </c>
      <c r="B126" s="292" t="s">
        <v>3324</v>
      </c>
      <c r="C126" s="292" t="s">
        <v>3325</v>
      </c>
      <c r="D126" s="292" t="s">
        <v>156</v>
      </c>
      <c r="E126" s="292">
        <v>2.4550000000000001</v>
      </c>
      <c r="F126" s="292">
        <v>20</v>
      </c>
      <c r="G126" s="292" t="s">
        <v>3326</v>
      </c>
      <c r="H126" s="292"/>
      <c r="I126" s="245" t="s">
        <v>150</v>
      </c>
      <c r="J126" s="446" t="s">
        <v>3327</v>
      </c>
      <c r="K126" s="142">
        <v>45141</v>
      </c>
      <c r="L126" s="292"/>
      <c r="M126" s="292"/>
      <c r="N126" s="292"/>
      <c r="O126" s="292"/>
      <c r="P126" s="292"/>
      <c r="Q126" s="292"/>
      <c r="R126" s="292"/>
      <c r="S126" s="292"/>
      <c r="T126" s="292"/>
      <c r="U126" s="292">
        <v>0</v>
      </c>
      <c r="V126" s="292"/>
      <c r="W126" s="292">
        <v>2.4550000000000001</v>
      </c>
      <c r="Y126" s="102"/>
    </row>
    <row r="127" spans="1:35" ht="25.5" x14ac:dyDescent="0.25">
      <c r="A127" s="106">
        <v>64</v>
      </c>
      <c r="B127" s="292" t="s">
        <v>3328</v>
      </c>
      <c r="C127" s="292" t="s">
        <v>3329</v>
      </c>
      <c r="D127" s="292" t="s">
        <v>156</v>
      </c>
      <c r="E127" s="292">
        <v>2.9253</v>
      </c>
      <c r="F127" s="292">
        <v>20</v>
      </c>
      <c r="G127" s="292" t="s">
        <v>3330</v>
      </c>
      <c r="H127" s="292"/>
      <c r="I127" s="245" t="s">
        <v>150</v>
      </c>
      <c r="J127" s="446" t="s">
        <v>3331</v>
      </c>
      <c r="K127" s="142">
        <v>45131</v>
      </c>
      <c r="L127" s="139">
        <v>10528131</v>
      </c>
      <c r="M127" s="403">
        <v>45302</v>
      </c>
      <c r="N127" s="292"/>
      <c r="O127" s="292"/>
      <c r="P127" s="292"/>
      <c r="Q127" s="292"/>
      <c r="R127" s="292"/>
      <c r="S127" s="292"/>
      <c r="T127" s="292"/>
      <c r="U127" s="292">
        <v>0</v>
      </c>
      <c r="V127" s="292"/>
      <c r="W127" s="292">
        <v>2.9253</v>
      </c>
    </row>
    <row r="128" spans="1:35" ht="25.5" x14ac:dyDescent="0.25">
      <c r="A128" s="106">
        <v>65</v>
      </c>
      <c r="B128" s="292" t="s">
        <v>3483</v>
      </c>
      <c r="C128" s="292" t="s">
        <v>155</v>
      </c>
      <c r="D128" s="292" t="s">
        <v>156</v>
      </c>
      <c r="E128" s="292">
        <v>4.9310999999999998</v>
      </c>
      <c r="F128" s="292">
        <v>20</v>
      </c>
      <c r="G128" s="292" t="s">
        <v>3484</v>
      </c>
      <c r="H128" s="292"/>
      <c r="I128" s="245" t="s">
        <v>150</v>
      </c>
      <c r="J128" s="446" t="s">
        <v>3485</v>
      </c>
      <c r="K128" s="142">
        <v>45145</v>
      </c>
      <c r="L128" s="292">
        <v>16242359</v>
      </c>
      <c r="M128" s="765">
        <v>45497</v>
      </c>
      <c r="N128" s="292"/>
      <c r="O128" s="292"/>
      <c r="P128" s="292"/>
      <c r="Q128" s="292"/>
      <c r="R128" s="292"/>
      <c r="S128" s="292"/>
      <c r="T128" s="292"/>
      <c r="U128" s="292">
        <v>0</v>
      </c>
      <c r="V128" s="292"/>
      <c r="W128" s="292">
        <v>4.9310999999999998</v>
      </c>
    </row>
    <row r="129" spans="1:23" ht="25.5" x14ac:dyDescent="0.25">
      <c r="A129" s="106">
        <v>66</v>
      </c>
      <c r="B129" s="292" t="s">
        <v>2336</v>
      </c>
      <c r="C129" s="402" t="s">
        <v>579</v>
      </c>
      <c r="D129" s="292" t="s">
        <v>156</v>
      </c>
      <c r="E129" s="292">
        <v>5.524</v>
      </c>
      <c r="F129" s="292">
        <v>20</v>
      </c>
      <c r="G129" s="402" t="s">
        <v>3557</v>
      </c>
      <c r="H129" s="292"/>
      <c r="I129" s="245" t="s">
        <v>150</v>
      </c>
      <c r="J129" s="446">
        <v>12925336</v>
      </c>
      <c r="K129" s="403">
        <v>45160</v>
      </c>
      <c r="L129" s="292"/>
      <c r="M129" s="292"/>
      <c r="N129" s="292"/>
      <c r="O129" s="292"/>
      <c r="P129" s="292"/>
      <c r="Q129" s="292"/>
      <c r="R129" s="292"/>
      <c r="S129" s="292"/>
      <c r="T129" s="292"/>
      <c r="U129" s="292">
        <v>0</v>
      </c>
      <c r="V129" s="292"/>
      <c r="W129" s="292">
        <v>5.524</v>
      </c>
    </row>
    <row r="130" spans="1:23" ht="37.5" customHeight="1" x14ac:dyDescent="0.25">
      <c r="A130" s="106">
        <v>67</v>
      </c>
      <c r="B130" s="292" t="s">
        <v>3558</v>
      </c>
      <c r="C130" s="402" t="s">
        <v>3559</v>
      </c>
      <c r="D130" s="292" t="s">
        <v>152</v>
      </c>
      <c r="E130" s="292">
        <v>3.9449999999999998</v>
      </c>
      <c r="F130" s="292">
        <v>20</v>
      </c>
      <c r="G130" s="402" t="s">
        <v>3560</v>
      </c>
      <c r="H130" s="292"/>
      <c r="I130" s="245" t="s">
        <v>150</v>
      </c>
      <c r="J130" s="446">
        <v>9554581</v>
      </c>
      <c r="K130" s="403">
        <v>45166</v>
      </c>
      <c r="L130" s="292"/>
      <c r="M130" s="292"/>
      <c r="N130" s="292"/>
      <c r="O130" s="292"/>
      <c r="P130" s="245" t="s">
        <v>3561</v>
      </c>
      <c r="Q130" s="292"/>
      <c r="R130" s="292"/>
      <c r="S130" s="292"/>
      <c r="T130" s="292"/>
      <c r="U130" s="292">
        <v>0</v>
      </c>
      <c r="V130" s="292"/>
      <c r="W130" s="292">
        <v>3.9449999999999998</v>
      </c>
    </row>
    <row r="131" spans="1:23" ht="25.5" x14ac:dyDescent="0.25">
      <c r="A131" s="106">
        <v>68</v>
      </c>
      <c r="B131" s="292" t="s">
        <v>3562</v>
      </c>
      <c r="C131" s="402" t="s">
        <v>3563</v>
      </c>
      <c r="D131" s="292" t="s">
        <v>160</v>
      </c>
      <c r="E131" s="292">
        <v>6.6550000000000002</v>
      </c>
      <c r="F131" s="292">
        <v>20</v>
      </c>
      <c r="G131" s="402" t="s">
        <v>3564</v>
      </c>
      <c r="H131" s="292"/>
      <c r="I131" s="245" t="s">
        <v>150</v>
      </c>
      <c r="J131" s="446">
        <v>10165924</v>
      </c>
      <c r="K131" s="403">
        <v>45166</v>
      </c>
      <c r="L131" s="292"/>
      <c r="M131" s="292"/>
      <c r="N131" s="292"/>
      <c r="O131" s="292"/>
      <c r="P131" s="292"/>
      <c r="Q131" s="292"/>
      <c r="R131" s="292"/>
      <c r="S131" s="292"/>
      <c r="T131" s="292"/>
      <c r="U131" s="292">
        <v>0</v>
      </c>
      <c r="V131" s="292"/>
      <c r="W131" s="292">
        <v>6.6550000000000002</v>
      </c>
    </row>
    <row r="132" spans="1:23" ht="26.25" customHeight="1" x14ac:dyDescent="0.25">
      <c r="A132" s="106">
        <v>69</v>
      </c>
      <c r="B132" s="292" t="s">
        <v>105</v>
      </c>
      <c r="C132" s="402" t="s">
        <v>2489</v>
      </c>
      <c r="D132" s="292" t="s">
        <v>148</v>
      </c>
      <c r="E132" s="292">
        <v>23.216000000000001</v>
      </c>
      <c r="F132" s="292">
        <v>110</v>
      </c>
      <c r="G132" s="402" t="s">
        <v>3565</v>
      </c>
      <c r="H132" s="292"/>
      <c r="I132" s="245" t="s">
        <v>150</v>
      </c>
      <c r="J132" s="446">
        <v>11847540</v>
      </c>
      <c r="K132" s="403">
        <v>45166</v>
      </c>
      <c r="L132" s="292"/>
      <c r="M132" s="292"/>
      <c r="N132" s="292"/>
      <c r="O132" s="292"/>
      <c r="P132" s="245" t="s">
        <v>3566</v>
      </c>
      <c r="Q132" s="292"/>
      <c r="R132" s="292"/>
      <c r="S132" s="292"/>
      <c r="T132" s="292"/>
      <c r="U132" s="292">
        <v>0</v>
      </c>
      <c r="V132" s="292"/>
      <c r="W132" s="292">
        <v>23.216000000000001</v>
      </c>
    </row>
    <row r="133" spans="1:23" ht="25.5" x14ac:dyDescent="0.25">
      <c r="A133" s="106">
        <v>70</v>
      </c>
      <c r="B133" s="292" t="s">
        <v>3567</v>
      </c>
      <c r="C133" s="402" t="s">
        <v>3568</v>
      </c>
      <c r="D133" s="292" t="s">
        <v>156</v>
      </c>
      <c r="E133" s="292">
        <v>48.896999999999998</v>
      </c>
      <c r="F133" s="292">
        <v>110</v>
      </c>
      <c r="G133" s="402" t="s">
        <v>3569</v>
      </c>
      <c r="H133" s="292"/>
      <c r="I133" s="245" t="s">
        <v>150</v>
      </c>
      <c r="J133" s="446">
        <v>10582002</v>
      </c>
      <c r="K133" s="403">
        <v>45173</v>
      </c>
      <c r="L133" s="292"/>
      <c r="M133" s="292"/>
      <c r="N133" s="292"/>
      <c r="O133" s="292"/>
      <c r="P133" s="292"/>
      <c r="Q133" s="292"/>
      <c r="R133" s="292"/>
      <c r="S133" s="292"/>
      <c r="T133" s="292"/>
      <c r="U133" s="292">
        <v>0</v>
      </c>
      <c r="V133" s="292"/>
      <c r="W133" s="292">
        <v>48.896999999999998</v>
      </c>
    </row>
    <row r="134" spans="1:23" ht="25.5" x14ac:dyDescent="0.25">
      <c r="A134" s="106">
        <v>71</v>
      </c>
      <c r="B134" s="292" t="s">
        <v>3570</v>
      </c>
      <c r="C134" s="402" t="s">
        <v>3571</v>
      </c>
      <c r="D134" s="292" t="s">
        <v>160</v>
      </c>
      <c r="E134" s="292">
        <v>2.1850000000000001</v>
      </c>
      <c r="F134" s="292">
        <v>20</v>
      </c>
      <c r="G134" s="402" t="s">
        <v>3572</v>
      </c>
      <c r="H134" s="292"/>
      <c r="I134" s="245" t="s">
        <v>150</v>
      </c>
      <c r="J134" s="446">
        <v>13106511</v>
      </c>
      <c r="K134" s="403">
        <v>45176</v>
      </c>
      <c r="L134" s="292"/>
      <c r="M134" s="292"/>
      <c r="N134" s="292"/>
      <c r="O134" s="292"/>
      <c r="P134" s="292"/>
      <c r="Q134" s="292"/>
      <c r="R134" s="292"/>
      <c r="S134" s="292"/>
      <c r="T134" s="292"/>
      <c r="U134" s="292">
        <v>0</v>
      </c>
      <c r="V134" s="292"/>
      <c r="W134" s="292">
        <v>2.1850000000000001</v>
      </c>
    </row>
    <row r="135" spans="1:23" ht="25.5" x14ac:dyDescent="0.25">
      <c r="A135" s="106">
        <v>72</v>
      </c>
      <c r="B135" s="292" t="s">
        <v>3954</v>
      </c>
      <c r="C135" s="402" t="s">
        <v>3955</v>
      </c>
      <c r="D135" s="292" t="s">
        <v>160</v>
      </c>
      <c r="E135" s="292">
        <v>3.9577900000000001</v>
      </c>
      <c r="F135" s="292">
        <v>20</v>
      </c>
      <c r="G135" s="402" t="s">
        <v>3956</v>
      </c>
      <c r="H135" s="292"/>
      <c r="I135" s="245" t="s">
        <v>150</v>
      </c>
      <c r="J135" s="446">
        <v>11298369</v>
      </c>
      <c r="K135" s="403">
        <v>45236</v>
      </c>
      <c r="L135" s="292"/>
      <c r="M135" s="292"/>
      <c r="N135" s="292"/>
      <c r="O135" s="292"/>
      <c r="P135" s="292"/>
      <c r="Q135" s="292" t="s">
        <v>3957</v>
      </c>
      <c r="R135" s="292" t="s">
        <v>3958</v>
      </c>
      <c r="S135" s="292"/>
      <c r="T135" s="292"/>
      <c r="U135" s="292">
        <v>0</v>
      </c>
      <c r="V135" s="292"/>
      <c r="W135" s="292">
        <v>3.9577900000000001</v>
      </c>
    </row>
    <row r="136" spans="1:23" ht="25.5" x14ac:dyDescent="0.25">
      <c r="A136" s="106">
        <v>73</v>
      </c>
      <c r="B136" s="292" t="s">
        <v>3959</v>
      </c>
      <c r="C136" s="402" t="s">
        <v>3960</v>
      </c>
      <c r="D136" s="292" t="s">
        <v>156</v>
      </c>
      <c r="E136" s="292">
        <v>48.835999999999999</v>
      </c>
      <c r="F136" s="292">
        <v>110</v>
      </c>
      <c r="G136" s="402" t="s">
        <v>3961</v>
      </c>
      <c r="H136" s="292"/>
      <c r="I136" s="245" t="s">
        <v>150</v>
      </c>
      <c r="J136" s="446">
        <v>10208987</v>
      </c>
      <c r="K136" s="403">
        <v>45238</v>
      </c>
      <c r="L136" s="292">
        <v>10582002</v>
      </c>
      <c r="M136" s="765">
        <v>45404</v>
      </c>
      <c r="N136" s="292"/>
      <c r="O136" s="292"/>
      <c r="P136" s="292"/>
      <c r="Q136" s="292"/>
      <c r="R136" s="292"/>
      <c r="S136" s="292"/>
      <c r="T136" s="292"/>
      <c r="U136" s="292">
        <v>0</v>
      </c>
      <c r="V136" s="292"/>
      <c r="W136" s="292">
        <v>48.835999999999999</v>
      </c>
    </row>
    <row r="137" spans="1:23" ht="25.5" x14ac:dyDescent="0.25">
      <c r="A137" s="106">
        <v>74</v>
      </c>
      <c r="B137" s="292" t="s">
        <v>3962</v>
      </c>
      <c r="C137" s="402" t="s">
        <v>3963</v>
      </c>
      <c r="D137" s="292" t="s">
        <v>156</v>
      </c>
      <c r="E137" s="292">
        <v>4.4400000000000004</v>
      </c>
      <c r="F137" s="292">
        <v>20</v>
      </c>
      <c r="G137" s="402" t="s">
        <v>3964</v>
      </c>
      <c r="H137" s="292"/>
      <c r="I137" s="245" t="s">
        <v>150</v>
      </c>
      <c r="J137" s="446">
        <v>14338009</v>
      </c>
      <c r="K137" s="403">
        <v>45245</v>
      </c>
      <c r="L137" s="292"/>
      <c r="M137" s="292"/>
      <c r="N137" s="292"/>
      <c r="O137" s="292"/>
      <c r="P137" s="292"/>
      <c r="Q137" s="292" t="s">
        <v>3965</v>
      </c>
      <c r="R137" s="292" t="s">
        <v>3958</v>
      </c>
      <c r="S137" s="292"/>
      <c r="T137" s="292"/>
      <c r="U137" s="292">
        <v>0</v>
      </c>
      <c r="V137" s="292"/>
      <c r="W137" s="292">
        <v>4.4400000000000004</v>
      </c>
    </row>
    <row r="138" spans="1:23" ht="25.5" x14ac:dyDescent="0.25">
      <c r="A138" s="106">
        <v>75</v>
      </c>
      <c r="B138" s="292" t="s">
        <v>3966</v>
      </c>
      <c r="C138" s="402" t="s">
        <v>951</v>
      </c>
      <c r="D138" s="292" t="s">
        <v>156</v>
      </c>
      <c r="E138" s="292">
        <v>1.3540000000000001</v>
      </c>
      <c r="F138" s="292">
        <v>20</v>
      </c>
      <c r="G138" s="402" t="s">
        <v>3967</v>
      </c>
      <c r="H138" s="292"/>
      <c r="I138" s="245" t="s">
        <v>150</v>
      </c>
      <c r="J138" s="446">
        <v>15858752</v>
      </c>
      <c r="K138" s="403">
        <v>45245</v>
      </c>
      <c r="L138" s="292"/>
      <c r="M138" s="292"/>
      <c r="N138" s="292"/>
      <c r="O138" s="292"/>
      <c r="P138" s="292"/>
      <c r="Q138" s="292"/>
      <c r="R138" s="292"/>
      <c r="S138" s="292"/>
      <c r="T138" s="292"/>
      <c r="U138" s="292">
        <v>0</v>
      </c>
      <c r="V138" s="292"/>
      <c r="W138" s="292">
        <v>1.3540000000000001</v>
      </c>
    </row>
    <row r="139" spans="1:23" ht="25.5" x14ac:dyDescent="0.25">
      <c r="A139" s="106">
        <v>76</v>
      </c>
      <c r="B139" s="292" t="s">
        <v>3570</v>
      </c>
      <c r="C139" s="402" t="s">
        <v>3972</v>
      </c>
      <c r="D139" s="292" t="s">
        <v>160</v>
      </c>
      <c r="E139" s="292">
        <v>2.9550000000000001</v>
      </c>
      <c r="F139" s="292">
        <v>20</v>
      </c>
      <c r="G139" s="402" t="s">
        <v>3973</v>
      </c>
      <c r="H139" s="292"/>
      <c r="I139" s="245" t="s">
        <v>150</v>
      </c>
      <c r="J139" s="446">
        <v>13614551</v>
      </c>
      <c r="K139" s="403">
        <v>45250</v>
      </c>
      <c r="L139" s="292"/>
      <c r="M139" s="292"/>
      <c r="N139" s="292"/>
      <c r="O139" s="292"/>
      <c r="P139" s="292"/>
      <c r="Q139" s="292"/>
      <c r="R139" s="292"/>
      <c r="S139" s="292"/>
      <c r="T139" s="292"/>
      <c r="U139" s="292">
        <v>0</v>
      </c>
      <c r="V139" s="292"/>
      <c r="W139" s="292">
        <v>2.9550000000000001</v>
      </c>
    </row>
    <row r="140" spans="1:23" ht="25.5" x14ac:dyDescent="0.25">
      <c r="A140" s="106">
        <v>77</v>
      </c>
      <c r="B140" s="292" t="s">
        <v>4183</v>
      </c>
      <c r="C140" s="402" t="s">
        <v>4184</v>
      </c>
      <c r="D140" s="292" t="s">
        <v>152</v>
      </c>
      <c r="E140" s="292">
        <v>49.03</v>
      </c>
      <c r="F140" s="292">
        <v>110</v>
      </c>
      <c r="G140" s="402" t="s">
        <v>4185</v>
      </c>
      <c r="H140" s="292"/>
      <c r="I140" s="245" t="s">
        <v>150</v>
      </c>
      <c r="J140" s="292">
        <v>10288331</v>
      </c>
      <c r="K140" s="403">
        <v>45259</v>
      </c>
      <c r="L140" s="292"/>
      <c r="M140" s="292"/>
      <c r="N140" s="292"/>
      <c r="O140" s="292"/>
      <c r="P140" s="292"/>
      <c r="Q140" s="292"/>
      <c r="R140" s="292"/>
      <c r="S140" s="292"/>
      <c r="T140" s="292"/>
      <c r="U140" s="292">
        <v>0</v>
      </c>
      <c r="V140" s="292"/>
      <c r="W140" s="292">
        <v>49.03</v>
      </c>
    </row>
    <row r="141" spans="1:23" ht="25.5" x14ac:dyDescent="0.25">
      <c r="A141" s="106">
        <v>78</v>
      </c>
      <c r="B141" s="292" t="s">
        <v>4186</v>
      </c>
      <c r="C141" s="402" t="s">
        <v>4187</v>
      </c>
      <c r="D141" s="292" t="s">
        <v>152</v>
      </c>
      <c r="E141" s="292">
        <v>4.4349999999999996</v>
      </c>
      <c r="F141" s="292">
        <v>20</v>
      </c>
      <c r="G141" s="402" t="s">
        <v>4188</v>
      </c>
      <c r="H141" s="292"/>
      <c r="I141" s="245" t="s">
        <v>150</v>
      </c>
      <c r="J141" s="292">
        <v>17372115</v>
      </c>
      <c r="K141" s="403">
        <v>45271</v>
      </c>
      <c r="L141" s="292"/>
      <c r="M141" s="292"/>
      <c r="N141" s="292"/>
      <c r="O141" s="292"/>
      <c r="P141" s="292"/>
      <c r="Q141" s="292"/>
      <c r="R141" s="292"/>
      <c r="S141" s="292"/>
      <c r="T141" s="292"/>
      <c r="U141" s="292">
        <v>0</v>
      </c>
      <c r="V141" s="292"/>
      <c r="W141" s="292">
        <v>4.4349999999999996</v>
      </c>
    </row>
    <row r="142" spans="1:23" ht="25.5" x14ac:dyDescent="0.25">
      <c r="A142" s="106">
        <v>79</v>
      </c>
      <c r="B142" s="292" t="s">
        <v>4189</v>
      </c>
      <c r="C142" s="402" t="s">
        <v>583</v>
      </c>
      <c r="D142" s="292" t="s">
        <v>156</v>
      </c>
      <c r="E142" s="292">
        <v>1.4550000000000001</v>
      </c>
      <c r="F142" s="292">
        <v>20</v>
      </c>
      <c r="G142" s="402" t="s">
        <v>4190</v>
      </c>
      <c r="H142" s="292"/>
      <c r="I142" s="245" t="s">
        <v>150</v>
      </c>
      <c r="J142" s="292">
        <v>16770905</v>
      </c>
      <c r="K142" s="403">
        <v>45287</v>
      </c>
      <c r="L142" s="292"/>
      <c r="M142" s="292"/>
      <c r="N142" s="292"/>
      <c r="O142" s="292"/>
      <c r="P142" s="292"/>
      <c r="Q142" s="292"/>
      <c r="R142" s="292"/>
      <c r="S142" s="292"/>
      <c r="T142" s="292"/>
      <c r="U142" s="292">
        <v>0</v>
      </c>
      <c r="V142" s="292"/>
      <c r="W142" s="292">
        <v>1.4550000000000001</v>
      </c>
    </row>
    <row r="143" spans="1:23" ht="25.5" x14ac:dyDescent="0.25">
      <c r="A143" s="139">
        <v>80</v>
      </c>
      <c r="B143" s="292" t="s">
        <v>4493</v>
      </c>
      <c r="C143" s="402" t="s">
        <v>4494</v>
      </c>
      <c r="D143" s="292" t="s">
        <v>152</v>
      </c>
      <c r="E143" s="292">
        <v>5.1959999999999997</v>
      </c>
      <c r="F143" s="292">
        <v>20</v>
      </c>
      <c r="G143" s="402" t="s">
        <v>4495</v>
      </c>
      <c r="H143" s="292"/>
      <c r="I143" s="245" t="s">
        <v>4496</v>
      </c>
      <c r="J143" s="292">
        <v>17232095</v>
      </c>
      <c r="K143" s="403">
        <v>45302</v>
      </c>
      <c r="L143" s="292"/>
      <c r="M143" s="292"/>
      <c r="N143" s="292"/>
      <c r="O143" s="292"/>
      <c r="P143" s="292"/>
      <c r="Q143" s="292"/>
      <c r="R143" s="292"/>
      <c r="S143" s="292"/>
      <c r="T143" s="292"/>
      <c r="U143" s="292">
        <v>0</v>
      </c>
      <c r="V143" s="292"/>
      <c r="W143" s="292">
        <v>5.1959999999999997</v>
      </c>
    </row>
    <row r="144" spans="1:23" ht="25.5" x14ac:dyDescent="0.25">
      <c r="A144" s="139">
        <v>81</v>
      </c>
      <c r="B144" s="292" t="s">
        <v>2054</v>
      </c>
      <c r="C144" s="402" t="s">
        <v>4497</v>
      </c>
      <c r="D144" s="292" t="s">
        <v>148</v>
      </c>
      <c r="E144" s="292">
        <v>3.4449999999999998</v>
      </c>
      <c r="F144" s="292">
        <v>20</v>
      </c>
      <c r="G144" s="402" t="s">
        <v>4498</v>
      </c>
      <c r="H144" s="292"/>
      <c r="I144" s="245" t="s">
        <v>4496</v>
      </c>
      <c r="J144" s="292">
        <v>17995112</v>
      </c>
      <c r="K144" s="403">
        <v>45301</v>
      </c>
      <c r="L144" s="292"/>
      <c r="M144" s="292"/>
      <c r="N144" s="292"/>
      <c r="O144" s="292"/>
      <c r="P144" s="292"/>
      <c r="Q144" s="292"/>
      <c r="R144" s="292"/>
      <c r="S144" s="292"/>
      <c r="T144" s="292"/>
      <c r="U144" s="292">
        <v>0</v>
      </c>
      <c r="V144" s="292"/>
      <c r="W144" s="292">
        <v>3.4449999999999998</v>
      </c>
    </row>
    <row r="145" spans="1:23" ht="25.5" x14ac:dyDescent="0.25">
      <c r="A145" s="139">
        <v>82</v>
      </c>
      <c r="B145" s="292" t="s">
        <v>4499</v>
      </c>
      <c r="C145" s="402" t="s">
        <v>4500</v>
      </c>
      <c r="D145" s="292" t="s">
        <v>160</v>
      </c>
      <c r="E145" s="292">
        <v>4.4390000000000001</v>
      </c>
      <c r="F145" s="292">
        <v>20</v>
      </c>
      <c r="G145" s="402" t="s">
        <v>4501</v>
      </c>
      <c r="H145" s="292"/>
      <c r="I145" s="245" t="s">
        <v>4496</v>
      </c>
      <c r="J145" s="292">
        <v>16342117</v>
      </c>
      <c r="K145" s="403">
        <v>45313</v>
      </c>
      <c r="L145" s="292"/>
      <c r="M145" s="292"/>
      <c r="N145" s="292"/>
      <c r="O145" s="292"/>
      <c r="P145" s="292"/>
      <c r="Q145" s="292"/>
      <c r="R145" s="292"/>
      <c r="S145" s="292"/>
      <c r="T145" s="292"/>
      <c r="U145" s="292">
        <v>0</v>
      </c>
      <c r="V145" s="292"/>
      <c r="W145" s="292">
        <v>4.4390000000000001</v>
      </c>
    </row>
    <row r="146" spans="1:23" ht="25.5" x14ac:dyDescent="0.25">
      <c r="A146" s="139">
        <v>83</v>
      </c>
      <c r="B146" s="292" t="s">
        <v>2336</v>
      </c>
      <c r="C146" s="402" t="s">
        <v>4502</v>
      </c>
      <c r="D146" s="292" t="s">
        <v>156</v>
      </c>
      <c r="E146" s="292">
        <v>2.4055</v>
      </c>
      <c r="F146" s="292">
        <v>20</v>
      </c>
      <c r="G146" s="402" t="s">
        <v>4503</v>
      </c>
      <c r="H146" s="292"/>
      <c r="I146" s="245" t="s">
        <v>4496</v>
      </c>
      <c r="J146" s="292">
        <v>16072887</v>
      </c>
      <c r="K146" s="403">
        <v>45309</v>
      </c>
      <c r="L146" s="292"/>
      <c r="M146" s="292"/>
      <c r="N146" s="292"/>
      <c r="O146" s="292"/>
      <c r="P146" s="292"/>
      <c r="Q146" s="292"/>
      <c r="R146" s="292"/>
      <c r="S146" s="292"/>
      <c r="T146" s="292"/>
      <c r="U146" s="292">
        <v>0</v>
      </c>
      <c r="V146" s="292"/>
      <c r="W146" s="292">
        <v>2.4055</v>
      </c>
    </row>
    <row r="147" spans="1:23" ht="25.5" x14ac:dyDescent="0.25">
      <c r="A147" s="139">
        <v>84</v>
      </c>
      <c r="B147" s="292" t="s">
        <v>4504</v>
      </c>
      <c r="C147" s="402" t="s">
        <v>4505</v>
      </c>
      <c r="D147" s="292" t="s">
        <v>160</v>
      </c>
      <c r="E147" s="292">
        <v>4.4450000000000003</v>
      </c>
      <c r="F147" s="292">
        <v>20</v>
      </c>
      <c r="G147" s="402" t="s">
        <v>4506</v>
      </c>
      <c r="H147" s="292"/>
      <c r="I147" s="245" t="s">
        <v>4496</v>
      </c>
      <c r="J147" s="292">
        <v>17694603</v>
      </c>
      <c r="K147" s="403">
        <v>45316</v>
      </c>
      <c r="L147" s="292"/>
      <c r="M147" s="292"/>
      <c r="N147" s="292"/>
      <c r="O147" s="292"/>
      <c r="P147" s="292"/>
      <c r="Q147" s="292"/>
      <c r="R147" s="292"/>
      <c r="S147" s="292"/>
      <c r="T147" s="292"/>
      <c r="U147" s="292">
        <v>0</v>
      </c>
      <c r="V147" s="292"/>
      <c r="W147" s="292">
        <v>4.4450000000000003</v>
      </c>
    </row>
    <row r="148" spans="1:23" ht="25.5" x14ac:dyDescent="0.25">
      <c r="A148" s="139">
        <v>85</v>
      </c>
      <c r="B148" s="292" t="s">
        <v>4507</v>
      </c>
      <c r="C148" s="402" t="s">
        <v>4508</v>
      </c>
      <c r="D148" s="292" t="s">
        <v>156</v>
      </c>
      <c r="E148" s="292">
        <v>4.3280000000000003</v>
      </c>
      <c r="F148" s="292">
        <v>20</v>
      </c>
      <c r="G148" s="402" t="s">
        <v>4509</v>
      </c>
      <c r="H148" s="292"/>
      <c r="I148" s="245" t="s">
        <v>4496</v>
      </c>
      <c r="J148" s="292">
        <v>16643728</v>
      </c>
      <c r="K148" s="403">
        <v>45323</v>
      </c>
      <c r="L148" s="292"/>
      <c r="M148" s="292"/>
      <c r="N148" s="292"/>
      <c r="O148" s="292"/>
      <c r="P148" s="292" t="s">
        <v>4510</v>
      </c>
      <c r="Q148" s="292" t="s">
        <v>4511</v>
      </c>
      <c r="R148" s="292"/>
      <c r="S148" s="292"/>
      <c r="T148" s="292"/>
      <c r="U148" s="292">
        <v>0</v>
      </c>
      <c r="V148" s="292"/>
      <c r="W148" s="292">
        <v>4.3280000000000003</v>
      </c>
    </row>
    <row r="149" spans="1:23" ht="25.5" x14ac:dyDescent="0.25">
      <c r="A149" s="139">
        <v>86</v>
      </c>
      <c r="B149" s="292" t="s">
        <v>4512</v>
      </c>
      <c r="C149" s="402" t="s">
        <v>3559</v>
      </c>
      <c r="D149" s="292" t="s">
        <v>148</v>
      </c>
      <c r="E149" s="292">
        <v>6.0030000000000001</v>
      </c>
      <c r="F149" s="292">
        <v>20</v>
      </c>
      <c r="G149" s="402" t="s">
        <v>4513</v>
      </c>
      <c r="H149" s="292"/>
      <c r="I149" s="245" t="s">
        <v>4496</v>
      </c>
      <c r="J149" s="292">
        <v>13572449</v>
      </c>
      <c r="K149" s="403">
        <v>45327</v>
      </c>
      <c r="L149" s="292"/>
      <c r="M149" s="292"/>
      <c r="N149" s="292"/>
      <c r="O149" s="292"/>
      <c r="P149" s="292" t="s">
        <v>4514</v>
      </c>
      <c r="Q149" s="292" t="s">
        <v>4511</v>
      </c>
      <c r="R149" s="292"/>
      <c r="S149" s="292"/>
      <c r="T149" s="292"/>
      <c r="U149" s="292">
        <v>0</v>
      </c>
      <c r="V149" s="292"/>
      <c r="W149" s="292">
        <v>6.0030000000000001</v>
      </c>
    </row>
    <row r="150" spans="1:23" ht="25.5" x14ac:dyDescent="0.25">
      <c r="A150" s="139">
        <v>87</v>
      </c>
      <c r="B150" s="292" t="s">
        <v>4757</v>
      </c>
      <c r="C150" s="402" t="s">
        <v>4758</v>
      </c>
      <c r="D150" s="292" t="s">
        <v>156</v>
      </c>
      <c r="E150" s="292">
        <v>1.97681</v>
      </c>
      <c r="F150" s="292">
        <v>20</v>
      </c>
      <c r="G150" s="402" t="s">
        <v>4759</v>
      </c>
      <c r="H150" s="292"/>
      <c r="I150" s="245" t="s">
        <v>4496</v>
      </c>
      <c r="J150" s="292">
        <v>16443840</v>
      </c>
      <c r="K150" s="403">
        <v>45350</v>
      </c>
      <c r="L150" s="292">
        <v>16443840</v>
      </c>
      <c r="M150" s="765">
        <v>45483</v>
      </c>
      <c r="N150" s="292"/>
      <c r="O150" s="292"/>
      <c r="P150" s="292"/>
      <c r="Q150" s="292"/>
      <c r="R150" s="292"/>
      <c r="S150" s="292"/>
      <c r="T150" s="292"/>
      <c r="U150" s="292">
        <v>0</v>
      </c>
      <c r="V150" s="292"/>
      <c r="W150" s="292">
        <v>1.97681</v>
      </c>
    </row>
    <row r="151" spans="1:23" ht="25.5" x14ac:dyDescent="0.25">
      <c r="A151" s="139">
        <v>88</v>
      </c>
      <c r="B151" s="292" t="s">
        <v>4760</v>
      </c>
      <c r="C151" s="402" t="s">
        <v>811</v>
      </c>
      <c r="D151" s="292" t="s">
        <v>160</v>
      </c>
      <c r="E151" s="292">
        <v>6.4820000000000002</v>
      </c>
      <c r="F151" s="292">
        <v>20</v>
      </c>
      <c r="G151" s="402" t="s">
        <v>4761</v>
      </c>
      <c r="H151" s="292"/>
      <c r="I151" s="245" t="s">
        <v>4496</v>
      </c>
      <c r="J151" s="292">
        <v>17486057</v>
      </c>
      <c r="K151" s="403">
        <v>45345</v>
      </c>
      <c r="L151" s="292"/>
      <c r="M151" s="292"/>
      <c r="N151" s="292"/>
      <c r="O151" s="292"/>
      <c r="P151" s="292" t="s">
        <v>4762</v>
      </c>
      <c r="Q151" s="292" t="s">
        <v>4763</v>
      </c>
      <c r="R151" s="292"/>
      <c r="S151" s="292"/>
      <c r="T151" s="292"/>
      <c r="U151" s="292">
        <v>0</v>
      </c>
      <c r="V151" s="292"/>
      <c r="W151" s="292">
        <v>6.4820000000000002</v>
      </c>
    </row>
    <row r="152" spans="1:23" ht="25.5" x14ac:dyDescent="0.25">
      <c r="A152" s="139">
        <v>89</v>
      </c>
      <c r="B152" s="292" t="s">
        <v>4764</v>
      </c>
      <c r="C152" s="402" t="s">
        <v>4765</v>
      </c>
      <c r="D152" s="292" t="s">
        <v>160</v>
      </c>
      <c r="E152" s="292">
        <v>4.2530000000000001</v>
      </c>
      <c r="F152" s="292">
        <v>20</v>
      </c>
      <c r="G152" s="402" t="s">
        <v>4766</v>
      </c>
      <c r="H152" s="292"/>
      <c r="I152" s="245" t="s">
        <v>4496</v>
      </c>
      <c r="J152" s="292">
        <v>12867727</v>
      </c>
      <c r="K152" s="403">
        <v>45355</v>
      </c>
      <c r="L152" s="292"/>
      <c r="M152" s="292"/>
      <c r="N152" s="292"/>
      <c r="O152" s="292"/>
      <c r="P152" s="292" t="s">
        <v>4767</v>
      </c>
      <c r="Q152" s="292" t="s">
        <v>4511</v>
      </c>
      <c r="R152" s="292"/>
      <c r="S152" s="292"/>
      <c r="T152" s="292"/>
      <c r="U152" s="292">
        <v>0</v>
      </c>
      <c r="V152" s="292"/>
      <c r="W152" s="292">
        <v>4.2530000000000001</v>
      </c>
    </row>
    <row r="153" spans="1:23" ht="25.5" x14ac:dyDescent="0.25">
      <c r="A153" s="139">
        <v>90</v>
      </c>
      <c r="B153" s="292" t="s">
        <v>4768</v>
      </c>
      <c r="C153" s="402" t="s">
        <v>4769</v>
      </c>
      <c r="D153" s="292" t="s">
        <v>156</v>
      </c>
      <c r="E153" s="292">
        <v>2.0783399999999999</v>
      </c>
      <c r="F153" s="292">
        <v>20</v>
      </c>
      <c r="G153" s="402" t="s">
        <v>3484</v>
      </c>
      <c r="H153" s="292"/>
      <c r="I153" s="245" t="s">
        <v>4496</v>
      </c>
      <c r="J153" s="292">
        <v>17257531</v>
      </c>
      <c r="K153" s="403">
        <v>45365</v>
      </c>
      <c r="L153" s="292"/>
      <c r="M153" s="292"/>
      <c r="N153" s="292"/>
      <c r="O153" s="292"/>
      <c r="P153" s="292"/>
      <c r="Q153" s="292"/>
      <c r="R153" s="292"/>
      <c r="S153" s="292"/>
      <c r="T153" s="292"/>
      <c r="U153" s="292">
        <v>0</v>
      </c>
      <c r="V153" s="292"/>
      <c r="W153" s="292">
        <v>2.0783399999999999</v>
      </c>
    </row>
    <row r="154" spans="1:23" ht="25.5" x14ac:dyDescent="0.25">
      <c r="A154" s="139">
        <v>91</v>
      </c>
      <c r="B154" s="292" t="s">
        <v>4770</v>
      </c>
      <c r="C154" s="402" t="s">
        <v>4771</v>
      </c>
      <c r="D154" s="292" t="s">
        <v>156</v>
      </c>
      <c r="E154" s="292">
        <v>45.594999999999999</v>
      </c>
      <c r="F154" s="292">
        <v>110</v>
      </c>
      <c r="G154" s="402" t="s">
        <v>4772</v>
      </c>
      <c r="H154" s="292"/>
      <c r="I154" s="245" t="s">
        <v>4496</v>
      </c>
      <c r="J154" s="292">
        <v>14527582</v>
      </c>
      <c r="K154" s="403">
        <v>45364</v>
      </c>
      <c r="L154" s="292"/>
      <c r="M154" s="292"/>
      <c r="N154" s="292"/>
      <c r="O154" s="292"/>
      <c r="P154" s="292" t="s">
        <v>4773</v>
      </c>
      <c r="Q154" s="292" t="s">
        <v>4511</v>
      </c>
      <c r="R154" s="292"/>
      <c r="S154" s="292"/>
      <c r="T154" s="292"/>
      <c r="U154" s="292">
        <v>0</v>
      </c>
      <c r="V154" s="292"/>
      <c r="W154" s="292">
        <v>45.594999999999999</v>
      </c>
    </row>
    <row r="155" spans="1:23" ht="25.5" x14ac:dyDescent="0.25">
      <c r="A155" s="139">
        <v>92</v>
      </c>
      <c r="B155" s="292" t="s">
        <v>4774</v>
      </c>
      <c r="C155" s="402" t="s">
        <v>4775</v>
      </c>
      <c r="D155" s="292" t="s">
        <v>152</v>
      </c>
      <c r="E155" s="292">
        <v>4.3250000000000002</v>
      </c>
      <c r="F155" s="292">
        <v>20</v>
      </c>
      <c r="G155" s="402" t="s">
        <v>4776</v>
      </c>
      <c r="H155" s="292"/>
      <c r="I155" s="245" t="s">
        <v>4496</v>
      </c>
      <c r="J155" s="292">
        <v>17397292</v>
      </c>
      <c r="K155" s="403">
        <v>45362</v>
      </c>
      <c r="L155" s="292">
        <v>17397292</v>
      </c>
      <c r="M155" s="765">
        <v>45380</v>
      </c>
      <c r="N155" s="292"/>
      <c r="O155" s="292"/>
      <c r="P155" s="292"/>
      <c r="Q155" s="292"/>
      <c r="R155" s="292"/>
      <c r="S155" s="292"/>
      <c r="T155" s="292"/>
      <c r="U155" s="292">
        <v>0</v>
      </c>
      <c r="V155" s="292"/>
      <c r="W155" s="292">
        <v>4.3250000000000002</v>
      </c>
    </row>
    <row r="156" spans="1:23" ht="25.5" x14ac:dyDescent="0.25">
      <c r="A156" s="139">
        <v>93</v>
      </c>
      <c r="B156" s="292" t="s">
        <v>4777</v>
      </c>
      <c r="C156" s="402" t="s">
        <v>4500</v>
      </c>
      <c r="D156" s="292" t="s">
        <v>160</v>
      </c>
      <c r="E156" s="292">
        <v>4.4390000000000001</v>
      </c>
      <c r="F156" s="292">
        <v>20</v>
      </c>
      <c r="G156" s="402" t="s">
        <v>4778</v>
      </c>
      <c r="H156" s="292"/>
      <c r="I156" s="245" t="s">
        <v>4496</v>
      </c>
      <c r="J156" s="292">
        <v>17882499</v>
      </c>
      <c r="K156" s="403">
        <v>45363</v>
      </c>
      <c r="L156" s="292"/>
      <c r="M156" s="292"/>
      <c r="N156" s="292"/>
      <c r="O156" s="292"/>
      <c r="P156" s="292"/>
      <c r="Q156" s="292"/>
      <c r="R156" s="292"/>
      <c r="S156" s="292"/>
      <c r="T156" s="292"/>
      <c r="U156" s="292">
        <v>0</v>
      </c>
      <c r="V156" s="292"/>
      <c r="W156" s="292">
        <v>4.4390000000000001</v>
      </c>
    </row>
    <row r="157" spans="1:23" ht="25.5" x14ac:dyDescent="0.25">
      <c r="A157" s="139">
        <v>94</v>
      </c>
      <c r="B157" s="292" t="s">
        <v>4779</v>
      </c>
      <c r="C157" s="402" t="s">
        <v>4780</v>
      </c>
      <c r="D157" s="292" t="s">
        <v>148</v>
      </c>
      <c r="E157" s="292">
        <v>43.494999999999997</v>
      </c>
      <c r="F157" s="292">
        <v>110</v>
      </c>
      <c r="G157" s="402" t="s">
        <v>4781</v>
      </c>
      <c r="H157" s="292"/>
      <c r="I157" s="245" t="s">
        <v>4496</v>
      </c>
      <c r="J157" s="292">
        <v>14467294</v>
      </c>
      <c r="K157" s="403">
        <v>45385</v>
      </c>
      <c r="L157" s="292"/>
      <c r="M157" s="292"/>
      <c r="N157" s="292"/>
      <c r="O157" s="292"/>
      <c r="P157" s="292" t="s">
        <v>4782</v>
      </c>
      <c r="Q157" s="292" t="s">
        <v>4511</v>
      </c>
      <c r="R157" s="292"/>
      <c r="S157" s="292"/>
      <c r="T157" s="292"/>
      <c r="U157" s="292">
        <v>0</v>
      </c>
      <c r="V157" s="292"/>
      <c r="W157" s="292">
        <v>43.494999999999997</v>
      </c>
    </row>
    <row r="158" spans="1:23" ht="25.5" x14ac:dyDescent="0.25">
      <c r="A158" s="139">
        <v>95</v>
      </c>
      <c r="B158" s="292" t="s">
        <v>5353</v>
      </c>
      <c r="C158" s="402" t="s">
        <v>951</v>
      </c>
      <c r="D158" s="292" t="s">
        <v>160</v>
      </c>
      <c r="E158" s="292">
        <v>47.085000000000001</v>
      </c>
      <c r="F158" s="292">
        <v>110</v>
      </c>
      <c r="G158" s="402" t="s">
        <v>5354</v>
      </c>
      <c r="H158" s="292"/>
      <c r="I158" s="245" t="s">
        <v>4496</v>
      </c>
      <c r="J158" s="292">
        <v>9757208</v>
      </c>
      <c r="K158" s="403">
        <v>45391</v>
      </c>
      <c r="L158" s="292"/>
      <c r="M158" s="292"/>
      <c r="N158" s="292"/>
      <c r="O158" s="292"/>
      <c r="P158" s="292"/>
      <c r="Q158" s="292"/>
      <c r="R158" s="292"/>
      <c r="S158" s="292"/>
      <c r="T158" s="292"/>
      <c r="U158" s="292">
        <v>0</v>
      </c>
      <c r="V158" s="292"/>
      <c r="W158" s="292">
        <v>47.085000000000001</v>
      </c>
    </row>
    <row r="159" spans="1:23" ht="25.5" x14ac:dyDescent="0.25">
      <c r="A159" s="139">
        <v>96</v>
      </c>
      <c r="B159" s="292" t="s">
        <v>5355</v>
      </c>
      <c r="C159" s="402" t="s">
        <v>951</v>
      </c>
      <c r="D159" s="292" t="s">
        <v>156</v>
      </c>
      <c r="E159" s="292">
        <v>2.3200599999999998</v>
      </c>
      <c r="F159" s="292">
        <v>20</v>
      </c>
      <c r="G159" s="402" t="s">
        <v>5356</v>
      </c>
      <c r="H159" s="292"/>
      <c r="I159" s="245" t="s">
        <v>4496</v>
      </c>
      <c r="J159" s="292">
        <v>9742566</v>
      </c>
      <c r="K159" s="403">
        <v>45399</v>
      </c>
      <c r="L159" s="292"/>
      <c r="M159" s="292"/>
      <c r="N159" s="292"/>
      <c r="O159" s="292"/>
      <c r="P159" s="292" t="s">
        <v>5357</v>
      </c>
      <c r="Q159" s="292" t="s">
        <v>4511</v>
      </c>
      <c r="R159" s="292"/>
      <c r="S159" s="292"/>
      <c r="T159" s="292"/>
      <c r="U159" s="292">
        <v>0</v>
      </c>
      <c r="V159" s="292"/>
      <c r="W159" s="292">
        <v>2.3200599999999998</v>
      </c>
    </row>
    <row r="160" spans="1:23" ht="25.5" x14ac:dyDescent="0.25">
      <c r="A160" s="139">
        <v>97</v>
      </c>
      <c r="B160" s="292" t="s">
        <v>5358</v>
      </c>
      <c r="C160" s="402" t="s">
        <v>5359</v>
      </c>
      <c r="D160" s="292" t="s">
        <v>160</v>
      </c>
      <c r="E160" s="292">
        <v>1.01268</v>
      </c>
      <c r="F160" s="292">
        <v>20</v>
      </c>
      <c r="G160" s="402" t="s">
        <v>5360</v>
      </c>
      <c r="H160" s="292"/>
      <c r="I160" s="245" t="s">
        <v>4496</v>
      </c>
      <c r="J160" s="292">
        <v>19085391</v>
      </c>
      <c r="K160" s="403">
        <v>45412</v>
      </c>
      <c r="L160" s="292"/>
      <c r="M160" s="292"/>
      <c r="N160" s="292"/>
      <c r="O160" s="292"/>
      <c r="P160" s="292" t="s">
        <v>5361</v>
      </c>
      <c r="Q160" s="292" t="s">
        <v>4511</v>
      </c>
      <c r="R160" s="292"/>
      <c r="S160" s="292"/>
      <c r="T160" s="292"/>
      <c r="U160" s="292">
        <v>0</v>
      </c>
      <c r="V160" s="292"/>
      <c r="W160" s="292">
        <v>1.01268</v>
      </c>
    </row>
    <row r="161" spans="1:23" ht="25.5" x14ac:dyDescent="0.25">
      <c r="A161" s="139">
        <v>98</v>
      </c>
      <c r="B161" s="292" t="s">
        <v>5362</v>
      </c>
      <c r="C161" s="402" t="s">
        <v>811</v>
      </c>
      <c r="D161" s="292" t="s">
        <v>160</v>
      </c>
      <c r="E161" s="292">
        <v>1.28485</v>
      </c>
      <c r="F161" s="292">
        <v>20</v>
      </c>
      <c r="G161" s="402" t="s">
        <v>5363</v>
      </c>
      <c r="H161" s="292"/>
      <c r="I161" s="245" t="s">
        <v>4496</v>
      </c>
      <c r="J161" s="292">
        <v>14559081</v>
      </c>
      <c r="K161" s="403">
        <v>45412</v>
      </c>
      <c r="L161" s="292"/>
      <c r="M161" s="292"/>
      <c r="N161" s="292"/>
      <c r="O161" s="292"/>
      <c r="P161" s="292"/>
      <c r="Q161" s="292"/>
      <c r="R161" s="292"/>
      <c r="S161" s="292"/>
      <c r="T161" s="292"/>
      <c r="U161" s="292">
        <v>0</v>
      </c>
      <c r="V161" s="292"/>
      <c r="W161" s="292">
        <v>1.28485</v>
      </c>
    </row>
    <row r="162" spans="1:23" ht="25.5" x14ac:dyDescent="0.25">
      <c r="A162" s="139">
        <v>99</v>
      </c>
      <c r="B162" s="292" t="s">
        <v>5364</v>
      </c>
      <c r="C162" s="402" t="s">
        <v>5365</v>
      </c>
      <c r="D162" s="292" t="s">
        <v>152</v>
      </c>
      <c r="E162" s="292">
        <v>40.04</v>
      </c>
      <c r="F162" s="292">
        <v>110</v>
      </c>
      <c r="G162" s="402" t="s">
        <v>5366</v>
      </c>
      <c r="H162" s="292"/>
      <c r="I162" s="245" t="s">
        <v>4496</v>
      </c>
      <c r="J162" s="292">
        <v>11228313</v>
      </c>
      <c r="K162" s="403">
        <v>45414</v>
      </c>
      <c r="L162" s="292"/>
      <c r="M162" s="292"/>
      <c r="N162" s="292"/>
      <c r="O162" s="292"/>
      <c r="P162" s="292"/>
      <c r="Q162" s="292"/>
      <c r="R162" s="292"/>
      <c r="S162" s="292"/>
      <c r="T162" s="292"/>
      <c r="U162" s="292">
        <v>0</v>
      </c>
      <c r="V162" s="292"/>
      <c r="W162" s="292">
        <v>40.04</v>
      </c>
    </row>
    <row r="163" spans="1:23" ht="25.5" x14ac:dyDescent="0.25">
      <c r="A163" s="139">
        <v>100</v>
      </c>
      <c r="B163" s="292" t="s">
        <v>5367</v>
      </c>
      <c r="C163" s="402" t="s">
        <v>5368</v>
      </c>
      <c r="D163" s="292" t="s">
        <v>152</v>
      </c>
      <c r="E163" s="292">
        <v>37.07</v>
      </c>
      <c r="F163" s="292">
        <v>110</v>
      </c>
      <c r="G163" s="402" t="s">
        <v>5366</v>
      </c>
      <c r="H163" s="292"/>
      <c r="I163" s="245" t="s">
        <v>4496</v>
      </c>
      <c r="J163" s="292">
        <v>11442770</v>
      </c>
      <c r="K163" s="403">
        <v>45414</v>
      </c>
      <c r="L163" s="292"/>
      <c r="M163" s="292"/>
      <c r="N163" s="292"/>
      <c r="O163" s="292"/>
      <c r="P163" s="292"/>
      <c r="Q163" s="292"/>
      <c r="R163" s="292"/>
      <c r="S163" s="292"/>
      <c r="T163" s="292"/>
      <c r="U163" s="292">
        <v>0</v>
      </c>
      <c r="V163" s="292"/>
      <c r="W163" s="292">
        <v>37.07</v>
      </c>
    </row>
    <row r="164" spans="1:23" ht="25.5" x14ac:dyDescent="0.25">
      <c r="A164" s="139">
        <v>101</v>
      </c>
      <c r="B164" s="292" t="s">
        <v>5369</v>
      </c>
      <c r="C164" s="402" t="s">
        <v>583</v>
      </c>
      <c r="D164" s="292" t="s">
        <v>160</v>
      </c>
      <c r="E164" s="292">
        <v>22.625</v>
      </c>
      <c r="F164" s="292">
        <v>110</v>
      </c>
      <c r="G164" s="402" t="s">
        <v>1897</v>
      </c>
      <c r="H164" s="292"/>
      <c r="I164" s="245" t="s">
        <v>4496</v>
      </c>
      <c r="J164" s="292">
        <v>15142056</v>
      </c>
      <c r="K164" s="403">
        <v>45414</v>
      </c>
      <c r="L164" s="292"/>
      <c r="M164" s="292"/>
      <c r="N164" s="292"/>
      <c r="O164" s="292"/>
      <c r="P164" s="292"/>
      <c r="Q164" s="292"/>
      <c r="R164" s="292"/>
      <c r="S164" s="292"/>
      <c r="T164" s="292"/>
      <c r="U164" s="292">
        <v>0</v>
      </c>
      <c r="V164" s="292"/>
      <c r="W164" s="292">
        <v>22.625</v>
      </c>
    </row>
    <row r="165" spans="1:23" ht="25.5" x14ac:dyDescent="0.25">
      <c r="A165" s="139">
        <v>102</v>
      </c>
      <c r="B165" s="292" t="s">
        <v>5370</v>
      </c>
      <c r="C165" s="402" t="s">
        <v>5371</v>
      </c>
      <c r="D165" s="292" t="s">
        <v>156</v>
      </c>
      <c r="E165" s="292">
        <v>2.3660000000000001</v>
      </c>
      <c r="F165" s="292">
        <v>20</v>
      </c>
      <c r="G165" s="402" t="s">
        <v>5372</v>
      </c>
      <c r="H165" s="292"/>
      <c r="I165" s="245" t="s">
        <v>4496</v>
      </c>
      <c r="J165" s="292">
        <v>17695531</v>
      </c>
      <c r="K165" s="403">
        <v>45420</v>
      </c>
      <c r="L165" s="292"/>
      <c r="M165" s="292"/>
      <c r="N165" s="292"/>
      <c r="O165" s="292"/>
      <c r="P165" s="292"/>
      <c r="Q165" s="292"/>
      <c r="R165" s="292"/>
      <c r="S165" s="292"/>
      <c r="T165" s="292"/>
      <c r="U165" s="292">
        <v>0</v>
      </c>
      <c r="V165" s="292"/>
      <c r="W165" s="292">
        <v>2.3660000000000001</v>
      </c>
    </row>
    <row r="166" spans="1:23" ht="25.5" x14ac:dyDescent="0.25">
      <c r="A166" s="139">
        <v>103</v>
      </c>
      <c r="B166" s="292" t="s">
        <v>3570</v>
      </c>
      <c r="C166" s="402" t="s">
        <v>5373</v>
      </c>
      <c r="D166" s="292" t="s">
        <v>156</v>
      </c>
      <c r="E166" s="292">
        <v>48.96</v>
      </c>
      <c r="F166" s="292">
        <v>110</v>
      </c>
      <c r="G166" s="402" t="s">
        <v>5374</v>
      </c>
      <c r="H166" s="292"/>
      <c r="I166" s="245" t="s">
        <v>4496</v>
      </c>
      <c r="J166" s="292">
        <v>12794472</v>
      </c>
      <c r="K166" s="403">
        <v>45420</v>
      </c>
      <c r="L166" s="292"/>
      <c r="M166" s="292"/>
      <c r="N166" s="292"/>
      <c r="O166" s="292"/>
      <c r="P166" s="292" t="s">
        <v>5375</v>
      </c>
      <c r="Q166" s="292" t="s">
        <v>4511</v>
      </c>
      <c r="R166" s="292"/>
      <c r="S166" s="292"/>
      <c r="T166" s="292"/>
      <c r="U166" s="292">
        <v>0</v>
      </c>
      <c r="V166" s="292"/>
      <c r="W166" s="292">
        <v>48.96</v>
      </c>
    </row>
    <row r="167" spans="1:23" ht="25.5" x14ac:dyDescent="0.25">
      <c r="A167" s="139">
        <v>104</v>
      </c>
      <c r="B167" s="292" t="s">
        <v>5376</v>
      </c>
      <c r="C167" s="402" t="s">
        <v>5377</v>
      </c>
      <c r="D167" s="292" t="s">
        <v>160</v>
      </c>
      <c r="E167" s="292">
        <v>2.6579999999999999</v>
      </c>
      <c r="F167" s="292">
        <v>20</v>
      </c>
      <c r="G167" s="402" t="s">
        <v>5378</v>
      </c>
      <c r="H167" s="292"/>
      <c r="I167" s="245" t="s">
        <v>4496</v>
      </c>
      <c r="J167" s="292">
        <v>18099170</v>
      </c>
      <c r="K167" s="403">
        <v>45425</v>
      </c>
      <c r="L167" s="292"/>
      <c r="M167" s="292"/>
      <c r="N167" s="292"/>
      <c r="O167" s="292"/>
      <c r="P167" s="292" t="s">
        <v>5379</v>
      </c>
      <c r="Q167" s="292" t="s">
        <v>4511</v>
      </c>
      <c r="R167" s="292"/>
      <c r="S167" s="292"/>
      <c r="T167" s="292"/>
      <c r="U167" s="292">
        <v>0</v>
      </c>
      <c r="V167" s="292"/>
      <c r="W167" s="292">
        <v>2.6579999999999999</v>
      </c>
    </row>
    <row r="168" spans="1:23" ht="25.5" x14ac:dyDescent="0.25">
      <c r="A168" s="139">
        <v>105</v>
      </c>
      <c r="B168" s="292" t="s">
        <v>5380</v>
      </c>
      <c r="C168" s="402" t="s">
        <v>5381</v>
      </c>
      <c r="D168" s="292" t="s">
        <v>152</v>
      </c>
      <c r="E168" s="292">
        <v>4.92842</v>
      </c>
      <c r="F168" s="292">
        <v>20</v>
      </c>
      <c r="G168" s="402" t="s">
        <v>4495</v>
      </c>
      <c r="H168" s="292"/>
      <c r="I168" s="245" t="s">
        <v>4496</v>
      </c>
      <c r="J168" s="292">
        <v>18780877</v>
      </c>
      <c r="K168" s="403">
        <v>45432</v>
      </c>
      <c r="L168" s="292"/>
      <c r="M168" s="292"/>
      <c r="N168" s="292"/>
      <c r="O168" s="292"/>
      <c r="P168" s="292"/>
      <c r="Q168" s="292"/>
      <c r="R168" s="292"/>
      <c r="S168" s="292"/>
      <c r="T168" s="292"/>
      <c r="U168" s="292">
        <v>0</v>
      </c>
      <c r="V168" s="292"/>
      <c r="W168" s="292">
        <v>4.92842</v>
      </c>
    </row>
    <row r="169" spans="1:23" ht="25.5" x14ac:dyDescent="0.25">
      <c r="A169" s="139">
        <v>106</v>
      </c>
      <c r="B169" s="292" t="s">
        <v>5382</v>
      </c>
      <c r="C169" s="402" t="s">
        <v>5383</v>
      </c>
      <c r="D169" s="292" t="s">
        <v>160</v>
      </c>
      <c r="E169" s="292">
        <v>4.4999399999999996</v>
      </c>
      <c r="F169" s="292">
        <v>20</v>
      </c>
      <c r="G169" s="402" t="s">
        <v>5384</v>
      </c>
      <c r="H169" s="292"/>
      <c r="I169" s="245" t="s">
        <v>4496</v>
      </c>
      <c r="J169" s="292">
        <v>9989447</v>
      </c>
      <c r="K169" s="403">
        <v>45435</v>
      </c>
      <c r="L169" s="292"/>
      <c r="M169" s="292"/>
      <c r="N169" s="292"/>
      <c r="O169" s="292"/>
      <c r="P169" s="292" t="s">
        <v>5385</v>
      </c>
      <c r="Q169" s="292" t="s">
        <v>4511</v>
      </c>
      <c r="R169" s="292"/>
      <c r="S169" s="292"/>
      <c r="T169" s="292"/>
      <c r="U169" s="292">
        <v>0</v>
      </c>
      <c r="V169" s="292"/>
      <c r="W169" s="292">
        <v>4.4999399999999996</v>
      </c>
    </row>
    <row r="170" spans="1:23" ht="25.5" x14ac:dyDescent="0.25">
      <c r="A170" s="139">
        <v>107</v>
      </c>
      <c r="B170" s="292" t="s">
        <v>5386</v>
      </c>
      <c r="C170" s="402" t="s">
        <v>5387</v>
      </c>
      <c r="D170" s="292" t="s">
        <v>160</v>
      </c>
      <c r="E170" s="292">
        <v>4.1942500000000003</v>
      </c>
      <c r="F170" s="292">
        <v>20</v>
      </c>
      <c r="G170" s="402" t="s">
        <v>1375</v>
      </c>
      <c r="H170" s="292"/>
      <c r="I170" s="245" t="s">
        <v>4496</v>
      </c>
      <c r="J170" s="292">
        <v>10240566</v>
      </c>
      <c r="K170" s="403">
        <v>45432</v>
      </c>
      <c r="L170" s="292"/>
      <c r="M170" s="292"/>
      <c r="N170" s="292"/>
      <c r="O170" s="292"/>
      <c r="P170" s="292" t="s">
        <v>5388</v>
      </c>
      <c r="Q170" s="292" t="s">
        <v>4511</v>
      </c>
      <c r="R170" s="292"/>
      <c r="S170" s="292"/>
      <c r="T170" s="292"/>
      <c r="U170" s="292">
        <v>0</v>
      </c>
      <c r="V170" s="292"/>
      <c r="W170" s="292">
        <v>4.1942500000000003</v>
      </c>
    </row>
    <row r="171" spans="1:23" ht="25.5" x14ac:dyDescent="0.25">
      <c r="A171" s="139">
        <v>108</v>
      </c>
      <c r="B171" s="292" t="s">
        <v>5389</v>
      </c>
      <c r="C171" s="402" t="s">
        <v>903</v>
      </c>
      <c r="D171" s="292" t="s">
        <v>160</v>
      </c>
      <c r="E171" s="292">
        <v>2.7648999999999999</v>
      </c>
      <c r="F171" s="292">
        <v>20</v>
      </c>
      <c r="G171" s="402" t="s">
        <v>5390</v>
      </c>
      <c r="H171" s="292"/>
      <c r="I171" s="245" t="s">
        <v>4496</v>
      </c>
      <c r="J171" s="292">
        <v>17489985</v>
      </c>
      <c r="K171" s="403">
        <v>45454</v>
      </c>
      <c r="L171" s="292"/>
      <c r="M171" s="292"/>
      <c r="N171" s="292"/>
      <c r="O171" s="292"/>
      <c r="P171" s="292"/>
      <c r="Q171" s="292"/>
      <c r="R171" s="292"/>
      <c r="S171" s="292"/>
      <c r="T171" s="292"/>
      <c r="U171" s="292">
        <v>0</v>
      </c>
      <c r="V171" s="292"/>
      <c r="W171" s="292">
        <v>2.7648999999999999</v>
      </c>
    </row>
    <row r="172" spans="1:23" ht="25.5" x14ac:dyDescent="0.25">
      <c r="A172" s="139">
        <v>109</v>
      </c>
      <c r="B172" s="292" t="s">
        <v>5391</v>
      </c>
      <c r="C172" s="402" t="s">
        <v>155</v>
      </c>
      <c r="D172" s="292" t="s">
        <v>156</v>
      </c>
      <c r="E172" s="292">
        <v>4.4450000000000003</v>
      </c>
      <c r="F172" s="292">
        <v>20</v>
      </c>
      <c r="G172" s="402" t="s">
        <v>5392</v>
      </c>
      <c r="H172" s="292"/>
      <c r="I172" s="245" t="s">
        <v>4496</v>
      </c>
      <c r="J172" s="292">
        <v>18013603</v>
      </c>
      <c r="K172" s="403">
        <v>45439</v>
      </c>
      <c r="L172" s="292"/>
      <c r="M172" s="292"/>
      <c r="N172" s="292"/>
      <c r="O172" s="292"/>
      <c r="P172" s="292" t="s">
        <v>5393</v>
      </c>
      <c r="Q172" s="292" t="s">
        <v>4511</v>
      </c>
      <c r="R172" s="292"/>
      <c r="S172" s="292"/>
      <c r="T172" s="292"/>
      <c r="U172" s="292">
        <v>0</v>
      </c>
      <c r="V172" s="292"/>
      <c r="W172" s="292">
        <v>4.4450000000000003</v>
      </c>
    </row>
    <row r="173" spans="1:23" ht="25.5" x14ac:dyDescent="0.25">
      <c r="A173" s="139">
        <v>110</v>
      </c>
      <c r="B173" s="292" t="s">
        <v>5394</v>
      </c>
      <c r="C173" s="402" t="s">
        <v>5395</v>
      </c>
      <c r="D173" s="292" t="s">
        <v>156</v>
      </c>
      <c r="E173" s="292">
        <v>79.400000000000006</v>
      </c>
      <c r="F173" s="292">
        <v>110</v>
      </c>
      <c r="G173" s="402" t="s">
        <v>5396</v>
      </c>
      <c r="H173" s="292"/>
      <c r="I173" s="245" t="s">
        <v>4496</v>
      </c>
      <c r="J173" s="292">
        <v>19953545</v>
      </c>
      <c r="K173" s="403">
        <v>45447</v>
      </c>
      <c r="L173" s="292"/>
      <c r="M173" s="292"/>
      <c r="N173" s="292"/>
      <c r="O173" s="292"/>
      <c r="P173" s="292" t="s">
        <v>5397</v>
      </c>
      <c r="Q173" s="292" t="s">
        <v>4511</v>
      </c>
      <c r="R173" s="292"/>
      <c r="S173" s="292"/>
      <c r="T173" s="292"/>
      <c r="U173" s="292">
        <v>0</v>
      </c>
      <c r="V173" s="292"/>
      <c r="W173" s="292">
        <v>79.400000000000006</v>
      </c>
    </row>
    <row r="174" spans="1:23" ht="25.5" x14ac:dyDescent="0.25">
      <c r="A174" s="139">
        <v>111</v>
      </c>
      <c r="B174" s="292" t="s">
        <v>5394</v>
      </c>
      <c r="C174" s="402" t="s">
        <v>5398</v>
      </c>
      <c r="D174" s="292" t="s">
        <v>156</v>
      </c>
      <c r="E174" s="292">
        <v>32</v>
      </c>
      <c r="F174" s="292">
        <v>110</v>
      </c>
      <c r="G174" s="402" t="s">
        <v>5399</v>
      </c>
      <c r="H174" s="292"/>
      <c r="I174" s="245" t="s">
        <v>4496</v>
      </c>
      <c r="J174" s="292">
        <v>19954084</v>
      </c>
      <c r="K174" s="403">
        <v>45447</v>
      </c>
      <c r="L174" s="292"/>
      <c r="M174" s="292"/>
      <c r="N174" s="292"/>
      <c r="O174" s="292"/>
      <c r="P174" s="292" t="s">
        <v>5400</v>
      </c>
      <c r="Q174" s="292" t="s">
        <v>4511</v>
      </c>
      <c r="R174" s="292"/>
      <c r="S174" s="292"/>
      <c r="T174" s="292"/>
      <c r="U174" s="292">
        <v>0</v>
      </c>
      <c r="V174" s="292"/>
      <c r="W174" s="292">
        <v>32</v>
      </c>
    </row>
    <row r="175" spans="1:23" ht="25.5" x14ac:dyDescent="0.25">
      <c r="A175" s="139">
        <v>112</v>
      </c>
      <c r="B175" s="292" t="s">
        <v>5401</v>
      </c>
      <c r="C175" s="402" t="s">
        <v>5402</v>
      </c>
      <c r="D175" s="292" t="s">
        <v>152</v>
      </c>
      <c r="E175" s="292">
        <v>53.536000000000001</v>
      </c>
      <c r="F175" s="292">
        <v>110</v>
      </c>
      <c r="G175" s="402" t="s">
        <v>5403</v>
      </c>
      <c r="H175" s="292"/>
      <c r="I175" s="245" t="s">
        <v>4496</v>
      </c>
      <c r="J175" s="292">
        <v>20315387</v>
      </c>
      <c r="K175" s="403">
        <v>45463</v>
      </c>
      <c r="L175" s="292"/>
      <c r="M175" s="292"/>
      <c r="N175" s="292"/>
      <c r="O175" s="292"/>
      <c r="P175" s="292"/>
      <c r="Q175" s="292"/>
      <c r="R175" s="292"/>
      <c r="S175" s="292"/>
      <c r="T175" s="292"/>
      <c r="U175" s="292">
        <v>0</v>
      </c>
      <c r="V175" s="292"/>
      <c r="W175" s="292">
        <v>53.536000000000001</v>
      </c>
    </row>
    <row r="176" spans="1:23" ht="25.5" x14ac:dyDescent="0.25">
      <c r="A176" s="139">
        <v>113</v>
      </c>
      <c r="B176" s="292" t="s">
        <v>5404</v>
      </c>
      <c r="C176" s="402" t="s">
        <v>5405</v>
      </c>
      <c r="D176" s="292" t="s">
        <v>160</v>
      </c>
      <c r="E176" s="292">
        <v>3.6524999999999999</v>
      </c>
      <c r="F176" s="292">
        <v>20</v>
      </c>
      <c r="G176" s="402" t="s">
        <v>4761</v>
      </c>
      <c r="H176" s="292"/>
      <c r="I176" s="245" t="s">
        <v>4496</v>
      </c>
      <c r="J176" s="292">
        <v>16243666</v>
      </c>
      <c r="K176" s="403">
        <v>45457</v>
      </c>
      <c r="L176" s="292"/>
      <c r="M176" s="292"/>
      <c r="N176" s="292"/>
      <c r="O176" s="292"/>
      <c r="P176" s="292" t="s">
        <v>5406</v>
      </c>
      <c r="Q176" s="292" t="s">
        <v>4511</v>
      </c>
      <c r="R176" s="292"/>
      <c r="S176" s="292"/>
      <c r="T176" s="292"/>
      <c r="U176" s="292">
        <v>0</v>
      </c>
      <c r="V176" s="292"/>
      <c r="W176" s="292">
        <v>3.6524999999999999</v>
      </c>
    </row>
    <row r="177" spans="1:23" ht="25.5" x14ac:dyDescent="0.25">
      <c r="A177" s="139">
        <v>114</v>
      </c>
      <c r="B177" s="292" t="s">
        <v>5407</v>
      </c>
      <c r="C177" s="402" t="s">
        <v>579</v>
      </c>
      <c r="D177" s="292" t="s">
        <v>160</v>
      </c>
      <c r="E177" s="292">
        <v>2.97</v>
      </c>
      <c r="F177" s="292">
        <v>20</v>
      </c>
      <c r="G177" s="402" t="s">
        <v>5408</v>
      </c>
      <c r="H177" s="292"/>
      <c r="I177" s="245" t="s">
        <v>4496</v>
      </c>
      <c r="J177" s="292">
        <v>16178922</v>
      </c>
      <c r="K177" s="403">
        <v>45449</v>
      </c>
      <c r="L177" s="292"/>
      <c r="M177" s="292"/>
      <c r="N177" s="292"/>
      <c r="O177" s="292"/>
      <c r="P177" s="292"/>
      <c r="Q177" s="292"/>
      <c r="R177" s="292"/>
      <c r="S177" s="292"/>
      <c r="T177" s="292"/>
      <c r="U177" s="292">
        <v>0</v>
      </c>
      <c r="V177" s="292"/>
      <c r="W177" s="292">
        <v>2.97</v>
      </c>
    </row>
    <row r="178" spans="1:23" ht="25.5" x14ac:dyDescent="0.25">
      <c r="A178" s="139">
        <v>115</v>
      </c>
      <c r="B178" s="292" t="s">
        <v>5409</v>
      </c>
      <c r="C178" s="402" t="s">
        <v>5410</v>
      </c>
      <c r="D178" s="292" t="s">
        <v>148</v>
      </c>
      <c r="E178" s="292">
        <v>5.92</v>
      </c>
      <c r="F178" s="292">
        <v>20</v>
      </c>
      <c r="G178" s="402" t="s">
        <v>2485</v>
      </c>
      <c r="H178" s="292"/>
      <c r="I178" s="245" t="s">
        <v>4496</v>
      </c>
      <c r="J178" s="292">
        <v>17686711</v>
      </c>
      <c r="K178" s="403">
        <v>45436</v>
      </c>
      <c r="L178" s="292"/>
      <c r="M178" s="292"/>
      <c r="N178" s="292"/>
      <c r="O178" s="292"/>
      <c r="P178" s="292" t="s">
        <v>5411</v>
      </c>
      <c r="Q178" s="292" t="s">
        <v>4511</v>
      </c>
      <c r="R178" s="292"/>
      <c r="S178" s="292"/>
      <c r="T178" s="292"/>
      <c r="U178" s="292">
        <v>0</v>
      </c>
      <c r="V178" s="292"/>
      <c r="W178" s="292">
        <v>5.92</v>
      </c>
    </row>
    <row r="179" spans="1:23" ht="25.5" x14ac:dyDescent="0.25">
      <c r="A179" s="139">
        <v>116</v>
      </c>
      <c r="B179" s="292" t="s">
        <v>5412</v>
      </c>
      <c r="C179" s="402" t="s">
        <v>5413</v>
      </c>
      <c r="D179" s="292" t="s">
        <v>160</v>
      </c>
      <c r="E179" s="292">
        <v>2.9550000000000001</v>
      </c>
      <c r="F179" s="292">
        <v>20</v>
      </c>
      <c r="G179" s="402" t="s">
        <v>2216</v>
      </c>
      <c r="H179" s="292"/>
      <c r="I179" s="245" t="s">
        <v>4496</v>
      </c>
      <c r="J179" s="292">
        <v>12540784</v>
      </c>
      <c r="K179" s="403">
        <v>45469</v>
      </c>
      <c r="L179" s="292"/>
      <c r="M179" s="292"/>
      <c r="N179" s="292"/>
      <c r="O179" s="292"/>
      <c r="P179" s="292" t="s">
        <v>5414</v>
      </c>
      <c r="Q179" s="292" t="s">
        <v>4511</v>
      </c>
      <c r="R179" s="292"/>
      <c r="S179" s="292"/>
      <c r="T179" s="292"/>
      <c r="U179" s="292">
        <v>0</v>
      </c>
      <c r="V179" s="292"/>
      <c r="W179" s="292">
        <v>2.9550000000000001</v>
      </c>
    </row>
    <row r="180" spans="1:23" ht="25.5" x14ac:dyDescent="0.25">
      <c r="A180" s="139">
        <v>117</v>
      </c>
      <c r="B180" s="292" t="s">
        <v>5415</v>
      </c>
      <c r="C180" s="402" t="s">
        <v>5416</v>
      </c>
      <c r="D180" s="292" t="s">
        <v>152</v>
      </c>
      <c r="E180" s="292">
        <v>1.2769999999999999</v>
      </c>
      <c r="F180" s="292">
        <v>20</v>
      </c>
      <c r="G180" s="402" t="s">
        <v>5417</v>
      </c>
      <c r="H180" s="292"/>
      <c r="I180" s="245" t="s">
        <v>4496</v>
      </c>
      <c r="J180" s="292">
        <v>15568566</v>
      </c>
      <c r="K180" s="403">
        <v>45483</v>
      </c>
      <c r="L180" s="292"/>
      <c r="M180" s="292"/>
      <c r="N180" s="292"/>
      <c r="O180" s="292"/>
      <c r="P180" s="292"/>
      <c r="Q180" s="292"/>
      <c r="R180" s="292"/>
      <c r="S180" s="292"/>
      <c r="T180" s="292"/>
      <c r="U180" s="292">
        <v>0</v>
      </c>
      <c r="V180" s="292"/>
      <c r="W180" s="292">
        <v>1.2769999999999999</v>
      </c>
    </row>
    <row r="181" spans="1:23" ht="25.5" x14ac:dyDescent="0.25">
      <c r="A181" s="139">
        <v>118</v>
      </c>
      <c r="B181" s="292" t="s">
        <v>5418</v>
      </c>
      <c r="C181" s="402" t="s">
        <v>5419</v>
      </c>
      <c r="D181" s="292" t="s">
        <v>152</v>
      </c>
      <c r="E181" s="292">
        <v>2.1800000000000002</v>
      </c>
      <c r="F181" s="292">
        <v>20</v>
      </c>
      <c r="G181" s="402" t="s">
        <v>5420</v>
      </c>
      <c r="H181" s="292"/>
      <c r="I181" s="245" t="s">
        <v>4496</v>
      </c>
      <c r="J181" s="292">
        <v>12820130</v>
      </c>
      <c r="K181" s="403">
        <v>45478</v>
      </c>
      <c r="L181" s="292"/>
      <c r="M181" s="292"/>
      <c r="N181" s="292"/>
      <c r="O181" s="292"/>
      <c r="P181" s="292"/>
      <c r="Q181" s="292"/>
      <c r="R181" s="292"/>
      <c r="S181" s="292"/>
      <c r="T181" s="292"/>
      <c r="U181" s="292">
        <v>0</v>
      </c>
      <c r="V181" s="292"/>
      <c r="W181" s="292">
        <v>2.1800000000000002</v>
      </c>
    </row>
    <row r="182" spans="1:23" ht="25.5" x14ac:dyDescent="0.25">
      <c r="A182" s="139">
        <v>119</v>
      </c>
      <c r="B182" s="292" t="s">
        <v>5421</v>
      </c>
      <c r="C182" s="402" t="s">
        <v>5422</v>
      </c>
      <c r="D182" s="292" t="s">
        <v>160</v>
      </c>
      <c r="E182" s="292">
        <v>3.944</v>
      </c>
      <c r="F182" s="292">
        <v>20</v>
      </c>
      <c r="G182" s="402" t="s">
        <v>5423</v>
      </c>
      <c r="H182" s="292"/>
      <c r="I182" s="245" t="s">
        <v>4496</v>
      </c>
      <c r="J182" s="292">
        <v>18121121</v>
      </c>
      <c r="K182" s="403">
        <v>45474</v>
      </c>
      <c r="L182" s="292"/>
      <c r="M182" s="292"/>
      <c r="N182" s="292"/>
      <c r="O182" s="292"/>
      <c r="P182" s="292"/>
      <c r="Q182" s="292"/>
      <c r="R182" s="292"/>
      <c r="S182" s="292"/>
      <c r="T182" s="292"/>
      <c r="U182" s="292">
        <v>0</v>
      </c>
      <c r="V182" s="292"/>
      <c r="W182" s="292">
        <v>3.944</v>
      </c>
    </row>
    <row r="183" spans="1:23" ht="25.5" x14ac:dyDescent="0.25">
      <c r="A183" s="139">
        <v>120</v>
      </c>
      <c r="B183" s="292" t="s">
        <v>5424</v>
      </c>
      <c r="C183" s="402" t="s">
        <v>951</v>
      </c>
      <c r="D183" s="292" t="s">
        <v>156</v>
      </c>
      <c r="E183" s="292">
        <v>1.752</v>
      </c>
      <c r="F183" s="292">
        <v>20</v>
      </c>
      <c r="G183" s="402" t="s">
        <v>5425</v>
      </c>
      <c r="H183" s="292"/>
      <c r="I183" s="245" t="s">
        <v>4496</v>
      </c>
      <c r="J183" s="292">
        <v>16144631</v>
      </c>
      <c r="K183" s="403">
        <v>45496</v>
      </c>
      <c r="L183" s="292"/>
      <c r="M183" s="292"/>
      <c r="N183" s="292"/>
      <c r="O183" s="292"/>
      <c r="P183" s="292"/>
      <c r="Q183" s="292"/>
      <c r="R183" s="292"/>
      <c r="S183" s="292"/>
      <c r="T183" s="292"/>
      <c r="U183" s="292">
        <v>0</v>
      </c>
      <c r="V183" s="292"/>
      <c r="W183" s="292">
        <v>1.752</v>
      </c>
    </row>
    <row r="184" spans="1:23" ht="25.5" x14ac:dyDescent="0.25">
      <c r="A184" s="139">
        <v>121</v>
      </c>
      <c r="B184" s="292" t="s">
        <v>5621</v>
      </c>
      <c r="C184" s="402" t="s">
        <v>5622</v>
      </c>
      <c r="D184" s="292" t="s">
        <v>160</v>
      </c>
      <c r="E184" s="292">
        <v>2.06</v>
      </c>
      <c r="F184" s="292">
        <v>20</v>
      </c>
      <c r="G184" s="402" t="s">
        <v>5623</v>
      </c>
      <c r="H184" s="292"/>
      <c r="I184" s="245" t="s">
        <v>4496</v>
      </c>
      <c r="J184" s="292">
        <v>16075246</v>
      </c>
      <c r="K184" s="403">
        <v>45520</v>
      </c>
      <c r="L184" s="292"/>
      <c r="M184" s="292"/>
      <c r="N184" s="292"/>
      <c r="O184" s="292"/>
      <c r="P184" s="292" t="s">
        <v>5624</v>
      </c>
      <c r="Q184" s="292" t="s">
        <v>4511</v>
      </c>
      <c r="R184" s="292"/>
      <c r="S184" s="292"/>
      <c r="T184" s="292"/>
      <c r="U184" s="292">
        <v>0</v>
      </c>
      <c r="V184" s="292"/>
      <c r="W184" s="292">
        <v>2.06</v>
      </c>
    </row>
    <row r="185" spans="1:23" ht="25.5" x14ac:dyDescent="0.25">
      <c r="A185" s="139">
        <v>122</v>
      </c>
      <c r="B185" s="292" t="s">
        <v>5625</v>
      </c>
      <c r="C185" s="402" t="s">
        <v>5626</v>
      </c>
      <c r="D185" s="292" t="s">
        <v>152</v>
      </c>
      <c r="E185" s="292">
        <v>41.963999999999999</v>
      </c>
      <c r="F185" s="292">
        <v>110</v>
      </c>
      <c r="G185" s="402" t="s">
        <v>5627</v>
      </c>
      <c r="H185" s="292"/>
      <c r="I185" s="245" t="s">
        <v>4496</v>
      </c>
      <c r="J185" s="292">
        <v>16009195</v>
      </c>
      <c r="K185" s="403">
        <v>45525</v>
      </c>
      <c r="L185" s="292"/>
      <c r="M185" s="292"/>
      <c r="N185" s="292"/>
      <c r="O185" s="292"/>
      <c r="P185" s="292" t="s">
        <v>5628</v>
      </c>
      <c r="Q185" s="292" t="s">
        <v>4511</v>
      </c>
      <c r="R185" s="292"/>
      <c r="S185" s="292"/>
      <c r="T185" s="292"/>
      <c r="U185" s="292">
        <v>0</v>
      </c>
      <c r="V185" s="292"/>
      <c r="W185" s="292">
        <v>41.963999999999999</v>
      </c>
    </row>
    <row r="186" spans="1:23" ht="25.5" x14ac:dyDescent="0.25">
      <c r="A186" s="139">
        <v>123</v>
      </c>
      <c r="B186" s="292" t="s">
        <v>5752</v>
      </c>
      <c r="C186" s="402" t="s">
        <v>5753</v>
      </c>
      <c r="D186" s="292" t="s">
        <v>156</v>
      </c>
      <c r="E186" s="292">
        <v>34.311999999999998</v>
      </c>
      <c r="F186" s="292">
        <v>110</v>
      </c>
      <c r="G186" s="402" t="s">
        <v>3307</v>
      </c>
      <c r="H186" s="292"/>
      <c r="I186" s="245" t="s">
        <v>4496</v>
      </c>
      <c r="J186" s="292">
        <v>17694635</v>
      </c>
      <c r="K186" s="403">
        <v>45559</v>
      </c>
      <c r="L186" s="292"/>
      <c r="M186" s="292"/>
      <c r="N186" s="292"/>
      <c r="O186" s="292"/>
      <c r="P186" s="292" t="s">
        <v>5754</v>
      </c>
      <c r="Q186" s="292" t="s">
        <v>4511</v>
      </c>
      <c r="R186" s="292"/>
      <c r="S186" s="292"/>
      <c r="T186" s="292"/>
      <c r="U186" s="292">
        <v>0</v>
      </c>
      <c r="V186" s="292"/>
      <c r="W186" s="292">
        <v>34.311999999999998</v>
      </c>
    </row>
    <row r="187" spans="1:23" ht="25.5" x14ac:dyDescent="0.25">
      <c r="A187" s="139">
        <v>124</v>
      </c>
      <c r="B187" s="292" t="s">
        <v>5755</v>
      </c>
      <c r="C187" s="402" t="s">
        <v>5756</v>
      </c>
      <c r="D187" s="292" t="s">
        <v>160</v>
      </c>
      <c r="E187" s="292">
        <v>3.24</v>
      </c>
      <c r="F187" s="292">
        <v>20</v>
      </c>
      <c r="G187" s="402" t="s">
        <v>5757</v>
      </c>
      <c r="H187" s="292"/>
      <c r="I187" s="245" t="s">
        <v>4496</v>
      </c>
      <c r="J187" s="292">
        <v>18647231</v>
      </c>
      <c r="K187" s="403">
        <v>45449</v>
      </c>
      <c r="L187" s="292"/>
      <c r="M187" s="292"/>
      <c r="N187" s="292"/>
      <c r="O187" s="292"/>
      <c r="P187" s="292"/>
      <c r="Q187" s="292"/>
      <c r="R187" s="292"/>
      <c r="S187" s="292"/>
      <c r="T187" s="292"/>
      <c r="U187" s="292">
        <v>0</v>
      </c>
      <c r="V187" s="292"/>
      <c r="W187" s="292">
        <v>3.24</v>
      </c>
    </row>
    <row r="188" spans="1:23" ht="25.5" x14ac:dyDescent="0.25">
      <c r="A188" s="139">
        <v>125</v>
      </c>
      <c r="B188" s="889" t="s">
        <v>6057</v>
      </c>
      <c r="C188" s="402" t="s">
        <v>6058</v>
      </c>
      <c r="D188" s="292" t="s">
        <v>148</v>
      </c>
      <c r="E188" s="292">
        <v>1.70261</v>
      </c>
      <c r="F188" s="292">
        <v>20</v>
      </c>
      <c r="G188" s="402" t="s">
        <v>6059</v>
      </c>
      <c r="H188" s="292"/>
      <c r="I188" s="245" t="s">
        <v>4496</v>
      </c>
      <c r="J188" s="292">
        <v>19594481</v>
      </c>
      <c r="K188" s="403">
        <v>45579</v>
      </c>
      <c r="L188" s="292"/>
      <c r="M188" s="292"/>
      <c r="N188" s="292"/>
      <c r="O188" s="292"/>
      <c r="P188" s="292" t="s">
        <v>6060</v>
      </c>
      <c r="Q188" s="292" t="s">
        <v>4511</v>
      </c>
      <c r="R188" s="292"/>
      <c r="S188" s="292"/>
      <c r="T188" s="292"/>
      <c r="U188" s="292">
        <v>0</v>
      </c>
      <c r="V188" s="292"/>
      <c r="W188" s="292">
        <v>1.70261</v>
      </c>
    </row>
    <row r="189" spans="1:23" ht="25.5" x14ac:dyDescent="0.25">
      <c r="A189" s="139">
        <v>126</v>
      </c>
      <c r="B189" s="889" t="s">
        <v>3319</v>
      </c>
      <c r="C189" s="402" t="s">
        <v>6061</v>
      </c>
      <c r="D189" s="292" t="s">
        <v>160</v>
      </c>
      <c r="E189" s="292">
        <v>57.125</v>
      </c>
      <c r="F189" s="292">
        <v>110</v>
      </c>
      <c r="G189" s="402" t="s">
        <v>3321</v>
      </c>
      <c r="H189" s="292"/>
      <c r="I189" s="245" t="s">
        <v>4496</v>
      </c>
      <c r="J189" s="292">
        <v>19868472</v>
      </c>
      <c r="K189" s="403">
        <v>45581</v>
      </c>
      <c r="L189" s="292"/>
      <c r="M189" s="292"/>
      <c r="N189" s="292"/>
      <c r="O189" s="292"/>
      <c r="P189" s="292" t="s">
        <v>6062</v>
      </c>
      <c r="Q189" s="292" t="s">
        <v>4511</v>
      </c>
      <c r="R189" s="292"/>
      <c r="S189" s="292"/>
      <c r="T189" s="292"/>
      <c r="U189" s="292">
        <v>0</v>
      </c>
      <c r="V189" s="292"/>
      <c r="W189" s="292">
        <v>57.125</v>
      </c>
    </row>
    <row r="190" spans="1:23" ht="25.5" x14ac:dyDescent="0.25">
      <c r="A190" s="139">
        <v>127</v>
      </c>
      <c r="B190" s="889" t="s">
        <v>2602</v>
      </c>
      <c r="C190" s="402" t="s">
        <v>6063</v>
      </c>
      <c r="D190" s="292" t="s">
        <v>156</v>
      </c>
      <c r="E190" s="292">
        <v>2.4249999999999998</v>
      </c>
      <c r="F190" s="292">
        <v>20</v>
      </c>
      <c r="G190" s="402" t="s">
        <v>2603</v>
      </c>
      <c r="H190" s="292"/>
      <c r="I190" s="245" t="s">
        <v>4496</v>
      </c>
      <c r="J190" s="292">
        <v>22390659</v>
      </c>
      <c r="K190" s="403">
        <v>45589</v>
      </c>
      <c r="L190" s="292"/>
      <c r="M190" s="292"/>
      <c r="N190" s="292"/>
      <c r="O190" s="292"/>
      <c r="P190" s="292" t="s">
        <v>6064</v>
      </c>
      <c r="Q190" s="292" t="s">
        <v>4511</v>
      </c>
      <c r="R190" s="292"/>
      <c r="S190" s="292"/>
      <c r="T190" s="292"/>
      <c r="U190" s="292">
        <v>0</v>
      </c>
      <c r="V190" s="292"/>
      <c r="W190" s="292">
        <v>2.4249999999999998</v>
      </c>
    </row>
    <row r="191" spans="1:23" ht="25.5" x14ac:dyDescent="0.25">
      <c r="A191" s="139">
        <v>128</v>
      </c>
      <c r="B191" s="889" t="s">
        <v>6065</v>
      </c>
      <c r="C191" s="402" t="s">
        <v>6066</v>
      </c>
      <c r="D191" s="292" t="s">
        <v>160</v>
      </c>
      <c r="E191" s="292">
        <v>2.9550000000000001</v>
      </c>
      <c r="F191" s="292">
        <v>20</v>
      </c>
      <c r="G191" s="402" t="s">
        <v>6067</v>
      </c>
      <c r="H191" s="292"/>
      <c r="I191" s="245" t="s">
        <v>4496</v>
      </c>
      <c r="J191" s="292">
        <v>15034866</v>
      </c>
      <c r="K191" s="403">
        <v>45393</v>
      </c>
      <c r="L191" s="292"/>
      <c r="M191" s="292"/>
      <c r="N191" s="292"/>
      <c r="O191" s="292"/>
      <c r="P191" s="292" t="s">
        <v>6068</v>
      </c>
      <c r="Q191" s="292" t="s">
        <v>4511</v>
      </c>
      <c r="R191" s="292"/>
      <c r="S191" s="292"/>
      <c r="T191" s="292"/>
      <c r="U191" s="292">
        <v>0</v>
      </c>
      <c r="V191" s="292"/>
      <c r="W191" s="292">
        <v>2.9550000000000001</v>
      </c>
    </row>
    <row r="192" spans="1:23" ht="25.5" x14ac:dyDescent="0.25">
      <c r="A192" s="139">
        <v>129</v>
      </c>
      <c r="B192" s="889" t="s">
        <v>6069</v>
      </c>
      <c r="C192" s="402" t="s">
        <v>6070</v>
      </c>
      <c r="D192" s="292" t="s">
        <v>160</v>
      </c>
      <c r="E192" s="292">
        <v>2.9620000000000002</v>
      </c>
      <c r="F192" s="292">
        <v>20</v>
      </c>
      <c r="G192" s="402" t="s">
        <v>6071</v>
      </c>
      <c r="H192" s="292"/>
      <c r="I192" s="245" t="s">
        <v>4496</v>
      </c>
      <c r="J192" s="292">
        <v>19537826</v>
      </c>
      <c r="K192" s="403">
        <v>45393</v>
      </c>
      <c r="L192" s="292"/>
      <c r="M192" s="292"/>
      <c r="N192" s="292"/>
      <c r="O192" s="292"/>
      <c r="P192" s="292" t="s">
        <v>6072</v>
      </c>
      <c r="Q192" s="292" t="s">
        <v>4511</v>
      </c>
      <c r="R192" s="292"/>
      <c r="S192" s="292"/>
      <c r="T192" s="292"/>
      <c r="U192" s="292">
        <v>0</v>
      </c>
      <c r="V192" s="292"/>
      <c r="W192" s="292">
        <v>2.9620000000000002</v>
      </c>
    </row>
    <row r="193" spans="1:25" x14ac:dyDescent="0.25">
      <c r="B193" s="461"/>
      <c r="C193" s="461"/>
      <c r="D193" s="461"/>
      <c r="E193" s="461"/>
      <c r="F193" s="461"/>
      <c r="G193" s="461"/>
      <c r="H193" s="461"/>
      <c r="I193" s="461"/>
      <c r="J193" s="462"/>
      <c r="K193" s="465"/>
      <c r="L193" s="469"/>
      <c r="M193" s="465"/>
      <c r="N193" s="461"/>
      <c r="O193" s="461"/>
      <c r="P193" s="461"/>
      <c r="Q193" s="461"/>
      <c r="R193" s="461"/>
      <c r="S193" s="461"/>
      <c r="T193" s="461"/>
      <c r="U193" s="461"/>
      <c r="V193" s="461"/>
      <c r="W193" s="461"/>
    </row>
    <row r="194" spans="1:25" s="219" customFormat="1" x14ac:dyDescent="0.25">
      <c r="A194" s="144">
        <v>1</v>
      </c>
      <c r="B194" s="818" t="s">
        <v>6020</v>
      </c>
      <c r="C194" s="144" t="s">
        <v>6021</v>
      </c>
      <c r="D194" s="144" t="s">
        <v>163</v>
      </c>
      <c r="E194" s="356">
        <v>1.946</v>
      </c>
      <c r="F194" s="144">
        <v>20</v>
      </c>
      <c r="G194" s="144" t="s">
        <v>6022</v>
      </c>
      <c r="H194" s="144" t="s">
        <v>6023</v>
      </c>
      <c r="I194" s="144" t="s">
        <v>6024</v>
      </c>
      <c r="J194" s="144">
        <v>17250611</v>
      </c>
      <c r="K194" s="145">
        <v>45335</v>
      </c>
      <c r="L194" s="144"/>
      <c r="M194" s="145"/>
      <c r="N194" s="144" t="s">
        <v>25</v>
      </c>
      <c r="O194" s="144" t="s">
        <v>25</v>
      </c>
      <c r="P194" s="144" t="s">
        <v>25</v>
      </c>
      <c r="Q194" s="144" t="s">
        <v>25</v>
      </c>
      <c r="R194" s="144" t="s">
        <v>25</v>
      </c>
      <c r="S194" s="144" t="s">
        <v>25</v>
      </c>
      <c r="T194" s="144" t="s">
        <v>25</v>
      </c>
      <c r="U194" s="144">
        <v>0</v>
      </c>
      <c r="V194" s="144">
        <v>0</v>
      </c>
      <c r="W194" s="890">
        <v>1.946</v>
      </c>
      <c r="Y194" s="371"/>
    </row>
    <row r="195" spans="1:25" ht="25.5" x14ac:dyDescent="0.25">
      <c r="A195" s="144">
        <v>2</v>
      </c>
      <c r="B195" s="889" t="s">
        <v>6025</v>
      </c>
      <c r="C195" s="144" t="s">
        <v>6026</v>
      </c>
      <c r="D195" s="144" t="s">
        <v>173</v>
      </c>
      <c r="E195" s="356">
        <v>1.3272520000000001</v>
      </c>
      <c r="F195" s="144">
        <v>20</v>
      </c>
      <c r="G195" s="144" t="s">
        <v>6027</v>
      </c>
      <c r="H195" s="144" t="s">
        <v>6028</v>
      </c>
      <c r="I195" s="229" t="s">
        <v>6029</v>
      </c>
      <c r="J195" s="144">
        <v>24380784</v>
      </c>
      <c r="K195" s="145">
        <v>45569</v>
      </c>
      <c r="L195" s="291"/>
      <c r="M195" s="436"/>
      <c r="N195" s="144" t="s">
        <v>25</v>
      </c>
      <c r="O195" s="144" t="s">
        <v>25</v>
      </c>
      <c r="P195" s="144" t="s">
        <v>25</v>
      </c>
      <c r="Q195" s="144" t="s">
        <v>25</v>
      </c>
      <c r="R195" s="144" t="s">
        <v>25</v>
      </c>
      <c r="S195" s="144" t="s">
        <v>25</v>
      </c>
      <c r="T195" s="144" t="s">
        <v>25</v>
      </c>
      <c r="U195" s="144">
        <v>0</v>
      </c>
      <c r="V195" s="144">
        <v>0</v>
      </c>
      <c r="W195" s="144">
        <v>0</v>
      </c>
    </row>
    <row r="196" spans="1:25" ht="25.5" x14ac:dyDescent="0.25">
      <c r="A196" s="126">
        <v>3</v>
      </c>
      <c r="B196" s="291" t="s">
        <v>3067</v>
      </c>
      <c r="C196" s="291" t="s">
        <v>3068</v>
      </c>
      <c r="D196" s="144" t="s">
        <v>190</v>
      </c>
      <c r="E196" s="356">
        <v>4.6105</v>
      </c>
      <c r="F196" s="144" t="s">
        <v>3069</v>
      </c>
      <c r="G196" s="144" t="s">
        <v>3070</v>
      </c>
      <c r="H196" s="144" t="s">
        <v>3071</v>
      </c>
      <c r="I196" s="229" t="s">
        <v>165</v>
      </c>
      <c r="J196" s="438">
        <v>8036362</v>
      </c>
      <c r="K196" s="145">
        <v>44580</v>
      </c>
      <c r="L196" s="144">
        <v>8036362</v>
      </c>
      <c r="M196" s="145">
        <v>45086</v>
      </c>
      <c r="N196" s="144" t="s">
        <v>25</v>
      </c>
      <c r="O196" s="144" t="s">
        <v>25</v>
      </c>
      <c r="P196" s="144" t="s">
        <v>25</v>
      </c>
      <c r="Q196" s="144" t="s">
        <v>25</v>
      </c>
      <c r="R196" s="144" t="s">
        <v>25</v>
      </c>
      <c r="S196" s="144" t="s">
        <v>25</v>
      </c>
      <c r="T196" s="144" t="s">
        <v>25</v>
      </c>
      <c r="U196" s="144">
        <v>0</v>
      </c>
      <c r="V196" s="144">
        <v>0</v>
      </c>
      <c r="W196" s="144">
        <v>4.6105</v>
      </c>
    </row>
    <row r="197" spans="1:25" ht="25.5" x14ac:dyDescent="0.25">
      <c r="A197" s="144">
        <v>4</v>
      </c>
      <c r="B197" s="291" t="s">
        <v>2230</v>
      </c>
      <c r="C197" s="144" t="s">
        <v>2231</v>
      </c>
      <c r="D197" s="144" t="s">
        <v>190</v>
      </c>
      <c r="E197" s="144">
        <v>3.9434499999999999</v>
      </c>
      <c r="F197" s="144">
        <v>20</v>
      </c>
      <c r="G197" s="144" t="s">
        <v>2232</v>
      </c>
      <c r="H197" s="144" t="s">
        <v>2233</v>
      </c>
      <c r="I197" s="229" t="s">
        <v>165</v>
      </c>
      <c r="J197" s="438">
        <v>9672103</v>
      </c>
      <c r="K197" s="145">
        <v>44937</v>
      </c>
      <c r="L197" s="144">
        <v>9672103</v>
      </c>
      <c r="M197" s="145">
        <v>45345</v>
      </c>
      <c r="N197" s="144" t="s">
        <v>25</v>
      </c>
      <c r="O197" s="144" t="s">
        <v>25</v>
      </c>
      <c r="P197" s="144" t="s">
        <v>25</v>
      </c>
      <c r="Q197" s="144" t="s">
        <v>25</v>
      </c>
      <c r="R197" s="144" t="s">
        <v>25</v>
      </c>
      <c r="S197" s="144" t="s">
        <v>25</v>
      </c>
      <c r="T197" s="144" t="s">
        <v>25</v>
      </c>
      <c r="U197" s="144">
        <v>0</v>
      </c>
      <c r="V197" s="144">
        <v>0</v>
      </c>
      <c r="W197" s="144">
        <v>3.234</v>
      </c>
    </row>
    <row r="198" spans="1:25" ht="25.5" x14ac:dyDescent="0.25">
      <c r="A198" s="144">
        <v>5</v>
      </c>
      <c r="B198" s="291" t="s">
        <v>2319</v>
      </c>
      <c r="C198" s="144" t="s">
        <v>2320</v>
      </c>
      <c r="D198" s="144" t="s">
        <v>170</v>
      </c>
      <c r="E198" s="144">
        <v>6.3765000000000001</v>
      </c>
      <c r="F198" s="144">
        <v>20</v>
      </c>
      <c r="G198" s="144" t="s">
        <v>2321</v>
      </c>
      <c r="H198" s="144" t="s">
        <v>2322</v>
      </c>
      <c r="I198" s="229" t="s">
        <v>165</v>
      </c>
      <c r="J198" s="438">
        <v>9945563</v>
      </c>
      <c r="K198" s="145">
        <v>44959</v>
      </c>
      <c r="L198" s="144"/>
      <c r="M198" s="145"/>
      <c r="N198" s="144" t="s">
        <v>25</v>
      </c>
      <c r="O198" s="144" t="s">
        <v>25</v>
      </c>
      <c r="P198" s="144" t="s">
        <v>25</v>
      </c>
      <c r="Q198" s="144" t="s">
        <v>25</v>
      </c>
      <c r="R198" s="144" t="s">
        <v>25</v>
      </c>
      <c r="S198" s="144" t="s">
        <v>25</v>
      </c>
      <c r="T198" s="144" t="s">
        <v>25</v>
      </c>
      <c r="U198" s="144">
        <v>0</v>
      </c>
      <c r="V198" s="144">
        <v>0</v>
      </c>
      <c r="W198" s="144">
        <v>6.0224700000000002</v>
      </c>
    </row>
    <row r="199" spans="1:25" ht="25.5" x14ac:dyDescent="0.25">
      <c r="A199" s="144">
        <v>6</v>
      </c>
      <c r="B199" s="327" t="s">
        <v>2323</v>
      </c>
      <c r="C199" s="328" t="s">
        <v>2324</v>
      </c>
      <c r="D199" s="328" t="s">
        <v>170</v>
      </c>
      <c r="E199" s="328">
        <v>6.3765000000000001</v>
      </c>
      <c r="F199" s="328">
        <v>20</v>
      </c>
      <c r="G199" s="328" t="s">
        <v>2325</v>
      </c>
      <c r="H199" s="328" t="s">
        <v>2326</v>
      </c>
      <c r="I199" s="329" t="s">
        <v>165</v>
      </c>
      <c r="J199" s="556">
        <v>9946412</v>
      </c>
      <c r="K199" s="330">
        <v>44959</v>
      </c>
      <c r="L199" s="144">
        <v>9946412</v>
      </c>
      <c r="M199" s="145">
        <v>45359</v>
      </c>
      <c r="N199" s="328" t="s">
        <v>25</v>
      </c>
      <c r="O199" s="328" t="s">
        <v>25</v>
      </c>
      <c r="P199" s="328" t="s">
        <v>25</v>
      </c>
      <c r="Q199" s="328" t="s">
        <v>25</v>
      </c>
      <c r="R199" s="328" t="s">
        <v>25</v>
      </c>
      <c r="S199" s="328" t="s">
        <v>25</v>
      </c>
      <c r="T199" s="328" t="s">
        <v>25</v>
      </c>
      <c r="U199" s="328">
        <v>0</v>
      </c>
      <c r="V199" s="328">
        <v>0</v>
      </c>
      <c r="W199" s="328">
        <v>6.0224700000000002</v>
      </c>
    </row>
    <row r="200" spans="1:25" ht="25.5" x14ac:dyDescent="0.25">
      <c r="A200" s="126">
        <v>7</v>
      </c>
      <c r="B200" s="291" t="s">
        <v>2713</v>
      </c>
      <c r="C200" s="291" t="s">
        <v>2714</v>
      </c>
      <c r="D200" s="144" t="s">
        <v>190</v>
      </c>
      <c r="E200" s="144">
        <v>34.691249999999997</v>
      </c>
      <c r="F200" s="144">
        <v>110</v>
      </c>
      <c r="G200" s="144" t="s">
        <v>2715</v>
      </c>
      <c r="H200" s="144" t="s">
        <v>2716</v>
      </c>
      <c r="I200" s="229" t="s">
        <v>165</v>
      </c>
      <c r="J200" s="438">
        <v>8797434</v>
      </c>
      <c r="K200" s="144" t="s">
        <v>2717</v>
      </c>
      <c r="L200" s="291">
        <v>8797434</v>
      </c>
      <c r="M200" s="291" t="s">
        <v>3828</v>
      </c>
      <c r="N200" s="144" t="s">
        <v>25</v>
      </c>
      <c r="O200" s="144" t="s">
        <v>25</v>
      </c>
      <c r="P200" s="144" t="s">
        <v>25</v>
      </c>
      <c r="Q200" s="144" t="s">
        <v>25</v>
      </c>
      <c r="R200" s="144" t="s">
        <v>25</v>
      </c>
      <c r="S200" s="144" t="s">
        <v>25</v>
      </c>
      <c r="T200" s="144" t="s">
        <v>25</v>
      </c>
      <c r="U200" s="144">
        <v>0</v>
      </c>
      <c r="V200" s="144">
        <v>0</v>
      </c>
      <c r="W200" s="144">
        <v>25.527999999999999</v>
      </c>
    </row>
    <row r="201" spans="1:25" ht="25.5" x14ac:dyDescent="0.25">
      <c r="A201" s="144">
        <v>8</v>
      </c>
      <c r="B201" s="291" t="s">
        <v>3099</v>
      </c>
      <c r="C201" s="291" t="s">
        <v>3100</v>
      </c>
      <c r="D201" s="144" t="s">
        <v>190</v>
      </c>
      <c r="E201" s="144" t="s">
        <v>3101</v>
      </c>
      <c r="F201" s="144" t="s">
        <v>1740</v>
      </c>
      <c r="G201" s="144" t="s">
        <v>3102</v>
      </c>
      <c r="H201" s="144" t="s">
        <v>3103</v>
      </c>
      <c r="I201" s="229" t="s">
        <v>165</v>
      </c>
      <c r="J201" s="438">
        <v>9507980</v>
      </c>
      <c r="K201" s="144" t="s">
        <v>3104</v>
      </c>
      <c r="L201" s="144"/>
      <c r="M201" s="144"/>
      <c r="N201" s="144" t="s">
        <v>25</v>
      </c>
      <c r="O201" s="144" t="s">
        <v>25</v>
      </c>
      <c r="P201" s="144" t="s">
        <v>25</v>
      </c>
      <c r="Q201" s="144" t="s">
        <v>25</v>
      </c>
      <c r="R201" s="144" t="s">
        <v>25</v>
      </c>
      <c r="S201" s="144" t="s">
        <v>25</v>
      </c>
      <c r="T201" s="144" t="s">
        <v>25</v>
      </c>
      <c r="U201" s="144"/>
      <c r="V201" s="144"/>
      <c r="W201" s="144" t="s">
        <v>3105</v>
      </c>
    </row>
    <row r="202" spans="1:25" ht="38.25" x14ac:dyDescent="0.25">
      <c r="A202" s="144">
        <v>9</v>
      </c>
      <c r="B202" s="889" t="s">
        <v>6032</v>
      </c>
      <c r="C202" s="291" t="s">
        <v>6033</v>
      </c>
      <c r="D202" s="144" t="s">
        <v>173</v>
      </c>
      <c r="E202" s="356">
        <v>17.989999999999998</v>
      </c>
      <c r="F202" s="144" t="s">
        <v>217</v>
      </c>
      <c r="G202" s="144" t="s">
        <v>6034</v>
      </c>
      <c r="H202" s="144" t="s">
        <v>6035</v>
      </c>
      <c r="I202" s="229" t="s">
        <v>6024</v>
      </c>
      <c r="J202" s="891" t="s">
        <v>6036</v>
      </c>
      <c r="K202" s="145">
        <v>45419</v>
      </c>
      <c r="L202" s="144"/>
      <c r="M202" s="144"/>
      <c r="N202" s="144" t="s">
        <v>25</v>
      </c>
      <c r="O202" s="144" t="s">
        <v>25</v>
      </c>
      <c r="P202" s="144" t="s">
        <v>25</v>
      </c>
      <c r="Q202" s="144" t="s">
        <v>25</v>
      </c>
      <c r="R202" s="144" t="s">
        <v>25</v>
      </c>
      <c r="S202" s="144" t="s">
        <v>25</v>
      </c>
      <c r="T202" s="144" t="s">
        <v>25</v>
      </c>
      <c r="U202" s="144"/>
      <c r="V202" s="144"/>
      <c r="W202" s="144">
        <v>1.7989999999999999</v>
      </c>
    </row>
    <row r="203" spans="1:25" ht="38.25" x14ac:dyDescent="0.25">
      <c r="A203" s="144">
        <v>10</v>
      </c>
      <c r="B203" s="889" t="s">
        <v>6037</v>
      </c>
      <c r="C203" s="291" t="s">
        <v>811</v>
      </c>
      <c r="D203" s="144" t="s">
        <v>173</v>
      </c>
      <c r="E203" s="356">
        <v>2.1360000000000001</v>
      </c>
      <c r="F203" s="144" t="s">
        <v>177</v>
      </c>
      <c r="G203" s="144" t="s">
        <v>6038</v>
      </c>
      <c r="H203" s="144" t="s">
        <v>6039</v>
      </c>
      <c r="I203" s="229" t="s">
        <v>6024</v>
      </c>
      <c r="J203" s="144">
        <v>19073314</v>
      </c>
      <c r="K203" s="145">
        <v>45538</v>
      </c>
      <c r="L203" s="144"/>
      <c r="M203" s="144"/>
      <c r="N203" s="144" t="s">
        <v>25</v>
      </c>
      <c r="O203" s="144" t="s">
        <v>25</v>
      </c>
      <c r="P203" s="144" t="s">
        <v>25</v>
      </c>
      <c r="Q203" s="144" t="s">
        <v>25</v>
      </c>
      <c r="R203" s="144" t="s">
        <v>25</v>
      </c>
      <c r="S203" s="144" t="s">
        <v>25</v>
      </c>
      <c r="T203" s="144" t="s">
        <v>25</v>
      </c>
      <c r="U203" s="144"/>
      <c r="V203" s="144"/>
      <c r="W203" s="144">
        <v>2.1360000000000001</v>
      </c>
    </row>
    <row r="204" spans="1:25" ht="38.25" x14ac:dyDescent="0.25">
      <c r="A204" s="144">
        <v>11</v>
      </c>
      <c r="B204" s="889" t="s">
        <v>6040</v>
      </c>
      <c r="C204" s="291" t="s">
        <v>6041</v>
      </c>
      <c r="D204" s="144" t="s">
        <v>170</v>
      </c>
      <c r="E204" s="356">
        <v>31.58</v>
      </c>
      <c r="F204" s="144" t="s">
        <v>217</v>
      </c>
      <c r="G204" s="144" t="s">
        <v>6042</v>
      </c>
      <c r="H204" s="144" t="s">
        <v>6043</v>
      </c>
      <c r="I204" s="229" t="s">
        <v>6024</v>
      </c>
      <c r="J204" s="144">
        <v>15851576</v>
      </c>
      <c r="K204" s="145">
        <v>45343</v>
      </c>
      <c r="L204" s="144"/>
      <c r="M204" s="144"/>
      <c r="N204" s="144" t="s">
        <v>25</v>
      </c>
      <c r="O204" s="144" t="s">
        <v>25</v>
      </c>
      <c r="P204" s="144" t="s">
        <v>25</v>
      </c>
      <c r="Q204" s="144" t="s">
        <v>25</v>
      </c>
      <c r="R204" s="144" t="s">
        <v>25</v>
      </c>
      <c r="S204" s="144" t="s">
        <v>25</v>
      </c>
      <c r="T204" s="144" t="s">
        <v>25</v>
      </c>
      <c r="U204" s="144"/>
      <c r="V204" s="144"/>
      <c r="W204" s="144">
        <v>31.58</v>
      </c>
    </row>
    <row r="205" spans="1:25" ht="38.25" x14ac:dyDescent="0.25">
      <c r="A205" s="144">
        <v>12</v>
      </c>
      <c r="B205" s="889" t="s">
        <v>6044</v>
      </c>
      <c r="C205" s="291" t="s">
        <v>6045</v>
      </c>
      <c r="D205" s="144" t="s">
        <v>163</v>
      </c>
      <c r="E205" s="356">
        <v>2.915</v>
      </c>
      <c r="F205" s="144" t="s">
        <v>177</v>
      </c>
      <c r="G205" s="144" t="s">
        <v>6046</v>
      </c>
      <c r="H205" s="144" t="s">
        <v>6047</v>
      </c>
      <c r="I205" s="229" t="s">
        <v>6024</v>
      </c>
      <c r="J205" s="144">
        <v>18202141</v>
      </c>
      <c r="K205" s="145">
        <v>45526</v>
      </c>
      <c r="L205" s="144"/>
      <c r="M205" s="144"/>
      <c r="N205" s="144" t="s">
        <v>25</v>
      </c>
      <c r="O205" s="144" t="s">
        <v>25</v>
      </c>
      <c r="P205" s="144" t="s">
        <v>25</v>
      </c>
      <c r="Q205" s="144" t="s">
        <v>25</v>
      </c>
      <c r="R205" s="144" t="s">
        <v>25</v>
      </c>
      <c r="S205" s="144" t="s">
        <v>25</v>
      </c>
      <c r="T205" s="144" t="s">
        <v>25</v>
      </c>
      <c r="U205" s="144"/>
      <c r="V205" s="144"/>
      <c r="W205" s="144">
        <v>2.915</v>
      </c>
    </row>
    <row r="206" spans="1:25" ht="25.5" x14ac:dyDescent="0.25">
      <c r="A206" s="144">
        <v>9</v>
      </c>
      <c r="B206" s="291" t="s">
        <v>826</v>
      </c>
      <c r="C206" s="291" t="s">
        <v>3949</v>
      </c>
      <c r="D206" s="144" t="s">
        <v>173</v>
      </c>
      <c r="E206" s="144">
        <v>19.824999999999999</v>
      </c>
      <c r="F206" s="144">
        <v>110</v>
      </c>
      <c r="G206" s="144" t="s">
        <v>3950</v>
      </c>
      <c r="H206" s="144" t="s">
        <v>3951</v>
      </c>
      <c r="I206" s="229" t="s">
        <v>165</v>
      </c>
      <c r="J206" s="438">
        <v>16181767</v>
      </c>
      <c r="K206" s="144" t="s">
        <v>3952</v>
      </c>
      <c r="L206" s="144"/>
      <c r="M206" s="144"/>
      <c r="N206" s="144" t="s">
        <v>25</v>
      </c>
      <c r="O206" s="144" t="s">
        <v>25</v>
      </c>
      <c r="P206" s="144" t="s">
        <v>25</v>
      </c>
      <c r="Q206" s="144" t="s">
        <v>25</v>
      </c>
      <c r="R206" s="144" t="s">
        <v>25</v>
      </c>
      <c r="S206" s="144" t="s">
        <v>25</v>
      </c>
      <c r="T206" s="144" t="s">
        <v>25</v>
      </c>
      <c r="U206" s="144"/>
      <c r="V206" s="144"/>
      <c r="W206" s="144">
        <v>69</v>
      </c>
    </row>
    <row r="207" spans="1:25" ht="38.25" x14ac:dyDescent="0.25">
      <c r="A207" s="144">
        <v>14</v>
      </c>
      <c r="B207" s="889" t="s">
        <v>6048</v>
      </c>
      <c r="C207" s="291" t="s">
        <v>4802</v>
      </c>
      <c r="D207" s="144" t="s">
        <v>173</v>
      </c>
      <c r="E207" s="356">
        <v>23.152000000000001</v>
      </c>
      <c r="F207" s="144" t="s">
        <v>217</v>
      </c>
      <c r="G207" s="144" t="s">
        <v>6049</v>
      </c>
      <c r="H207" s="144" t="s">
        <v>6050</v>
      </c>
      <c r="I207" s="229" t="s">
        <v>6024</v>
      </c>
      <c r="J207" s="144">
        <v>16423622</v>
      </c>
      <c r="K207" s="145">
        <v>45407</v>
      </c>
      <c r="L207" s="144"/>
      <c r="M207" s="144"/>
      <c r="N207" s="144" t="s">
        <v>25</v>
      </c>
      <c r="O207" s="144" t="s">
        <v>25</v>
      </c>
      <c r="P207" s="144" t="s">
        <v>25</v>
      </c>
      <c r="Q207" s="144" t="s">
        <v>25</v>
      </c>
      <c r="R207" s="144" t="s">
        <v>25</v>
      </c>
      <c r="S207" s="144" t="s">
        <v>25</v>
      </c>
      <c r="T207" s="144" t="s">
        <v>25</v>
      </c>
      <c r="U207" s="144"/>
      <c r="V207" s="144"/>
      <c r="W207" s="144">
        <v>23.152000000000001</v>
      </c>
    </row>
    <row r="208" spans="1:25" ht="25.5" x14ac:dyDescent="0.25">
      <c r="A208" s="229">
        <v>15</v>
      </c>
      <c r="B208" s="889" t="s">
        <v>168</v>
      </c>
      <c r="C208" s="291" t="s">
        <v>169</v>
      </c>
      <c r="D208" s="144" t="s">
        <v>170</v>
      </c>
      <c r="E208" s="798">
        <v>3.7610000000000001</v>
      </c>
      <c r="F208" s="144" t="s">
        <v>6051</v>
      </c>
      <c r="G208" s="144" t="s">
        <v>171</v>
      </c>
      <c r="H208" s="144" t="s">
        <v>172</v>
      </c>
      <c r="I208" s="229" t="s">
        <v>165</v>
      </c>
      <c r="J208" s="144">
        <v>6274744</v>
      </c>
      <c r="K208" s="145">
        <v>44399</v>
      </c>
      <c r="L208" s="144">
        <v>6274744</v>
      </c>
      <c r="M208" s="145">
        <v>44684</v>
      </c>
      <c r="N208" s="144" t="s">
        <v>25</v>
      </c>
      <c r="O208" s="144" t="s">
        <v>25</v>
      </c>
      <c r="P208" s="144" t="s">
        <v>25</v>
      </c>
      <c r="Q208" s="144" t="s">
        <v>25</v>
      </c>
      <c r="R208" s="144" t="s">
        <v>25</v>
      </c>
      <c r="S208" s="144" t="s">
        <v>25</v>
      </c>
      <c r="T208" s="144" t="s">
        <v>25</v>
      </c>
      <c r="U208" s="144">
        <v>0</v>
      </c>
      <c r="V208" s="144">
        <v>0</v>
      </c>
      <c r="W208" s="798">
        <v>3.7610000000000001</v>
      </c>
    </row>
    <row r="209" spans="1:25" ht="25.5" x14ac:dyDescent="0.25">
      <c r="A209" s="229">
        <v>16</v>
      </c>
      <c r="B209" s="889" t="s">
        <v>2932</v>
      </c>
      <c r="C209" s="291" t="s">
        <v>2933</v>
      </c>
      <c r="D209" s="144" t="s">
        <v>190</v>
      </c>
      <c r="E209" s="144">
        <v>1.1299999999999999</v>
      </c>
      <c r="F209" s="144" t="s">
        <v>2934</v>
      </c>
      <c r="G209" s="144" t="s">
        <v>2935</v>
      </c>
      <c r="H209" s="144" t="s">
        <v>2936</v>
      </c>
      <c r="I209" s="229" t="s">
        <v>165</v>
      </c>
      <c r="J209" s="144">
        <v>8756070</v>
      </c>
      <c r="K209" s="145">
        <v>44672</v>
      </c>
      <c r="L209" s="144">
        <v>8756070</v>
      </c>
      <c r="M209" s="145">
        <v>45071</v>
      </c>
      <c r="N209" s="144" t="s">
        <v>25</v>
      </c>
      <c r="O209" s="144" t="s">
        <v>25</v>
      </c>
      <c r="P209" s="144" t="s">
        <v>25</v>
      </c>
      <c r="Q209" s="144" t="s">
        <v>25</v>
      </c>
      <c r="R209" s="144" t="s">
        <v>25</v>
      </c>
      <c r="S209" s="144" t="s">
        <v>25</v>
      </c>
      <c r="T209" s="144" t="s">
        <v>25</v>
      </c>
      <c r="U209" s="144">
        <v>0</v>
      </c>
      <c r="V209" s="144">
        <v>0</v>
      </c>
      <c r="W209" s="144">
        <v>1.1299999999999999</v>
      </c>
    </row>
    <row r="210" spans="1:25" ht="25.5" x14ac:dyDescent="0.25">
      <c r="A210" s="128">
        <v>4</v>
      </c>
      <c r="B210" s="291" t="s">
        <v>2932</v>
      </c>
      <c r="C210" s="144" t="s">
        <v>2933</v>
      </c>
      <c r="D210" s="144" t="s">
        <v>190</v>
      </c>
      <c r="E210" s="346">
        <v>1.1299999999999999</v>
      </c>
      <c r="F210" s="144" t="s">
        <v>2934</v>
      </c>
      <c r="G210" s="144" t="s">
        <v>2935</v>
      </c>
      <c r="H210" s="144" t="s">
        <v>2936</v>
      </c>
      <c r="I210" s="229" t="s">
        <v>165</v>
      </c>
      <c r="J210" s="438">
        <v>8756070</v>
      </c>
      <c r="K210" s="145">
        <v>44672</v>
      </c>
      <c r="L210" s="144">
        <v>8756070</v>
      </c>
      <c r="M210" s="145">
        <v>45071</v>
      </c>
      <c r="N210" s="144" t="s">
        <v>25</v>
      </c>
      <c r="O210" s="144" t="s">
        <v>25</v>
      </c>
      <c r="P210" s="144" t="s">
        <v>25</v>
      </c>
      <c r="Q210" s="144" t="s">
        <v>25</v>
      </c>
      <c r="R210" s="144" t="s">
        <v>25</v>
      </c>
      <c r="S210" s="144" t="s">
        <v>25</v>
      </c>
      <c r="T210" s="144" t="s">
        <v>25</v>
      </c>
      <c r="U210" s="144">
        <v>0</v>
      </c>
      <c r="V210" s="144">
        <v>0</v>
      </c>
      <c r="W210" s="144">
        <v>1.1299999999999999</v>
      </c>
    </row>
    <row r="211" spans="1:25" ht="25.5" x14ac:dyDescent="0.25">
      <c r="A211" s="229">
        <v>17</v>
      </c>
      <c r="B211" s="889" t="s">
        <v>6030</v>
      </c>
      <c r="C211" s="291" t="s">
        <v>1743</v>
      </c>
      <c r="D211" s="144" t="s">
        <v>190</v>
      </c>
      <c r="E211" s="144" t="s">
        <v>6031</v>
      </c>
      <c r="F211" s="144" t="s">
        <v>1744</v>
      </c>
      <c r="G211" s="144" t="s">
        <v>1745</v>
      </c>
      <c r="H211" s="144" t="s">
        <v>1746</v>
      </c>
      <c r="I211" s="229" t="s">
        <v>165</v>
      </c>
      <c r="J211" s="144">
        <v>9422554</v>
      </c>
      <c r="K211" s="145">
        <v>44803</v>
      </c>
      <c r="L211" s="144">
        <v>9422554</v>
      </c>
      <c r="M211" s="145">
        <v>44979</v>
      </c>
      <c r="N211" s="144" t="s">
        <v>25</v>
      </c>
      <c r="O211" s="144" t="s">
        <v>25</v>
      </c>
      <c r="P211" s="144" t="s">
        <v>25</v>
      </c>
      <c r="Q211" s="144" t="s">
        <v>25</v>
      </c>
      <c r="R211" s="144" t="s">
        <v>25</v>
      </c>
      <c r="S211" s="144" t="s">
        <v>25</v>
      </c>
      <c r="T211" s="144" t="s">
        <v>25</v>
      </c>
      <c r="U211" s="144">
        <v>0</v>
      </c>
      <c r="V211" s="144">
        <v>0</v>
      </c>
      <c r="W211" s="144">
        <v>4.2757399999999999</v>
      </c>
    </row>
    <row r="212" spans="1:25" ht="25.5" x14ac:dyDescent="0.25">
      <c r="A212" s="229">
        <v>18</v>
      </c>
      <c r="B212" s="291" t="s">
        <v>2226</v>
      </c>
      <c r="C212" s="144" t="s">
        <v>2227</v>
      </c>
      <c r="D212" s="144" t="s">
        <v>190</v>
      </c>
      <c r="E212" s="144">
        <v>4.4470000000000001</v>
      </c>
      <c r="F212" s="144" t="s">
        <v>2228</v>
      </c>
      <c r="G212" s="144" t="s">
        <v>1745</v>
      </c>
      <c r="H212" s="144" t="s">
        <v>2229</v>
      </c>
      <c r="I212" s="229" t="s">
        <v>165</v>
      </c>
      <c r="J212" s="144">
        <v>9356230</v>
      </c>
      <c r="K212" s="145">
        <v>44803</v>
      </c>
      <c r="L212" s="291">
        <v>9356230</v>
      </c>
      <c r="M212" s="436">
        <v>44985</v>
      </c>
      <c r="N212" s="144" t="s">
        <v>25</v>
      </c>
      <c r="O212" s="144" t="s">
        <v>25</v>
      </c>
      <c r="P212" s="144" t="s">
        <v>25</v>
      </c>
      <c r="Q212" s="144" t="s">
        <v>25</v>
      </c>
      <c r="R212" s="144" t="s">
        <v>25</v>
      </c>
      <c r="S212" s="144" t="s">
        <v>25</v>
      </c>
      <c r="T212" s="144" t="s">
        <v>25</v>
      </c>
      <c r="U212" s="144">
        <v>0</v>
      </c>
      <c r="V212" s="144">
        <v>0</v>
      </c>
      <c r="W212" s="144">
        <v>4.4470000000000001</v>
      </c>
    </row>
    <row r="213" spans="1:25" x14ac:dyDescent="0.25">
      <c r="B213" s="461"/>
      <c r="C213" s="461"/>
      <c r="D213" s="461"/>
      <c r="E213" s="461"/>
      <c r="F213" s="461"/>
      <c r="G213" s="461"/>
      <c r="H213" s="461"/>
      <c r="I213" s="461"/>
      <c r="J213" s="462"/>
      <c r="K213" s="465"/>
      <c r="L213" s="469"/>
      <c r="M213" s="465"/>
      <c r="N213" s="461"/>
      <c r="O213" s="461"/>
      <c r="P213" s="461"/>
      <c r="Q213" s="461"/>
      <c r="R213" s="461"/>
      <c r="S213" s="461"/>
      <c r="T213" s="461"/>
      <c r="U213" s="461"/>
      <c r="V213" s="461"/>
      <c r="W213" s="461"/>
    </row>
    <row r="214" spans="1:25" ht="25.5" x14ac:dyDescent="0.25">
      <c r="A214" s="129">
        <v>1</v>
      </c>
      <c r="B214" s="129" t="s">
        <v>268</v>
      </c>
      <c r="C214" s="129" t="s">
        <v>269</v>
      </c>
      <c r="D214" s="129" t="s">
        <v>270</v>
      </c>
      <c r="E214" s="129">
        <v>48.79</v>
      </c>
      <c r="F214" s="129" t="s">
        <v>217</v>
      </c>
      <c r="G214" s="129" t="s">
        <v>271</v>
      </c>
      <c r="H214" s="129"/>
      <c r="I214" s="129" t="s">
        <v>272</v>
      </c>
      <c r="J214" s="454" t="s">
        <v>273</v>
      </c>
      <c r="K214" s="130">
        <v>44308</v>
      </c>
      <c r="L214" s="135" t="s">
        <v>273</v>
      </c>
      <c r="M214" s="130">
        <v>44517</v>
      </c>
      <c r="N214" s="349">
        <v>44931</v>
      </c>
      <c r="O214" s="129"/>
      <c r="P214" s="129"/>
      <c r="Q214" s="129"/>
      <c r="R214" s="396" t="s">
        <v>4191</v>
      </c>
      <c r="S214" s="569">
        <v>45054</v>
      </c>
      <c r="T214" s="572">
        <v>48</v>
      </c>
      <c r="U214" s="129">
        <v>0</v>
      </c>
      <c r="V214" s="129"/>
      <c r="W214" s="129"/>
      <c r="X214" s="357"/>
      <c r="Y214" s="102"/>
    </row>
    <row r="215" spans="1:25" ht="32.25" customHeight="1" x14ac:dyDescent="0.25">
      <c r="A215" s="131">
        <v>2</v>
      </c>
      <c r="B215" s="470" t="s">
        <v>1233</v>
      </c>
      <c r="C215" s="129" t="s">
        <v>1234</v>
      </c>
      <c r="D215" s="129" t="s">
        <v>1233</v>
      </c>
      <c r="E215" s="129">
        <v>1.0913999999999999</v>
      </c>
      <c r="F215" s="129">
        <v>20</v>
      </c>
      <c r="G215" s="129" t="s">
        <v>1235</v>
      </c>
      <c r="H215" s="129" t="s">
        <v>1236</v>
      </c>
      <c r="I215" s="129" t="s">
        <v>272</v>
      </c>
      <c r="J215" s="454" t="s">
        <v>1237</v>
      </c>
      <c r="K215" s="130" t="s">
        <v>1238</v>
      </c>
      <c r="L215" s="471" t="s">
        <v>1237</v>
      </c>
      <c r="M215" s="472">
        <v>44740</v>
      </c>
      <c r="N215" s="349"/>
      <c r="O215" s="129"/>
      <c r="P215" s="129"/>
      <c r="Q215" s="129"/>
      <c r="R215" s="573" t="s">
        <v>3686</v>
      </c>
      <c r="S215" s="574">
        <v>44848</v>
      </c>
      <c r="T215" s="575">
        <v>1.0913999999999999</v>
      </c>
      <c r="U215" s="129"/>
      <c r="V215" s="129"/>
      <c r="W215" s="129"/>
      <c r="X215" s="357"/>
      <c r="Y215" s="102"/>
    </row>
    <row r="216" spans="1:25" x14ac:dyDescent="0.25">
      <c r="A216" s="201">
        <v>3</v>
      </c>
      <c r="B216" s="262" t="s">
        <v>1841</v>
      </c>
      <c r="C216" s="202" t="s">
        <v>1842</v>
      </c>
      <c r="D216" s="202" t="s">
        <v>276</v>
      </c>
      <c r="E216" s="203">
        <v>1.4293</v>
      </c>
      <c r="F216" s="202">
        <v>20</v>
      </c>
      <c r="G216" s="202" t="s">
        <v>1843</v>
      </c>
      <c r="H216" s="202" t="s">
        <v>1844</v>
      </c>
      <c r="I216" s="202" t="s">
        <v>272</v>
      </c>
      <c r="J216" s="557">
        <v>10060796</v>
      </c>
      <c r="K216" s="204">
        <v>44831</v>
      </c>
      <c r="L216" s="262">
        <v>10060796</v>
      </c>
      <c r="M216" s="349">
        <v>44861</v>
      </c>
      <c r="N216" s="349">
        <v>45112</v>
      </c>
      <c r="O216" s="202"/>
      <c r="P216" s="202"/>
      <c r="Q216" s="202"/>
      <c r="R216" s="570" t="s">
        <v>4192</v>
      </c>
      <c r="S216" s="571">
        <v>45294</v>
      </c>
      <c r="T216" s="576">
        <v>1.4293</v>
      </c>
      <c r="U216" s="262"/>
      <c r="V216" s="262"/>
      <c r="W216" s="262"/>
      <c r="X216" s="357"/>
      <c r="Y216" s="102"/>
    </row>
    <row r="217" spans="1:25" x14ac:dyDescent="0.25">
      <c r="A217" s="201">
        <v>4</v>
      </c>
      <c r="B217" s="262" t="s">
        <v>1907</v>
      </c>
      <c r="C217" s="202" t="s">
        <v>1908</v>
      </c>
      <c r="D217" s="202" t="s">
        <v>270</v>
      </c>
      <c r="E217" s="202">
        <v>1.0879000000000001</v>
      </c>
      <c r="F217" s="202" t="s">
        <v>177</v>
      </c>
      <c r="G217" s="202" t="s">
        <v>1909</v>
      </c>
      <c r="H217" s="202" t="s">
        <v>1910</v>
      </c>
      <c r="I217" s="202" t="s">
        <v>272</v>
      </c>
      <c r="J217" s="557" t="s">
        <v>1911</v>
      </c>
      <c r="K217" s="204">
        <v>44875</v>
      </c>
      <c r="L217" s="262">
        <v>10265241</v>
      </c>
      <c r="M217" s="349">
        <v>44911</v>
      </c>
      <c r="N217" s="349"/>
      <c r="O217" s="202"/>
      <c r="P217" s="202"/>
      <c r="Q217" s="202"/>
      <c r="R217" s="577" t="s">
        <v>4193</v>
      </c>
      <c r="S217" s="578">
        <v>45106</v>
      </c>
      <c r="T217" s="579">
        <v>0.98099999999999998</v>
      </c>
      <c r="U217" s="202"/>
      <c r="V217" s="202"/>
      <c r="W217" s="202"/>
      <c r="X217" s="357"/>
      <c r="Y217" s="102"/>
    </row>
    <row r="218" spans="1:25" x14ac:dyDescent="0.25">
      <c r="A218" s="129">
        <v>5</v>
      </c>
      <c r="B218" s="262" t="s">
        <v>1907</v>
      </c>
      <c r="C218" s="202" t="s">
        <v>1912</v>
      </c>
      <c r="D218" s="202" t="s">
        <v>270</v>
      </c>
      <c r="E218" s="202">
        <v>4.5883000000000003</v>
      </c>
      <c r="F218" s="202" t="s">
        <v>177</v>
      </c>
      <c r="G218" s="202" t="s">
        <v>1909</v>
      </c>
      <c r="H218" s="202" t="s">
        <v>1913</v>
      </c>
      <c r="I218" s="202" t="s">
        <v>272</v>
      </c>
      <c r="J218" s="557" t="s">
        <v>1914</v>
      </c>
      <c r="K218" s="204">
        <v>44874</v>
      </c>
      <c r="L218" s="262" t="s">
        <v>1914</v>
      </c>
      <c r="M218" s="349">
        <v>44917</v>
      </c>
      <c r="N218" s="349">
        <v>45006</v>
      </c>
      <c r="O218" s="202"/>
      <c r="P218" s="202"/>
      <c r="Q218" s="202"/>
      <c r="R218" s="577" t="s">
        <v>4194</v>
      </c>
      <c r="S218" s="578">
        <v>45105</v>
      </c>
      <c r="T218" s="579">
        <v>4.0999999999999996</v>
      </c>
      <c r="U218" s="202"/>
      <c r="V218" s="202"/>
      <c r="W218" s="202"/>
      <c r="X218" s="357"/>
      <c r="Y218" s="102"/>
    </row>
    <row r="219" spans="1:25" x14ac:dyDescent="0.25">
      <c r="A219" s="131">
        <v>6</v>
      </c>
      <c r="B219" s="262" t="s">
        <v>1995</v>
      </c>
      <c r="C219" s="202" t="s">
        <v>2005</v>
      </c>
      <c r="D219" s="202" t="s">
        <v>276</v>
      </c>
      <c r="E219" s="244">
        <v>3.0150000000000001</v>
      </c>
      <c r="F219" s="202">
        <v>20</v>
      </c>
      <c r="G219" s="202" t="s">
        <v>2006</v>
      </c>
      <c r="H219" s="202" t="s">
        <v>2007</v>
      </c>
      <c r="I219" s="202" t="s">
        <v>272</v>
      </c>
      <c r="J219" s="557" t="s">
        <v>2008</v>
      </c>
      <c r="K219" s="349">
        <v>44886</v>
      </c>
      <c r="L219" s="262" t="s">
        <v>2008</v>
      </c>
      <c r="M219" s="349">
        <v>44914</v>
      </c>
      <c r="N219" s="349">
        <v>45190</v>
      </c>
      <c r="O219" s="202"/>
      <c r="P219" s="202"/>
      <c r="Q219" s="202"/>
      <c r="R219" s="577"/>
      <c r="S219" s="577"/>
      <c r="T219" s="579"/>
      <c r="U219" s="202"/>
      <c r="V219" s="202"/>
      <c r="W219" s="202"/>
      <c r="X219" s="357"/>
      <c r="Y219" s="102"/>
    </row>
    <row r="220" spans="1:25" x14ac:dyDescent="0.25">
      <c r="A220" s="201">
        <v>7</v>
      </c>
      <c r="B220" s="262" t="s">
        <v>1995</v>
      </c>
      <c r="C220" s="202" t="s">
        <v>2034</v>
      </c>
      <c r="D220" s="202" t="s">
        <v>276</v>
      </c>
      <c r="E220" s="253">
        <v>1.5049999999999999</v>
      </c>
      <c r="F220" s="202" t="s">
        <v>177</v>
      </c>
      <c r="G220" s="202" t="s">
        <v>2035</v>
      </c>
      <c r="H220" s="202" t="s">
        <v>2036</v>
      </c>
      <c r="I220" s="202" t="s">
        <v>272</v>
      </c>
      <c r="J220" s="557" t="s">
        <v>2037</v>
      </c>
      <c r="K220" s="204">
        <v>44894</v>
      </c>
      <c r="L220" s="262" t="s">
        <v>2037</v>
      </c>
      <c r="M220" s="349">
        <v>44914</v>
      </c>
      <c r="N220" s="349">
        <v>45190</v>
      </c>
      <c r="O220" s="202"/>
      <c r="P220" s="202"/>
      <c r="Q220" s="202"/>
      <c r="R220" s="577"/>
      <c r="S220" s="577"/>
      <c r="T220" s="579"/>
      <c r="U220" s="202"/>
      <c r="V220" s="202"/>
      <c r="W220" s="202"/>
      <c r="X220" s="357"/>
      <c r="Y220" s="102"/>
    </row>
    <row r="221" spans="1:25" x14ac:dyDescent="0.25">
      <c r="A221" s="201">
        <v>8</v>
      </c>
      <c r="B221" s="262" t="s">
        <v>1387</v>
      </c>
      <c r="C221" s="202" t="s">
        <v>2038</v>
      </c>
      <c r="D221" s="202" t="s">
        <v>270</v>
      </c>
      <c r="E221" s="253">
        <v>3.0348999999999999</v>
      </c>
      <c r="F221" s="202" t="s">
        <v>177</v>
      </c>
      <c r="G221" s="202" t="s">
        <v>1909</v>
      </c>
      <c r="H221" s="202" t="s">
        <v>2039</v>
      </c>
      <c r="I221" s="202" t="s">
        <v>272</v>
      </c>
      <c r="J221" s="557" t="s">
        <v>2040</v>
      </c>
      <c r="K221" s="204">
        <v>44897</v>
      </c>
      <c r="L221" s="262">
        <v>10735977</v>
      </c>
      <c r="M221" s="349">
        <v>44909</v>
      </c>
      <c r="N221" s="349"/>
      <c r="O221" s="202"/>
      <c r="P221" s="202"/>
      <c r="Q221" s="202"/>
      <c r="R221" s="577" t="s">
        <v>4195</v>
      </c>
      <c r="S221" s="578">
        <v>45105</v>
      </c>
      <c r="T221" s="579">
        <v>2.68</v>
      </c>
      <c r="U221" s="202"/>
      <c r="V221" s="202"/>
      <c r="W221" s="202"/>
      <c r="X221" s="357"/>
      <c r="Y221" s="102"/>
    </row>
    <row r="222" spans="1:25" x14ac:dyDescent="0.25">
      <c r="A222" s="129">
        <v>9</v>
      </c>
      <c r="B222" s="262" t="s">
        <v>2041</v>
      </c>
      <c r="C222" s="202" t="s">
        <v>2042</v>
      </c>
      <c r="D222" s="202" t="s">
        <v>276</v>
      </c>
      <c r="E222" s="253">
        <v>1.8769</v>
      </c>
      <c r="F222" s="202" t="s">
        <v>177</v>
      </c>
      <c r="G222" s="202" t="s">
        <v>1614</v>
      </c>
      <c r="H222" s="202" t="s">
        <v>2043</v>
      </c>
      <c r="I222" s="202" t="s">
        <v>272</v>
      </c>
      <c r="J222" s="557" t="s">
        <v>2044</v>
      </c>
      <c r="K222" s="204">
        <v>44894</v>
      </c>
      <c r="L222" s="262" t="s">
        <v>2044</v>
      </c>
      <c r="M222" s="349">
        <v>45313</v>
      </c>
      <c r="N222" s="349"/>
      <c r="O222" s="202"/>
      <c r="P222" s="202"/>
      <c r="Q222" s="202"/>
      <c r="R222" s="202"/>
      <c r="S222" s="202"/>
      <c r="T222" s="202"/>
      <c r="U222" s="202"/>
      <c r="V222" s="202"/>
      <c r="W222" s="202"/>
      <c r="X222" s="357"/>
      <c r="Y222" s="102"/>
    </row>
    <row r="223" spans="1:25" x14ac:dyDescent="0.25">
      <c r="A223" s="131">
        <v>10</v>
      </c>
      <c r="B223" s="262" t="s">
        <v>2045</v>
      </c>
      <c r="C223" s="202" t="s">
        <v>2046</v>
      </c>
      <c r="D223" s="202" t="s">
        <v>274</v>
      </c>
      <c r="E223" s="253">
        <v>3.4495</v>
      </c>
      <c r="F223" s="202" t="s">
        <v>183</v>
      </c>
      <c r="G223" s="262" t="s">
        <v>1472</v>
      </c>
      <c r="H223" s="202" t="s">
        <v>2047</v>
      </c>
      <c r="I223" s="202" t="s">
        <v>272</v>
      </c>
      <c r="J223" s="557" t="s">
        <v>2048</v>
      </c>
      <c r="K223" s="204">
        <v>44901</v>
      </c>
      <c r="L223" s="262" t="s">
        <v>2048</v>
      </c>
      <c r="M223" s="349">
        <v>45068</v>
      </c>
      <c r="N223" s="349">
        <v>45321</v>
      </c>
      <c r="O223" s="202"/>
      <c r="P223" s="202"/>
      <c r="Q223" s="202"/>
      <c r="R223" s="202"/>
      <c r="S223" s="202"/>
      <c r="T223" s="202"/>
      <c r="U223" s="202"/>
      <c r="V223" s="202"/>
      <c r="W223" s="202"/>
    </row>
    <row r="224" spans="1:25" x14ac:dyDescent="0.25">
      <c r="A224" s="201">
        <v>11</v>
      </c>
      <c r="B224" s="262" t="s">
        <v>2262</v>
      </c>
      <c r="C224" s="202" t="s">
        <v>2263</v>
      </c>
      <c r="D224" s="202" t="s">
        <v>900</v>
      </c>
      <c r="E224" s="202">
        <v>9.8889999999999993</v>
      </c>
      <c r="F224" s="202" t="s">
        <v>217</v>
      </c>
      <c r="G224" s="202" t="s">
        <v>2264</v>
      </c>
      <c r="H224" s="202" t="s">
        <v>2265</v>
      </c>
      <c r="I224" s="202" t="s">
        <v>272</v>
      </c>
      <c r="J224" s="557" t="s">
        <v>2266</v>
      </c>
      <c r="K224" s="204">
        <v>44923</v>
      </c>
      <c r="L224" s="262" t="s">
        <v>2266</v>
      </c>
      <c r="M224" s="349">
        <v>45282</v>
      </c>
      <c r="N224" s="349"/>
      <c r="O224" s="202"/>
      <c r="P224" s="202"/>
      <c r="Q224" s="202"/>
      <c r="R224" s="202"/>
      <c r="S224" s="202"/>
      <c r="T224" s="202"/>
      <c r="U224" s="202"/>
      <c r="V224" s="202"/>
      <c r="W224" s="202"/>
    </row>
    <row r="225" spans="1:25" x14ac:dyDescent="0.25">
      <c r="A225" s="201">
        <v>12</v>
      </c>
      <c r="B225" s="262" t="s">
        <v>2045</v>
      </c>
      <c r="C225" s="202" t="s">
        <v>2389</v>
      </c>
      <c r="D225" s="202" t="s">
        <v>274</v>
      </c>
      <c r="E225" s="253">
        <v>2.2661099999999998</v>
      </c>
      <c r="F225" s="202">
        <v>6</v>
      </c>
      <c r="G225" s="262" t="s">
        <v>2390</v>
      </c>
      <c r="H225" s="202" t="s">
        <v>2391</v>
      </c>
      <c r="I225" s="202" t="s">
        <v>272</v>
      </c>
      <c r="J225" s="557" t="s">
        <v>2392</v>
      </c>
      <c r="K225" s="204">
        <v>44977</v>
      </c>
      <c r="L225" s="262" t="s">
        <v>2392</v>
      </c>
      <c r="M225" s="349">
        <v>45068</v>
      </c>
      <c r="N225" s="349">
        <v>45321</v>
      </c>
      <c r="O225" s="202"/>
      <c r="P225" s="202"/>
      <c r="Q225" s="202"/>
      <c r="R225" s="202"/>
      <c r="S225" s="202"/>
      <c r="T225" s="202"/>
      <c r="U225" s="202"/>
      <c r="V225" s="202"/>
      <c r="W225" s="202"/>
    </row>
    <row r="226" spans="1:25" x14ac:dyDescent="0.25">
      <c r="A226" s="129">
        <v>13</v>
      </c>
      <c r="B226" s="311" t="s">
        <v>2393</v>
      </c>
      <c r="C226" s="312" t="s">
        <v>2394</v>
      </c>
      <c r="D226" s="312" t="s">
        <v>190</v>
      </c>
      <c r="E226" s="313">
        <v>10.430999999999999</v>
      </c>
      <c r="F226" s="312" t="s">
        <v>217</v>
      </c>
      <c r="G226" s="312" t="s">
        <v>2395</v>
      </c>
      <c r="H226" s="312" t="s">
        <v>2396</v>
      </c>
      <c r="I226" s="312" t="s">
        <v>272</v>
      </c>
      <c r="J226" s="558" t="s">
        <v>2397</v>
      </c>
      <c r="K226" s="314">
        <v>44984</v>
      </c>
      <c r="L226" s="262" t="s">
        <v>2397</v>
      </c>
      <c r="M226" s="349">
        <v>45383</v>
      </c>
      <c r="N226" s="349"/>
      <c r="O226" s="312"/>
      <c r="P226" s="312"/>
      <c r="Q226" s="312"/>
      <c r="R226" s="312"/>
      <c r="S226" s="312"/>
      <c r="T226" s="312"/>
      <c r="U226" s="312"/>
      <c r="V226" s="312"/>
      <c r="W226" s="360"/>
    </row>
    <row r="227" spans="1:25" x14ac:dyDescent="0.25">
      <c r="A227" s="131">
        <v>14</v>
      </c>
      <c r="B227" s="262" t="s">
        <v>2562</v>
      </c>
      <c r="C227" s="202" t="s">
        <v>2563</v>
      </c>
      <c r="D227" s="202" t="s">
        <v>276</v>
      </c>
      <c r="E227" s="253">
        <v>1.3914000000000002</v>
      </c>
      <c r="F227" s="202" t="s">
        <v>177</v>
      </c>
      <c r="G227" s="262" t="s">
        <v>2564</v>
      </c>
      <c r="H227" s="202" t="s">
        <v>2565</v>
      </c>
      <c r="I227" s="202" t="s">
        <v>272</v>
      </c>
      <c r="J227" s="557" t="s">
        <v>2566</v>
      </c>
      <c r="K227" s="204">
        <v>45020</v>
      </c>
      <c r="L227" s="262" t="s">
        <v>2566</v>
      </c>
      <c r="M227" s="349">
        <v>45121</v>
      </c>
      <c r="N227" s="349">
        <v>45314</v>
      </c>
      <c r="O227" s="202"/>
      <c r="P227" s="202"/>
      <c r="Q227" s="202"/>
      <c r="R227" s="202"/>
      <c r="S227" s="202"/>
      <c r="T227" s="202"/>
      <c r="U227" s="202"/>
      <c r="V227" s="202"/>
      <c r="W227" s="361"/>
    </row>
    <row r="228" spans="1:25" x14ac:dyDescent="0.25">
      <c r="A228" s="201">
        <v>16</v>
      </c>
      <c r="B228" s="262" t="s">
        <v>2752</v>
      </c>
      <c r="C228" s="202" t="s">
        <v>2489</v>
      </c>
      <c r="D228" s="202" t="s">
        <v>276</v>
      </c>
      <c r="E228" s="202">
        <v>1.925</v>
      </c>
      <c r="F228" s="202" t="s">
        <v>177</v>
      </c>
      <c r="G228" s="202" t="s">
        <v>2753</v>
      </c>
      <c r="H228" s="202" t="s">
        <v>2754</v>
      </c>
      <c r="I228" s="202" t="s">
        <v>272</v>
      </c>
      <c r="J228" s="557" t="s">
        <v>2755</v>
      </c>
      <c r="K228" s="204">
        <v>45043</v>
      </c>
      <c r="L228" s="262" t="s">
        <v>2755</v>
      </c>
      <c r="M228" s="349">
        <v>45363</v>
      </c>
      <c r="N228" s="202"/>
      <c r="O228" s="202"/>
      <c r="P228" s="202"/>
      <c r="Q228" s="202"/>
      <c r="R228" s="202"/>
      <c r="S228" s="202"/>
      <c r="T228" s="202"/>
      <c r="U228" s="202"/>
      <c r="V228" s="202"/>
      <c r="W228" s="361"/>
    </row>
    <row r="229" spans="1:25" x14ac:dyDescent="0.25">
      <c r="A229" s="129">
        <v>17</v>
      </c>
      <c r="B229" s="262" t="s">
        <v>2756</v>
      </c>
      <c r="C229" s="202" t="s">
        <v>2757</v>
      </c>
      <c r="D229" s="202" t="s">
        <v>274</v>
      </c>
      <c r="E229" s="202">
        <v>2.3701999999999996</v>
      </c>
      <c r="F229" s="202" t="s">
        <v>177</v>
      </c>
      <c r="G229" s="202" t="s">
        <v>2758</v>
      </c>
      <c r="H229" s="202" t="s">
        <v>2759</v>
      </c>
      <c r="I229" s="202" t="s">
        <v>272</v>
      </c>
      <c r="J229" s="557" t="s">
        <v>2760</v>
      </c>
      <c r="K229" s="204">
        <v>45040</v>
      </c>
      <c r="L229" s="262" t="s">
        <v>2760</v>
      </c>
      <c r="M229" s="349">
        <v>45127</v>
      </c>
      <c r="N229" s="202"/>
      <c r="O229" s="202"/>
      <c r="P229" s="202"/>
      <c r="Q229" s="202"/>
      <c r="R229" s="202"/>
      <c r="S229" s="202"/>
      <c r="T229" s="202"/>
      <c r="U229" s="202"/>
      <c r="V229" s="202"/>
      <c r="W229" s="361"/>
    </row>
    <row r="230" spans="1:25" x14ac:dyDescent="0.25">
      <c r="A230" s="131">
        <v>18</v>
      </c>
      <c r="B230" s="262" t="s">
        <v>2761</v>
      </c>
      <c r="C230" s="202" t="s">
        <v>2762</v>
      </c>
      <c r="D230" s="202" t="s">
        <v>276</v>
      </c>
      <c r="E230" s="253">
        <v>2.9569999999999999</v>
      </c>
      <c r="F230" s="202">
        <v>20</v>
      </c>
      <c r="G230" s="202" t="s">
        <v>2763</v>
      </c>
      <c r="H230" s="202" t="s">
        <v>2764</v>
      </c>
      <c r="I230" s="202" t="s">
        <v>272</v>
      </c>
      <c r="J230" s="557" t="s">
        <v>2765</v>
      </c>
      <c r="K230" s="204">
        <v>45051</v>
      </c>
      <c r="L230" s="262"/>
      <c r="M230" s="349"/>
      <c r="N230" s="202"/>
      <c r="O230" s="202"/>
      <c r="P230" s="202"/>
      <c r="Q230" s="202"/>
      <c r="R230" s="202"/>
      <c r="S230" s="202"/>
      <c r="T230" s="202"/>
      <c r="U230" s="202"/>
      <c r="V230" s="202"/>
      <c r="W230" s="361"/>
    </row>
    <row r="231" spans="1:25" x14ac:dyDescent="0.25">
      <c r="A231" s="201">
        <v>19</v>
      </c>
      <c r="B231" s="262" t="s">
        <v>1345</v>
      </c>
      <c r="C231" s="262" t="s">
        <v>2794</v>
      </c>
      <c r="D231" s="202" t="s">
        <v>274</v>
      </c>
      <c r="E231" s="253">
        <v>1.5654999999999999</v>
      </c>
      <c r="F231" s="202">
        <v>10</v>
      </c>
      <c r="G231" s="202" t="s">
        <v>2795</v>
      </c>
      <c r="H231" s="202" t="s">
        <v>2796</v>
      </c>
      <c r="I231" s="202" t="s">
        <v>272</v>
      </c>
      <c r="J231" s="557" t="s">
        <v>2797</v>
      </c>
      <c r="K231" s="204">
        <v>45062</v>
      </c>
      <c r="L231" s="262"/>
      <c r="M231" s="349"/>
      <c r="N231" s="202"/>
      <c r="O231" s="202"/>
      <c r="P231" s="202"/>
      <c r="Q231" s="202"/>
      <c r="R231" s="202"/>
      <c r="S231" s="202"/>
      <c r="T231" s="202"/>
      <c r="U231" s="202"/>
      <c r="V231" s="202"/>
      <c r="W231" s="361"/>
    </row>
    <row r="232" spans="1:25" x14ac:dyDescent="0.25">
      <c r="A232" s="129">
        <v>21</v>
      </c>
      <c r="B232" s="311" t="s">
        <v>3082</v>
      </c>
      <c r="C232" s="311" t="s">
        <v>579</v>
      </c>
      <c r="D232" s="311" t="s">
        <v>276</v>
      </c>
      <c r="E232" s="399">
        <v>4.3250000000000002</v>
      </c>
      <c r="F232" s="311" t="s">
        <v>177</v>
      </c>
      <c r="G232" s="311" t="s">
        <v>3083</v>
      </c>
      <c r="H232" s="311" t="s">
        <v>3084</v>
      </c>
      <c r="I232" s="311" t="s">
        <v>272</v>
      </c>
      <c r="J232" s="559" t="s">
        <v>3085</v>
      </c>
      <c r="K232" s="358">
        <v>45100</v>
      </c>
      <c r="L232" s="262"/>
      <c r="M232" s="349"/>
      <c r="N232" s="311"/>
      <c r="O232" s="311"/>
      <c r="P232" s="311"/>
      <c r="Q232" s="311"/>
      <c r="R232" s="311"/>
      <c r="S232" s="311"/>
      <c r="T232" s="311"/>
      <c r="U232" s="311"/>
      <c r="V232" s="311"/>
      <c r="W232" s="362"/>
    </row>
    <row r="233" spans="1:25" x14ac:dyDescent="0.25">
      <c r="A233" s="131">
        <v>22</v>
      </c>
      <c r="B233" s="262" t="s">
        <v>1345</v>
      </c>
      <c r="C233" s="262" t="s">
        <v>3488</v>
      </c>
      <c r="D233" s="262" t="s">
        <v>276</v>
      </c>
      <c r="E233" s="359">
        <v>1.593</v>
      </c>
      <c r="F233" s="262">
        <v>20</v>
      </c>
      <c r="G233" s="262" t="s">
        <v>3489</v>
      </c>
      <c r="H233" s="262" t="s">
        <v>3490</v>
      </c>
      <c r="I233" s="262" t="s">
        <v>272</v>
      </c>
      <c r="J233" s="560" t="s">
        <v>3491</v>
      </c>
      <c r="K233" s="349">
        <v>45155</v>
      </c>
      <c r="L233" s="744" t="s">
        <v>3491</v>
      </c>
      <c r="M233" s="767">
        <v>45496</v>
      </c>
      <c r="N233" s="262"/>
      <c r="O233" s="262"/>
      <c r="P233" s="262"/>
      <c r="Q233" s="262"/>
      <c r="R233" s="262"/>
      <c r="S233" s="262"/>
      <c r="T233" s="262"/>
      <c r="U233" s="262"/>
      <c r="V233" s="262"/>
      <c r="W233" s="262"/>
      <c r="X233" s="264"/>
      <c r="Y233" s="396"/>
    </row>
    <row r="234" spans="1:25" x14ac:dyDescent="0.25">
      <c r="A234" s="201">
        <v>23</v>
      </c>
      <c r="B234" s="262" t="s">
        <v>2771</v>
      </c>
      <c r="C234" s="262" t="s">
        <v>3756</v>
      </c>
      <c r="D234" s="262" t="s">
        <v>276</v>
      </c>
      <c r="E234" s="359">
        <v>2.2280000000000002</v>
      </c>
      <c r="F234" s="262" t="s">
        <v>177</v>
      </c>
      <c r="G234" s="262" t="s">
        <v>3757</v>
      </c>
      <c r="H234" s="262" t="s">
        <v>3758</v>
      </c>
      <c r="I234" s="262" t="s">
        <v>272</v>
      </c>
      <c r="J234" s="560" t="s">
        <v>3759</v>
      </c>
      <c r="K234" s="349">
        <v>45212</v>
      </c>
      <c r="L234" s="262" t="s">
        <v>3759</v>
      </c>
      <c r="M234" s="349">
        <v>45238</v>
      </c>
      <c r="N234" s="262"/>
      <c r="O234" s="262"/>
      <c r="P234" s="262"/>
      <c r="Q234" s="262"/>
      <c r="R234" s="262"/>
      <c r="S234" s="262"/>
      <c r="T234" s="262"/>
      <c r="U234" s="262"/>
      <c r="V234" s="262"/>
      <c r="W234" s="262"/>
      <c r="X234" s="264"/>
      <c r="Y234" s="396"/>
    </row>
    <row r="235" spans="1:25" x14ac:dyDescent="0.25">
      <c r="A235" s="201">
        <v>24</v>
      </c>
      <c r="B235" s="262" t="s">
        <v>3760</v>
      </c>
      <c r="C235" s="262" t="s">
        <v>3761</v>
      </c>
      <c r="D235" s="262" t="s">
        <v>917</v>
      </c>
      <c r="E235" s="359">
        <v>39.520000000000003</v>
      </c>
      <c r="F235" s="262" t="s">
        <v>217</v>
      </c>
      <c r="G235" s="262" t="s">
        <v>3762</v>
      </c>
      <c r="H235" s="262" t="s">
        <v>3763</v>
      </c>
      <c r="I235" s="262" t="s">
        <v>272</v>
      </c>
      <c r="J235" s="560" t="s">
        <v>3764</v>
      </c>
      <c r="K235" s="349">
        <v>45205</v>
      </c>
      <c r="L235" s="262"/>
      <c r="M235" s="349"/>
      <c r="N235" s="262"/>
      <c r="O235" s="262"/>
      <c r="P235" s="262"/>
      <c r="Q235" s="262"/>
      <c r="R235" s="262"/>
      <c r="S235" s="262"/>
      <c r="T235" s="262"/>
      <c r="U235" s="262"/>
      <c r="V235" s="262"/>
      <c r="W235" s="262"/>
      <c r="X235" s="264"/>
      <c r="Y235" s="396"/>
    </row>
    <row r="236" spans="1:25" x14ac:dyDescent="0.25">
      <c r="A236" s="201">
        <v>25</v>
      </c>
      <c r="B236" s="262" t="s">
        <v>3854</v>
      </c>
      <c r="C236" s="262" t="s">
        <v>3855</v>
      </c>
      <c r="D236" s="262" t="s">
        <v>276</v>
      </c>
      <c r="E236" s="359">
        <v>1.4139999999999999</v>
      </c>
      <c r="F236" s="262">
        <v>20</v>
      </c>
      <c r="G236" s="262" t="s">
        <v>3856</v>
      </c>
      <c r="H236" s="262" t="s">
        <v>3857</v>
      </c>
      <c r="I236" s="262" t="s">
        <v>272</v>
      </c>
      <c r="J236" s="560" t="s">
        <v>3858</v>
      </c>
      <c r="K236" s="349">
        <v>45232</v>
      </c>
      <c r="L236" s="262"/>
      <c r="M236" s="349"/>
      <c r="N236" s="262"/>
      <c r="O236" s="262"/>
      <c r="P236" s="262"/>
      <c r="Q236" s="262"/>
      <c r="R236" s="262"/>
      <c r="S236" s="262"/>
      <c r="T236" s="262"/>
      <c r="U236" s="262"/>
      <c r="V236" s="262"/>
      <c r="W236" s="262"/>
      <c r="X236" s="264"/>
      <c r="Y236" s="396"/>
    </row>
    <row r="237" spans="1:25" x14ac:dyDescent="0.25">
      <c r="A237" s="201">
        <v>26</v>
      </c>
      <c r="B237" s="262" t="s">
        <v>4196</v>
      </c>
      <c r="C237" s="262" t="s">
        <v>4197</v>
      </c>
      <c r="D237" s="262" t="s">
        <v>190</v>
      </c>
      <c r="E237" s="262">
        <v>47.615739999999995</v>
      </c>
      <c r="F237" s="262">
        <v>110</v>
      </c>
      <c r="G237" s="262" t="s">
        <v>2395</v>
      </c>
      <c r="H237" s="262" t="s">
        <v>4198</v>
      </c>
      <c r="I237" s="262" t="s">
        <v>272</v>
      </c>
      <c r="J237" s="262" t="s">
        <v>4199</v>
      </c>
      <c r="K237" s="349">
        <v>45254</v>
      </c>
      <c r="L237" s="262"/>
      <c r="M237" s="349"/>
      <c r="N237" s="262"/>
      <c r="O237" s="262"/>
      <c r="P237" s="262"/>
      <c r="Q237" s="262"/>
      <c r="R237" s="262"/>
      <c r="S237" s="262"/>
      <c r="T237" s="262"/>
      <c r="U237" s="262"/>
      <c r="V237" s="262"/>
      <c r="W237" s="262"/>
      <c r="X237" s="70"/>
      <c r="Y237" s="102"/>
    </row>
    <row r="238" spans="1:25" x14ac:dyDescent="0.25">
      <c r="A238" s="201">
        <v>27</v>
      </c>
      <c r="B238" s="262" t="s">
        <v>4200</v>
      </c>
      <c r="C238" s="262" t="s">
        <v>4201</v>
      </c>
      <c r="D238" s="262" t="s">
        <v>274</v>
      </c>
      <c r="E238" s="359">
        <v>1.4189400000000001</v>
      </c>
      <c r="F238" s="262">
        <v>20</v>
      </c>
      <c r="G238" s="262" t="s">
        <v>4202</v>
      </c>
      <c r="H238" s="262" t="s">
        <v>4203</v>
      </c>
      <c r="I238" s="262" t="s">
        <v>272</v>
      </c>
      <c r="J238" s="262" t="s">
        <v>4204</v>
      </c>
      <c r="K238" s="349">
        <v>45265</v>
      </c>
      <c r="L238" s="262" t="s">
        <v>4204</v>
      </c>
      <c r="M238" s="349">
        <v>45316</v>
      </c>
      <c r="N238" s="262"/>
      <c r="O238" s="262"/>
      <c r="P238" s="262"/>
      <c r="Q238" s="262"/>
      <c r="R238" s="262"/>
      <c r="S238" s="262"/>
      <c r="T238" s="262"/>
      <c r="U238" s="262"/>
      <c r="V238" s="262"/>
      <c r="W238" s="262"/>
      <c r="X238" s="70"/>
      <c r="Y238" s="102"/>
    </row>
    <row r="239" spans="1:25" x14ac:dyDescent="0.25">
      <c r="A239" s="201">
        <v>28</v>
      </c>
      <c r="B239" s="262" t="s">
        <v>4205</v>
      </c>
      <c r="C239" s="262" t="s">
        <v>4206</v>
      </c>
      <c r="D239" s="262" t="s">
        <v>276</v>
      </c>
      <c r="E239" s="359">
        <v>3.42</v>
      </c>
      <c r="F239" s="262">
        <v>20</v>
      </c>
      <c r="G239" s="262" t="s">
        <v>4207</v>
      </c>
      <c r="H239" s="262" t="s">
        <v>4208</v>
      </c>
      <c r="I239" s="262" t="s">
        <v>4209</v>
      </c>
      <c r="J239" s="262" t="s">
        <v>4210</v>
      </c>
      <c r="K239" s="349">
        <v>45274</v>
      </c>
      <c r="L239" s="262"/>
      <c r="M239" s="349"/>
      <c r="N239" s="262"/>
      <c r="O239" s="262"/>
      <c r="P239" s="262"/>
      <c r="Q239" s="262"/>
      <c r="R239" s="262"/>
      <c r="S239" s="262"/>
      <c r="T239" s="262"/>
      <c r="U239" s="262"/>
      <c r="V239" s="262"/>
      <c r="W239" s="262"/>
      <c r="X239" s="70"/>
      <c r="Y239" s="102"/>
    </row>
    <row r="240" spans="1:25" x14ac:dyDescent="0.25">
      <c r="A240" s="201">
        <v>29</v>
      </c>
      <c r="B240" s="262" t="s">
        <v>4211</v>
      </c>
      <c r="C240" s="262" t="s">
        <v>4212</v>
      </c>
      <c r="D240" s="262" t="s">
        <v>276</v>
      </c>
      <c r="E240" s="359">
        <v>1.69</v>
      </c>
      <c r="F240" s="262">
        <v>20</v>
      </c>
      <c r="G240" s="262" t="s">
        <v>4213</v>
      </c>
      <c r="H240" s="262" t="s">
        <v>4214</v>
      </c>
      <c r="I240" s="262" t="s">
        <v>4209</v>
      </c>
      <c r="J240" s="262" t="s">
        <v>4215</v>
      </c>
      <c r="K240" s="349">
        <v>45300</v>
      </c>
      <c r="L240" s="262"/>
      <c r="M240" s="349"/>
      <c r="N240" s="262"/>
      <c r="O240" s="262"/>
      <c r="P240" s="262"/>
      <c r="Q240" s="262"/>
      <c r="R240" s="262"/>
      <c r="S240" s="262"/>
      <c r="T240" s="262"/>
      <c r="U240" s="262"/>
      <c r="V240" s="262"/>
      <c r="W240" s="262"/>
      <c r="X240" s="70"/>
      <c r="Y240" s="102"/>
    </row>
    <row r="241" spans="1:25" x14ac:dyDescent="0.25">
      <c r="A241" s="201">
        <v>30</v>
      </c>
      <c r="B241" s="262" t="s">
        <v>4527</v>
      </c>
      <c r="C241" s="262" t="s">
        <v>4528</v>
      </c>
      <c r="D241" s="262" t="s">
        <v>276</v>
      </c>
      <c r="E241" s="359">
        <v>2.0449999999999999</v>
      </c>
      <c r="F241" s="262">
        <v>20</v>
      </c>
      <c r="G241" s="262" t="s">
        <v>4529</v>
      </c>
      <c r="H241" s="262" t="s">
        <v>4530</v>
      </c>
      <c r="I241" s="262" t="s">
        <v>4209</v>
      </c>
      <c r="J241" s="262" t="s">
        <v>4531</v>
      </c>
      <c r="K241" s="349">
        <v>45342</v>
      </c>
      <c r="L241" s="262"/>
      <c r="M241" s="349"/>
      <c r="N241" s="262"/>
      <c r="O241" s="262"/>
      <c r="P241" s="262"/>
      <c r="Q241" s="262"/>
      <c r="R241" s="262"/>
      <c r="S241" s="262"/>
      <c r="T241" s="262"/>
      <c r="U241" s="262"/>
      <c r="V241" s="262"/>
      <c r="W241" s="262"/>
      <c r="X241" s="70"/>
      <c r="Y241" s="102"/>
    </row>
    <row r="242" spans="1:25" x14ac:dyDescent="0.25">
      <c r="A242" s="201">
        <v>31</v>
      </c>
      <c r="B242" s="262" t="s">
        <v>4801</v>
      </c>
      <c r="C242" s="262" t="s">
        <v>4802</v>
      </c>
      <c r="D242" s="262" t="s">
        <v>276</v>
      </c>
      <c r="E242" s="359">
        <v>6.3849999999999998</v>
      </c>
      <c r="F242" s="262" t="s">
        <v>177</v>
      </c>
      <c r="G242" s="262" t="s">
        <v>4803</v>
      </c>
      <c r="H242" s="262" t="s">
        <v>4804</v>
      </c>
      <c r="I242" s="262" t="s">
        <v>4209</v>
      </c>
      <c r="J242" s="262" t="s">
        <v>4805</v>
      </c>
      <c r="K242" s="349">
        <v>45334</v>
      </c>
      <c r="L242" s="262"/>
      <c r="M242" s="349"/>
      <c r="N242" s="262"/>
      <c r="O242" s="262"/>
      <c r="P242" s="262"/>
      <c r="Q242" s="262"/>
      <c r="R242" s="262"/>
      <c r="S242" s="262"/>
      <c r="T242" s="262"/>
      <c r="U242" s="262"/>
      <c r="V242" s="262"/>
      <c r="W242" s="262"/>
      <c r="X242" s="70"/>
      <c r="Y242" s="102"/>
    </row>
    <row r="243" spans="1:25" x14ac:dyDescent="0.25">
      <c r="A243" s="201">
        <v>32</v>
      </c>
      <c r="B243" s="262" t="s">
        <v>4806</v>
      </c>
      <c r="C243" s="262" t="s">
        <v>4807</v>
      </c>
      <c r="D243" s="262" t="s">
        <v>276</v>
      </c>
      <c r="E243" s="359">
        <v>1.1100000000000001</v>
      </c>
      <c r="F243" s="262" t="s">
        <v>177</v>
      </c>
      <c r="G243" s="262" t="s">
        <v>4808</v>
      </c>
      <c r="H243" s="262" t="s">
        <v>4809</v>
      </c>
      <c r="I243" s="262" t="s">
        <v>4209</v>
      </c>
      <c r="J243" s="262" t="s">
        <v>4810</v>
      </c>
      <c r="K243" s="349">
        <v>45351</v>
      </c>
      <c r="L243" s="262"/>
      <c r="M243" s="349"/>
      <c r="N243" s="262"/>
      <c r="O243" s="262"/>
      <c r="P243" s="262"/>
      <c r="Q243" s="262"/>
      <c r="R243" s="262"/>
      <c r="S243" s="262"/>
      <c r="T243" s="262"/>
      <c r="U243" s="262"/>
      <c r="V243" s="262"/>
      <c r="W243" s="262"/>
      <c r="X243" s="70"/>
      <c r="Y243" s="102"/>
    </row>
    <row r="244" spans="1:25" x14ac:dyDescent="0.25">
      <c r="A244" s="201">
        <v>33</v>
      </c>
      <c r="B244" s="262" t="s">
        <v>4811</v>
      </c>
      <c r="C244" s="262" t="s">
        <v>4812</v>
      </c>
      <c r="D244" s="262" t="s">
        <v>276</v>
      </c>
      <c r="E244" s="359">
        <v>1.9</v>
      </c>
      <c r="F244" s="262" t="s">
        <v>177</v>
      </c>
      <c r="G244" s="262" t="s">
        <v>4813</v>
      </c>
      <c r="H244" s="262" t="s">
        <v>4814</v>
      </c>
      <c r="I244" s="262" t="s">
        <v>4209</v>
      </c>
      <c r="J244" s="262" t="s">
        <v>4815</v>
      </c>
      <c r="K244" s="349">
        <v>45352</v>
      </c>
      <c r="L244" s="262"/>
      <c r="M244" s="262"/>
      <c r="N244" s="262"/>
      <c r="O244" s="262"/>
      <c r="P244" s="262"/>
      <c r="Q244" s="262"/>
      <c r="R244" s="262"/>
      <c r="S244" s="262"/>
      <c r="T244" s="262"/>
      <c r="U244" s="262"/>
      <c r="V244" s="262"/>
      <c r="W244" s="262"/>
      <c r="X244" s="70"/>
      <c r="Y244" s="102"/>
    </row>
    <row r="245" spans="1:25" x14ac:dyDescent="0.25">
      <c r="A245" s="201">
        <v>34</v>
      </c>
      <c r="B245" s="262" t="s">
        <v>3854</v>
      </c>
      <c r="C245" s="262" t="s">
        <v>4816</v>
      </c>
      <c r="D245" s="262" t="s">
        <v>276</v>
      </c>
      <c r="E245" s="359">
        <v>1.958</v>
      </c>
      <c r="F245" s="262">
        <v>20</v>
      </c>
      <c r="G245" s="262" t="s">
        <v>4817</v>
      </c>
      <c r="H245" s="262" t="s">
        <v>4818</v>
      </c>
      <c r="I245" s="262" t="s">
        <v>4209</v>
      </c>
      <c r="J245" s="648" t="s">
        <v>4819</v>
      </c>
      <c r="K245" s="349">
        <v>45366</v>
      </c>
      <c r="L245" s="262"/>
      <c r="M245" s="262"/>
      <c r="N245" s="262"/>
      <c r="O245" s="262"/>
      <c r="P245" s="262"/>
      <c r="Q245" s="262"/>
      <c r="R245" s="262"/>
      <c r="S245" s="262"/>
      <c r="T245" s="262"/>
      <c r="U245" s="262"/>
      <c r="V245" s="262"/>
      <c r="W245" s="262"/>
      <c r="X245" s="70"/>
      <c r="Y245" s="102"/>
    </row>
    <row r="246" spans="1:25" x14ac:dyDescent="0.25">
      <c r="A246" s="201">
        <v>33</v>
      </c>
      <c r="B246" s="262" t="s">
        <v>5448</v>
      </c>
      <c r="C246" s="262" t="s">
        <v>5449</v>
      </c>
      <c r="D246" s="262" t="s">
        <v>276</v>
      </c>
      <c r="E246" s="359">
        <v>2.5704000000000002</v>
      </c>
      <c r="F246" s="262">
        <v>20</v>
      </c>
      <c r="G246" s="262" t="s">
        <v>5450</v>
      </c>
      <c r="H246" s="262" t="s">
        <v>5451</v>
      </c>
      <c r="I246" s="262" t="s">
        <v>4209</v>
      </c>
      <c r="J246" s="648" t="s">
        <v>5452</v>
      </c>
      <c r="K246" s="349">
        <v>45436</v>
      </c>
      <c r="L246" s="648" t="s">
        <v>5452</v>
      </c>
      <c r="M246" s="349">
        <v>45442</v>
      </c>
      <c r="N246" s="262"/>
      <c r="O246" s="262"/>
      <c r="P246" s="262"/>
      <c r="Q246" s="262"/>
      <c r="R246" s="262"/>
      <c r="S246" s="262"/>
      <c r="T246" s="262"/>
      <c r="U246" s="262"/>
      <c r="V246" s="262"/>
      <c r="W246" s="262"/>
      <c r="X246" s="70"/>
      <c r="Y246" s="102"/>
    </row>
    <row r="247" spans="1:25" x14ac:dyDescent="0.25">
      <c r="A247" s="201">
        <v>34</v>
      </c>
      <c r="B247" s="262" t="s">
        <v>5453</v>
      </c>
      <c r="C247" s="262" t="s">
        <v>5454</v>
      </c>
      <c r="D247" s="262" t="s">
        <v>270</v>
      </c>
      <c r="E247" s="359">
        <v>2.04</v>
      </c>
      <c r="F247" s="262" t="s">
        <v>177</v>
      </c>
      <c r="G247" s="262" t="s">
        <v>2968</v>
      </c>
      <c r="H247" s="262" t="s">
        <v>5455</v>
      </c>
      <c r="I247" s="262" t="s">
        <v>4209</v>
      </c>
      <c r="J247" s="648" t="s">
        <v>5456</v>
      </c>
      <c r="K247" s="349">
        <v>45476</v>
      </c>
      <c r="L247" s="262"/>
      <c r="M247" s="349"/>
      <c r="N247" s="262"/>
      <c r="O247" s="262"/>
      <c r="P247" s="262"/>
      <c r="Q247" s="262"/>
      <c r="R247" s="262"/>
      <c r="S247" s="262"/>
      <c r="T247" s="262"/>
      <c r="U247" s="262"/>
      <c r="V247" s="262"/>
      <c r="W247" s="262"/>
      <c r="X247" s="70"/>
      <c r="Y247" s="102"/>
    </row>
    <row r="248" spans="1:25" x14ac:dyDescent="0.25">
      <c r="A248" s="201">
        <v>35</v>
      </c>
      <c r="B248" s="262" t="s">
        <v>5457</v>
      </c>
      <c r="C248" s="262" t="s">
        <v>5458</v>
      </c>
      <c r="D248" s="262" t="s">
        <v>276</v>
      </c>
      <c r="E248" s="359">
        <v>4.6926800000000002</v>
      </c>
      <c r="F248" s="262" t="s">
        <v>177</v>
      </c>
      <c r="G248" s="262" t="s">
        <v>5459</v>
      </c>
      <c r="H248" s="262" t="s">
        <v>5460</v>
      </c>
      <c r="I248" s="262" t="s">
        <v>4209</v>
      </c>
      <c r="J248" s="648" t="s">
        <v>5461</v>
      </c>
      <c r="K248" s="349">
        <v>45471</v>
      </c>
      <c r="L248" s="262"/>
      <c r="M248" s="349"/>
      <c r="N248" s="262"/>
      <c r="O248" s="262"/>
      <c r="P248" s="262"/>
      <c r="Q248" s="262"/>
      <c r="R248" s="262"/>
      <c r="S248" s="262"/>
      <c r="T248" s="262"/>
      <c r="U248" s="262"/>
      <c r="V248" s="262"/>
      <c r="W248" s="262"/>
      <c r="X248" s="70"/>
      <c r="Y248" s="102"/>
    </row>
    <row r="249" spans="1:25" x14ac:dyDescent="0.25">
      <c r="A249" s="201">
        <v>36</v>
      </c>
      <c r="B249" s="262" t="s">
        <v>5462</v>
      </c>
      <c r="C249" s="262" t="s">
        <v>811</v>
      </c>
      <c r="D249" s="262" t="s">
        <v>270</v>
      </c>
      <c r="E249" s="359">
        <v>1.607</v>
      </c>
      <c r="F249" s="262" t="s">
        <v>177</v>
      </c>
      <c r="G249" s="262" t="s">
        <v>5463</v>
      </c>
      <c r="H249" s="262" t="s">
        <v>5464</v>
      </c>
      <c r="I249" s="262" t="s">
        <v>4209</v>
      </c>
      <c r="J249" s="648" t="s">
        <v>5465</v>
      </c>
      <c r="K249" s="349">
        <v>45496</v>
      </c>
      <c r="L249" s="262"/>
      <c r="M249" s="349"/>
      <c r="N249" s="262"/>
      <c r="O249" s="262"/>
      <c r="P249" s="262"/>
      <c r="Q249" s="262"/>
      <c r="R249" s="262"/>
      <c r="S249" s="262"/>
      <c r="T249" s="262"/>
      <c r="U249" s="262"/>
      <c r="V249" s="262"/>
      <c r="W249" s="262"/>
      <c r="X249" s="70"/>
      <c r="Y249" s="102"/>
    </row>
    <row r="250" spans="1:25" x14ac:dyDescent="0.25">
      <c r="A250" s="201">
        <v>37</v>
      </c>
      <c r="B250" s="262" t="s">
        <v>1387</v>
      </c>
      <c r="C250" s="262" t="s">
        <v>5466</v>
      </c>
      <c r="D250" s="262" t="s">
        <v>270</v>
      </c>
      <c r="E250" s="359">
        <v>1.7136</v>
      </c>
      <c r="F250" s="262" t="s">
        <v>177</v>
      </c>
      <c r="G250" s="262" t="s">
        <v>5463</v>
      </c>
      <c r="H250" s="262" t="s">
        <v>5467</v>
      </c>
      <c r="I250" s="262" t="s">
        <v>4209</v>
      </c>
      <c r="J250" s="648" t="s">
        <v>5468</v>
      </c>
      <c r="K250" s="349">
        <v>45475</v>
      </c>
      <c r="L250" s="262"/>
      <c r="M250" s="349"/>
      <c r="N250" s="262"/>
      <c r="O250" s="262"/>
      <c r="P250" s="262"/>
      <c r="Q250" s="262"/>
      <c r="R250" s="262"/>
      <c r="S250" s="262"/>
      <c r="T250" s="262"/>
      <c r="U250" s="262"/>
      <c r="V250" s="262"/>
      <c r="W250" s="262"/>
      <c r="X250" s="70"/>
      <c r="Y250" s="102"/>
    </row>
    <row r="251" spans="1:25" x14ac:dyDescent="0.25">
      <c r="A251" s="201">
        <v>38</v>
      </c>
      <c r="B251" s="262" t="s">
        <v>5634</v>
      </c>
      <c r="C251" s="262" t="s">
        <v>5635</v>
      </c>
      <c r="D251" s="262" t="s">
        <v>276</v>
      </c>
      <c r="E251" s="359">
        <v>2.9360999999999997</v>
      </c>
      <c r="F251" s="262" t="s">
        <v>177</v>
      </c>
      <c r="G251" s="262" t="s">
        <v>5636</v>
      </c>
      <c r="H251" s="262" t="s">
        <v>5637</v>
      </c>
      <c r="I251" s="262" t="s">
        <v>4209</v>
      </c>
      <c r="J251" s="648" t="s">
        <v>5638</v>
      </c>
      <c r="K251" s="349">
        <v>45530</v>
      </c>
      <c r="L251" s="262"/>
      <c r="M251" s="349"/>
      <c r="N251" s="262"/>
      <c r="O251" s="262"/>
      <c r="P251" s="262"/>
      <c r="Q251" s="262"/>
      <c r="R251" s="262"/>
      <c r="S251" s="262"/>
      <c r="T251" s="262"/>
      <c r="U251" s="262"/>
      <c r="V251" s="262"/>
      <c r="W251" s="262"/>
      <c r="X251" s="70"/>
      <c r="Y251" s="102"/>
    </row>
    <row r="252" spans="1:25" x14ac:dyDescent="0.25">
      <c r="B252" s="461"/>
      <c r="C252" s="461"/>
      <c r="D252" s="461"/>
      <c r="E252" s="461"/>
      <c r="F252" s="461"/>
      <c r="G252" s="461"/>
      <c r="H252" s="461"/>
      <c r="I252" s="461"/>
      <c r="J252" s="462"/>
      <c r="K252" s="465"/>
      <c r="L252" s="469"/>
      <c r="M252" s="465"/>
      <c r="N252" s="461"/>
      <c r="O252" s="461"/>
      <c r="P252" s="461"/>
      <c r="Q252" s="461"/>
      <c r="R252" s="461"/>
      <c r="S252" s="461"/>
      <c r="T252" s="461"/>
      <c r="U252" s="461"/>
      <c r="V252" s="461"/>
      <c r="W252" s="461"/>
    </row>
    <row r="253" spans="1:25" ht="63.75" x14ac:dyDescent="0.25">
      <c r="A253" s="44">
        <v>1</v>
      </c>
      <c r="B253" s="261" t="s">
        <v>341</v>
      </c>
      <c r="C253" s="44" t="s">
        <v>342</v>
      </c>
      <c r="D253" s="44" t="s">
        <v>296</v>
      </c>
      <c r="E253" s="44">
        <v>3.5</v>
      </c>
      <c r="F253" s="44">
        <v>20</v>
      </c>
      <c r="G253" s="44" t="s">
        <v>343</v>
      </c>
      <c r="H253" s="44" t="s">
        <v>344</v>
      </c>
      <c r="I253" s="44" t="s">
        <v>287</v>
      </c>
      <c r="J253" s="79">
        <v>1004106306</v>
      </c>
      <c r="K253" s="728">
        <v>44560</v>
      </c>
      <c r="L253" s="260">
        <v>1005089870</v>
      </c>
      <c r="M253" s="415">
        <v>44893</v>
      </c>
      <c r="N253" s="731">
        <v>45291</v>
      </c>
      <c r="O253" s="44" t="s">
        <v>25</v>
      </c>
      <c r="P253" s="44" t="s">
        <v>25</v>
      </c>
      <c r="Q253" s="44" t="s">
        <v>25</v>
      </c>
      <c r="R253" s="44"/>
      <c r="S253" s="44"/>
      <c r="T253" s="44"/>
      <c r="U253" s="44"/>
      <c r="V253" s="44"/>
      <c r="W253" s="44">
        <v>3.5</v>
      </c>
    </row>
    <row r="254" spans="1:25" s="219" customFormat="1" ht="38.25" x14ac:dyDescent="0.25">
      <c r="A254" s="44">
        <v>2</v>
      </c>
      <c r="B254" s="261" t="s">
        <v>293</v>
      </c>
      <c r="C254" s="44" t="s">
        <v>345</v>
      </c>
      <c r="D254" s="44" t="s">
        <v>290</v>
      </c>
      <c r="E254" s="44">
        <v>48.4</v>
      </c>
      <c r="F254" s="44">
        <v>110</v>
      </c>
      <c r="G254" s="44" t="s">
        <v>346</v>
      </c>
      <c r="H254" s="44" t="s">
        <v>347</v>
      </c>
      <c r="I254" s="44" t="s">
        <v>287</v>
      </c>
      <c r="J254" s="79">
        <v>1477</v>
      </c>
      <c r="K254" s="728">
        <v>44193</v>
      </c>
      <c r="L254" s="260">
        <v>84</v>
      </c>
      <c r="M254" s="415">
        <v>44508</v>
      </c>
      <c r="N254" s="731">
        <v>45291</v>
      </c>
      <c r="O254" s="44" t="s">
        <v>25</v>
      </c>
      <c r="P254" s="44" t="s">
        <v>25</v>
      </c>
      <c r="Q254" s="44" t="s">
        <v>25</v>
      </c>
      <c r="R254" s="44"/>
      <c r="S254" s="44"/>
      <c r="T254" s="44"/>
      <c r="U254" s="44"/>
      <c r="V254" s="44"/>
      <c r="W254" s="44">
        <v>48.4</v>
      </c>
      <c r="Y254" s="371"/>
    </row>
    <row r="255" spans="1:25" ht="51" x14ac:dyDescent="0.25">
      <c r="A255" s="44">
        <v>3</v>
      </c>
      <c r="B255" s="260" t="s">
        <v>1884</v>
      </c>
      <c r="C255" s="240" t="s">
        <v>1885</v>
      </c>
      <c r="D255" s="240" t="s">
        <v>296</v>
      </c>
      <c r="E255" s="240">
        <v>1.85</v>
      </c>
      <c r="F255" s="240">
        <v>20</v>
      </c>
      <c r="G255" s="240" t="s">
        <v>1886</v>
      </c>
      <c r="H255" s="240" t="s">
        <v>1887</v>
      </c>
      <c r="I255" s="240" t="s">
        <v>287</v>
      </c>
      <c r="J255" s="561">
        <v>1005055872</v>
      </c>
      <c r="K255" s="729">
        <v>44839</v>
      </c>
      <c r="L255" s="260">
        <v>1005307227</v>
      </c>
      <c r="M255" s="415">
        <v>45195</v>
      </c>
      <c r="N255" s="731">
        <v>45657</v>
      </c>
      <c r="O255" s="240" t="s">
        <v>25</v>
      </c>
      <c r="P255" s="240" t="s">
        <v>25</v>
      </c>
      <c r="Q255" s="240" t="s">
        <v>25</v>
      </c>
      <c r="R255" s="240"/>
      <c r="S255" s="240"/>
      <c r="T255" s="240"/>
      <c r="U255" s="240"/>
      <c r="V255" s="240"/>
      <c r="W255" s="240">
        <v>1.85</v>
      </c>
    </row>
    <row r="256" spans="1:25" ht="51" x14ac:dyDescent="0.25">
      <c r="A256" s="44">
        <v>4</v>
      </c>
      <c r="B256" s="260" t="s">
        <v>1888</v>
      </c>
      <c r="C256" s="240" t="s">
        <v>1889</v>
      </c>
      <c r="D256" s="240" t="s">
        <v>318</v>
      </c>
      <c r="E256" s="240">
        <v>3</v>
      </c>
      <c r="F256" s="240">
        <v>20</v>
      </c>
      <c r="G256" s="240" t="s">
        <v>318</v>
      </c>
      <c r="H256" s="240" t="s">
        <v>1887</v>
      </c>
      <c r="I256" s="240" t="s">
        <v>287</v>
      </c>
      <c r="J256" s="561">
        <v>1005075190</v>
      </c>
      <c r="K256" s="729">
        <v>44869</v>
      </c>
      <c r="L256" s="260">
        <v>1005318966</v>
      </c>
      <c r="M256" s="415">
        <v>45214</v>
      </c>
      <c r="N256" s="731">
        <v>45291</v>
      </c>
      <c r="O256" s="240" t="s">
        <v>25</v>
      </c>
      <c r="P256" s="240" t="s">
        <v>25</v>
      </c>
      <c r="Q256" s="240" t="s">
        <v>25</v>
      </c>
      <c r="R256" s="240"/>
      <c r="S256" s="240"/>
      <c r="T256" s="240"/>
      <c r="U256" s="240"/>
      <c r="V256" s="240"/>
      <c r="W256" s="240">
        <v>3</v>
      </c>
    </row>
    <row r="257" spans="1:26" ht="25.5" x14ac:dyDescent="0.25">
      <c r="A257" s="44">
        <v>5</v>
      </c>
      <c r="B257" s="260" t="s">
        <v>337</v>
      </c>
      <c r="C257" s="240" t="s">
        <v>2049</v>
      </c>
      <c r="D257" s="240" t="s">
        <v>284</v>
      </c>
      <c r="E257" s="240">
        <v>2.6259999999999999</v>
      </c>
      <c r="F257" s="240">
        <v>20</v>
      </c>
      <c r="G257" s="240" t="s">
        <v>339</v>
      </c>
      <c r="H257" s="240" t="s">
        <v>340</v>
      </c>
      <c r="I257" s="240" t="s">
        <v>287</v>
      </c>
      <c r="J257" s="561" t="s">
        <v>2050</v>
      </c>
      <c r="K257" s="729">
        <v>44925</v>
      </c>
      <c r="L257" s="260">
        <v>1004568658</v>
      </c>
      <c r="M257" s="415">
        <v>44690</v>
      </c>
      <c r="N257" s="731">
        <v>45291</v>
      </c>
      <c r="O257" s="240" t="s">
        <v>25</v>
      </c>
      <c r="P257" s="240" t="s">
        <v>25</v>
      </c>
      <c r="Q257" s="240" t="s">
        <v>25</v>
      </c>
      <c r="R257" s="240"/>
      <c r="S257" s="240"/>
      <c r="T257" s="240"/>
      <c r="U257" s="240"/>
      <c r="V257" s="240"/>
      <c r="W257" s="240">
        <v>2.6259999999999999</v>
      </c>
    </row>
    <row r="258" spans="1:26" ht="51" x14ac:dyDescent="0.25">
      <c r="A258" s="44">
        <v>6</v>
      </c>
      <c r="B258" s="260" t="s">
        <v>2087</v>
      </c>
      <c r="C258" s="240" t="s">
        <v>2088</v>
      </c>
      <c r="D258" s="240" t="s">
        <v>296</v>
      </c>
      <c r="E258" s="240">
        <v>2.5</v>
      </c>
      <c r="F258" s="240">
        <v>20</v>
      </c>
      <c r="G258" s="240" t="s">
        <v>2089</v>
      </c>
      <c r="H258" s="240" t="s">
        <v>340</v>
      </c>
      <c r="I258" s="240" t="s">
        <v>287</v>
      </c>
      <c r="J258" s="561" t="s">
        <v>2090</v>
      </c>
      <c r="K258" s="729">
        <v>44940</v>
      </c>
      <c r="L258" s="240">
        <v>1005336561</v>
      </c>
      <c r="M258" s="241">
        <v>45237</v>
      </c>
      <c r="N258" s="732">
        <v>45291</v>
      </c>
      <c r="O258" s="240" t="s">
        <v>25</v>
      </c>
      <c r="P258" s="240" t="s">
        <v>25</v>
      </c>
      <c r="Q258" s="240" t="s">
        <v>25</v>
      </c>
      <c r="R258" s="240"/>
      <c r="S258" s="240"/>
      <c r="T258" s="240"/>
      <c r="U258" s="240"/>
      <c r="V258" s="240"/>
      <c r="W258" s="240">
        <v>2.5</v>
      </c>
    </row>
    <row r="259" spans="1:26" ht="63.75" x14ac:dyDescent="0.25">
      <c r="A259" s="44">
        <v>7</v>
      </c>
      <c r="B259" s="260" t="s">
        <v>2351</v>
      </c>
      <c r="C259" s="240" t="s">
        <v>2352</v>
      </c>
      <c r="D259" s="240" t="s">
        <v>318</v>
      </c>
      <c r="E259" s="240">
        <v>4.7</v>
      </c>
      <c r="F259" s="240">
        <v>20</v>
      </c>
      <c r="G259" s="240" t="s">
        <v>2353</v>
      </c>
      <c r="H259" s="240" t="s">
        <v>2354</v>
      </c>
      <c r="I259" s="240" t="s">
        <v>287</v>
      </c>
      <c r="J259" s="561">
        <v>1005138518</v>
      </c>
      <c r="K259" s="729">
        <v>44972</v>
      </c>
      <c r="L259" s="240">
        <v>1005412010</v>
      </c>
      <c r="M259" s="241">
        <v>45335</v>
      </c>
      <c r="N259" s="732">
        <v>45657</v>
      </c>
      <c r="O259" s="240" t="s">
        <v>25</v>
      </c>
      <c r="P259" s="240" t="s">
        <v>25</v>
      </c>
      <c r="Q259" s="240" t="s">
        <v>25</v>
      </c>
      <c r="R259" s="240"/>
      <c r="S259" s="240"/>
      <c r="T259" s="240"/>
      <c r="U259" s="240"/>
      <c r="V259" s="240"/>
      <c r="W259" s="240">
        <v>4.7</v>
      </c>
    </row>
    <row r="260" spans="1:26" ht="63.75" x14ac:dyDescent="0.25">
      <c r="A260" s="44">
        <v>8</v>
      </c>
      <c r="B260" s="260" t="s">
        <v>2369</v>
      </c>
      <c r="C260" s="240" t="s">
        <v>2370</v>
      </c>
      <c r="D260" s="240" t="s">
        <v>301</v>
      </c>
      <c r="E260" s="240">
        <v>0.95</v>
      </c>
      <c r="F260" s="240">
        <v>20</v>
      </c>
      <c r="G260" s="240" t="s">
        <v>2371</v>
      </c>
      <c r="H260" s="240" t="s">
        <v>2372</v>
      </c>
      <c r="I260" s="240" t="s">
        <v>287</v>
      </c>
      <c r="J260" s="561">
        <v>1005147037</v>
      </c>
      <c r="K260" s="729">
        <v>44986</v>
      </c>
      <c r="L260" s="240">
        <v>1005223886</v>
      </c>
      <c r="M260" s="241">
        <v>45104</v>
      </c>
      <c r="N260" s="732">
        <v>45291</v>
      </c>
      <c r="O260" s="240" t="s">
        <v>25</v>
      </c>
      <c r="P260" s="240" t="s">
        <v>25</v>
      </c>
      <c r="Q260" s="240" t="s">
        <v>25</v>
      </c>
      <c r="R260" s="240">
        <v>1005347455</v>
      </c>
      <c r="S260" s="240">
        <v>45251</v>
      </c>
      <c r="T260" s="240">
        <v>0.99</v>
      </c>
      <c r="U260" s="240" t="s">
        <v>2373</v>
      </c>
      <c r="V260" s="240">
        <v>0.99</v>
      </c>
      <c r="W260" s="240">
        <v>0</v>
      </c>
    </row>
    <row r="261" spans="1:26" ht="38.25" x14ac:dyDescent="0.25">
      <c r="A261" s="44">
        <v>9</v>
      </c>
      <c r="B261" s="260" t="s">
        <v>2468</v>
      </c>
      <c r="C261" s="240" t="s">
        <v>2469</v>
      </c>
      <c r="D261" s="240" t="s">
        <v>2470</v>
      </c>
      <c r="E261" s="240">
        <v>2.75</v>
      </c>
      <c r="F261" s="240">
        <v>20</v>
      </c>
      <c r="G261" s="240" t="s">
        <v>2471</v>
      </c>
      <c r="H261" s="240" t="s">
        <v>1887</v>
      </c>
      <c r="I261" s="240" t="s">
        <v>287</v>
      </c>
      <c r="J261" s="561">
        <v>1005161460</v>
      </c>
      <c r="K261" s="729">
        <v>45008</v>
      </c>
      <c r="L261" s="240">
        <v>1005602342</v>
      </c>
      <c r="M261" s="241">
        <v>45366</v>
      </c>
      <c r="N261" s="732">
        <v>45374</v>
      </c>
      <c r="O261" s="240" t="s">
        <v>25</v>
      </c>
      <c r="P261" s="240" t="s">
        <v>25</v>
      </c>
      <c r="Q261" s="240" t="s">
        <v>25</v>
      </c>
      <c r="R261" s="240"/>
      <c r="S261" s="240"/>
      <c r="T261" s="240"/>
      <c r="U261" s="240"/>
      <c r="V261" s="240"/>
      <c r="W261" s="240">
        <v>2.75</v>
      </c>
    </row>
    <row r="262" spans="1:26" ht="51" x14ac:dyDescent="0.25">
      <c r="A262" s="44">
        <v>10</v>
      </c>
      <c r="B262" s="260" t="s">
        <v>2472</v>
      </c>
      <c r="C262" s="240" t="s">
        <v>2473</v>
      </c>
      <c r="D262" s="240" t="s">
        <v>2474</v>
      </c>
      <c r="E262" s="240">
        <v>1.6</v>
      </c>
      <c r="F262" s="240">
        <v>20</v>
      </c>
      <c r="G262" s="240" t="s">
        <v>2475</v>
      </c>
      <c r="H262" s="240" t="s">
        <v>1887</v>
      </c>
      <c r="I262" s="240" t="s">
        <v>287</v>
      </c>
      <c r="J262" s="561">
        <v>1005167970</v>
      </c>
      <c r="K262" s="729">
        <v>45016</v>
      </c>
      <c r="L262" s="240">
        <v>1005604304</v>
      </c>
      <c r="M262" s="241">
        <v>45366</v>
      </c>
      <c r="N262" s="732">
        <v>45291</v>
      </c>
      <c r="O262" s="240" t="s">
        <v>25</v>
      </c>
      <c r="P262" s="240" t="s">
        <v>25</v>
      </c>
      <c r="Q262" s="240" t="s">
        <v>25</v>
      </c>
      <c r="R262" s="240"/>
      <c r="S262" s="240"/>
      <c r="T262" s="240"/>
      <c r="U262" s="240"/>
      <c r="V262" s="240"/>
      <c r="W262" s="240">
        <v>1.6</v>
      </c>
      <c r="Z262" s="87"/>
    </row>
    <row r="263" spans="1:26" ht="63.75" x14ac:dyDescent="0.25">
      <c r="A263" s="44">
        <v>11</v>
      </c>
      <c r="B263" s="260" t="s">
        <v>2517</v>
      </c>
      <c r="C263" s="240" t="s">
        <v>2518</v>
      </c>
      <c r="D263" s="240" t="s">
        <v>2519</v>
      </c>
      <c r="E263" s="240">
        <v>2.58</v>
      </c>
      <c r="F263" s="240">
        <v>20</v>
      </c>
      <c r="G263" s="240" t="s">
        <v>2520</v>
      </c>
      <c r="H263" s="240" t="s">
        <v>2521</v>
      </c>
      <c r="I263" s="240" t="s">
        <v>287</v>
      </c>
      <c r="J263" s="561">
        <v>1005172464</v>
      </c>
      <c r="K263" s="729">
        <v>45022</v>
      </c>
      <c r="L263" s="240">
        <v>1005411552</v>
      </c>
      <c r="M263" s="241">
        <v>45331</v>
      </c>
      <c r="N263" s="732">
        <v>45388</v>
      </c>
      <c r="O263" s="240" t="s">
        <v>25</v>
      </c>
      <c r="P263" s="240" t="s">
        <v>25</v>
      </c>
      <c r="Q263" s="240" t="s">
        <v>25</v>
      </c>
      <c r="R263" s="240"/>
      <c r="S263" s="240"/>
      <c r="T263" s="240"/>
      <c r="U263" s="240" t="s">
        <v>4669</v>
      </c>
      <c r="V263" s="240"/>
      <c r="W263" s="240">
        <v>0</v>
      </c>
      <c r="Z263" s="87"/>
    </row>
    <row r="264" spans="1:26" ht="76.5" x14ac:dyDescent="0.25">
      <c r="A264" s="44">
        <v>12</v>
      </c>
      <c r="B264" s="260" t="s">
        <v>2351</v>
      </c>
      <c r="C264" s="260" t="s">
        <v>2617</v>
      </c>
      <c r="D264" s="240" t="s">
        <v>318</v>
      </c>
      <c r="E264" s="240">
        <v>4</v>
      </c>
      <c r="F264" s="240">
        <v>20</v>
      </c>
      <c r="G264" s="240" t="s">
        <v>318</v>
      </c>
      <c r="H264" s="240" t="s">
        <v>2618</v>
      </c>
      <c r="I264" s="240" t="s">
        <v>287</v>
      </c>
      <c r="J264" s="421">
        <v>1005314340</v>
      </c>
      <c r="K264" s="730">
        <v>45201</v>
      </c>
      <c r="L264" s="240">
        <v>1005590093</v>
      </c>
      <c r="M264" s="241">
        <v>45369</v>
      </c>
      <c r="N264" s="732">
        <v>45291</v>
      </c>
      <c r="O264" s="240" t="s">
        <v>25</v>
      </c>
      <c r="P264" s="240" t="s">
        <v>25</v>
      </c>
      <c r="Q264" s="240" t="s">
        <v>25</v>
      </c>
      <c r="R264" s="240"/>
      <c r="S264" s="240"/>
      <c r="T264" s="240"/>
      <c r="U264" s="240"/>
      <c r="V264" s="240"/>
      <c r="W264" s="240">
        <v>4</v>
      </c>
      <c r="Z264" s="87"/>
    </row>
    <row r="265" spans="1:26" ht="51" x14ac:dyDescent="0.25">
      <c r="A265" s="44">
        <v>13</v>
      </c>
      <c r="B265" s="260" t="s">
        <v>3087</v>
      </c>
      <c r="C265" s="260" t="s">
        <v>3088</v>
      </c>
      <c r="D265" s="240" t="s">
        <v>318</v>
      </c>
      <c r="E265" s="240">
        <v>1.125</v>
      </c>
      <c r="F265" s="240">
        <v>20</v>
      </c>
      <c r="G265" s="240" t="s">
        <v>3086</v>
      </c>
      <c r="H265" s="240" t="s">
        <v>3089</v>
      </c>
      <c r="I265" s="240" t="s">
        <v>287</v>
      </c>
      <c r="J265" s="561">
        <v>1005226533</v>
      </c>
      <c r="K265" s="729">
        <v>45107</v>
      </c>
      <c r="L265" s="619">
        <v>1005676069</v>
      </c>
      <c r="M265" s="733">
        <v>45448</v>
      </c>
      <c r="N265" s="732">
        <v>45657</v>
      </c>
      <c r="O265" s="240" t="s">
        <v>25</v>
      </c>
      <c r="P265" s="240" t="s">
        <v>25</v>
      </c>
      <c r="Q265" s="240" t="s">
        <v>25</v>
      </c>
      <c r="R265" s="240"/>
      <c r="S265" s="240"/>
      <c r="T265" s="240"/>
      <c r="U265" s="240"/>
      <c r="V265" s="240"/>
      <c r="W265" s="240">
        <v>1.125</v>
      </c>
      <c r="Z265" s="87"/>
    </row>
    <row r="266" spans="1:26" ht="50.25" customHeight="1" x14ac:dyDescent="0.25">
      <c r="A266" s="44">
        <v>14</v>
      </c>
      <c r="B266" s="260" t="s">
        <v>3090</v>
      </c>
      <c r="C266" s="260" t="s">
        <v>3091</v>
      </c>
      <c r="D266" s="240" t="s">
        <v>290</v>
      </c>
      <c r="E266" s="240">
        <v>1.8</v>
      </c>
      <c r="F266" s="240">
        <v>20</v>
      </c>
      <c r="G266" s="240" t="s">
        <v>3092</v>
      </c>
      <c r="H266" s="240" t="s">
        <v>3093</v>
      </c>
      <c r="I266" s="240" t="s">
        <v>287</v>
      </c>
      <c r="J266" s="561">
        <v>1005230338</v>
      </c>
      <c r="K266" s="729">
        <v>45113</v>
      </c>
      <c r="L266" s="240">
        <v>1005339728</v>
      </c>
      <c r="M266" s="241">
        <v>45239</v>
      </c>
      <c r="N266" s="732">
        <v>45291</v>
      </c>
      <c r="O266" s="240" t="s">
        <v>25</v>
      </c>
      <c r="P266" s="240" t="s">
        <v>25</v>
      </c>
      <c r="Q266" s="240" t="s">
        <v>25</v>
      </c>
      <c r="R266" s="240"/>
      <c r="S266" s="240"/>
      <c r="T266" s="240"/>
      <c r="U266" s="240"/>
      <c r="V266" s="240"/>
      <c r="W266" s="240">
        <v>1.8</v>
      </c>
      <c r="Z266" s="87"/>
    </row>
    <row r="267" spans="1:26" ht="39.75" customHeight="1" x14ac:dyDescent="0.25">
      <c r="A267" s="44">
        <v>15</v>
      </c>
      <c r="B267" s="260" t="s">
        <v>3094</v>
      </c>
      <c r="C267" s="260" t="s">
        <v>3095</v>
      </c>
      <c r="D267" s="240" t="s">
        <v>284</v>
      </c>
      <c r="E267" s="240">
        <v>4</v>
      </c>
      <c r="F267" s="240">
        <v>20</v>
      </c>
      <c r="G267" s="240" t="s">
        <v>3096</v>
      </c>
      <c r="H267" s="240" t="s">
        <v>3097</v>
      </c>
      <c r="I267" s="240" t="s">
        <v>287</v>
      </c>
      <c r="J267" s="561" t="s">
        <v>3098</v>
      </c>
      <c r="K267" s="729">
        <v>45121</v>
      </c>
      <c r="L267" s="619">
        <v>1005704306</v>
      </c>
      <c r="M267" s="733">
        <v>45484</v>
      </c>
      <c r="N267" s="732">
        <v>45657</v>
      </c>
      <c r="O267" s="240" t="s">
        <v>25</v>
      </c>
      <c r="P267" s="240" t="s">
        <v>25</v>
      </c>
      <c r="Q267" s="240" t="s">
        <v>25</v>
      </c>
      <c r="R267" s="240"/>
      <c r="S267" s="240"/>
      <c r="T267" s="240"/>
      <c r="U267" s="240"/>
      <c r="V267" s="240"/>
      <c r="W267" s="240">
        <v>4</v>
      </c>
      <c r="Z267" s="87"/>
    </row>
    <row r="268" spans="1:26" ht="42.75" customHeight="1" x14ac:dyDescent="0.25">
      <c r="A268" s="44">
        <v>16</v>
      </c>
      <c r="B268" s="260" t="s">
        <v>3119</v>
      </c>
      <c r="C268" s="260" t="s">
        <v>3120</v>
      </c>
      <c r="D268" s="240" t="s">
        <v>372</v>
      </c>
      <c r="E268" s="240">
        <v>1.82</v>
      </c>
      <c r="F268" s="240">
        <v>20</v>
      </c>
      <c r="G268" s="240" t="s">
        <v>3121</v>
      </c>
      <c r="H268" s="240" t="s">
        <v>1887</v>
      </c>
      <c r="I268" s="240" t="s">
        <v>287</v>
      </c>
      <c r="J268" s="561">
        <v>1005227183</v>
      </c>
      <c r="K268" s="729">
        <v>45110</v>
      </c>
      <c r="L268" s="240">
        <v>1005256055</v>
      </c>
      <c r="M268" s="241">
        <v>45162</v>
      </c>
      <c r="N268" s="732">
        <v>45657</v>
      </c>
      <c r="O268" s="240" t="s">
        <v>25</v>
      </c>
      <c r="P268" s="240" t="s">
        <v>25</v>
      </c>
      <c r="Q268" s="240" t="s">
        <v>25</v>
      </c>
      <c r="R268" s="240"/>
      <c r="S268" s="240"/>
      <c r="T268" s="240"/>
      <c r="U268" s="240"/>
      <c r="V268" s="240"/>
      <c r="W268" s="240">
        <v>1.82</v>
      </c>
      <c r="Z268" s="87"/>
    </row>
    <row r="269" spans="1:26" ht="42" customHeight="1" x14ac:dyDescent="0.25">
      <c r="A269" s="44">
        <v>17</v>
      </c>
      <c r="B269" s="260" t="s">
        <v>3205</v>
      </c>
      <c r="C269" s="260" t="s">
        <v>3206</v>
      </c>
      <c r="D269" s="240" t="s">
        <v>296</v>
      </c>
      <c r="E269" s="240">
        <v>0.9</v>
      </c>
      <c r="F269" s="240">
        <v>20</v>
      </c>
      <c r="G269" s="240" t="s">
        <v>2586</v>
      </c>
      <c r="H269" s="240" t="s">
        <v>1887</v>
      </c>
      <c r="I269" s="240" t="s">
        <v>287</v>
      </c>
      <c r="J269" s="561">
        <v>1005241622</v>
      </c>
      <c r="K269" s="241">
        <v>45132</v>
      </c>
      <c r="L269" s="240"/>
      <c r="M269" s="241"/>
      <c r="N269" s="241">
        <v>45657</v>
      </c>
      <c r="O269" s="240" t="s">
        <v>25</v>
      </c>
      <c r="P269" s="240" t="s">
        <v>25</v>
      </c>
      <c r="Q269" s="240" t="s">
        <v>25</v>
      </c>
      <c r="R269" s="240"/>
      <c r="S269" s="240"/>
      <c r="T269" s="240"/>
      <c r="U269" s="240"/>
      <c r="V269" s="240"/>
      <c r="W269" s="240">
        <v>0.9</v>
      </c>
      <c r="Z269" s="87"/>
    </row>
    <row r="270" spans="1:26" ht="51" x14ac:dyDescent="0.25">
      <c r="A270" s="44">
        <v>18</v>
      </c>
      <c r="B270" s="260" t="s">
        <v>3207</v>
      </c>
      <c r="C270" s="260" t="s">
        <v>3208</v>
      </c>
      <c r="D270" s="240" t="s">
        <v>296</v>
      </c>
      <c r="E270" s="240">
        <v>0.9</v>
      </c>
      <c r="F270" s="240">
        <v>20</v>
      </c>
      <c r="G270" s="240" t="s">
        <v>2586</v>
      </c>
      <c r="H270" s="240" t="s">
        <v>1887</v>
      </c>
      <c r="I270" s="240" t="s">
        <v>287</v>
      </c>
      <c r="J270" s="561">
        <v>1005241619</v>
      </c>
      <c r="K270" s="241">
        <v>45132</v>
      </c>
      <c r="L270" s="240"/>
      <c r="M270" s="241"/>
      <c r="N270" s="241">
        <v>45657</v>
      </c>
      <c r="O270" s="240" t="s">
        <v>25</v>
      </c>
      <c r="P270" s="240" t="s">
        <v>25</v>
      </c>
      <c r="Q270" s="240" t="s">
        <v>25</v>
      </c>
      <c r="R270" s="240"/>
      <c r="S270" s="240"/>
      <c r="T270" s="240"/>
      <c r="U270" s="240"/>
      <c r="V270" s="240"/>
      <c r="W270" s="240">
        <v>0.9</v>
      </c>
      <c r="Z270" s="87"/>
    </row>
    <row r="271" spans="1:26" ht="51" x14ac:dyDescent="0.25">
      <c r="A271" s="44">
        <v>19</v>
      </c>
      <c r="B271" s="260" t="s">
        <v>3209</v>
      </c>
      <c r="C271" s="260" t="s">
        <v>3210</v>
      </c>
      <c r="D271" s="240" t="s">
        <v>296</v>
      </c>
      <c r="E271" s="240">
        <v>1.4</v>
      </c>
      <c r="F271" s="240">
        <v>20</v>
      </c>
      <c r="G271" s="240" t="s">
        <v>3211</v>
      </c>
      <c r="H271" s="240" t="s">
        <v>3212</v>
      </c>
      <c r="I271" s="240" t="s">
        <v>287</v>
      </c>
      <c r="J271" s="561" t="s">
        <v>3213</v>
      </c>
      <c r="K271" s="241">
        <v>45135</v>
      </c>
      <c r="L271" s="240"/>
      <c r="M271" s="241"/>
      <c r="N271" s="241">
        <v>45291</v>
      </c>
      <c r="O271" s="240" t="s">
        <v>25</v>
      </c>
      <c r="P271" s="240" t="s">
        <v>25</v>
      </c>
      <c r="Q271" s="240" t="s">
        <v>25</v>
      </c>
      <c r="R271" s="240"/>
      <c r="S271" s="240"/>
      <c r="T271" s="240"/>
      <c r="U271" s="240"/>
      <c r="V271" s="240"/>
      <c r="W271" s="240">
        <v>1.4</v>
      </c>
      <c r="Z271" s="87"/>
    </row>
    <row r="272" spans="1:26" ht="51" x14ac:dyDescent="0.25">
      <c r="A272" s="44">
        <v>20</v>
      </c>
      <c r="B272" s="260" t="s">
        <v>3441</v>
      </c>
      <c r="C272" s="260" t="s">
        <v>3442</v>
      </c>
      <c r="D272" s="240" t="s">
        <v>284</v>
      </c>
      <c r="E272" s="240">
        <v>1.5</v>
      </c>
      <c r="F272" s="240">
        <v>20</v>
      </c>
      <c r="G272" s="240" t="s">
        <v>3443</v>
      </c>
      <c r="H272" s="240" t="s">
        <v>1887</v>
      </c>
      <c r="I272" s="240" t="s">
        <v>287</v>
      </c>
      <c r="J272" s="561" t="s">
        <v>3444</v>
      </c>
      <c r="K272" s="241">
        <v>45152</v>
      </c>
      <c r="L272" s="240"/>
      <c r="M272" s="241"/>
      <c r="N272" s="241">
        <v>45657</v>
      </c>
      <c r="O272" s="240" t="s">
        <v>25</v>
      </c>
      <c r="P272" s="240" t="s">
        <v>25</v>
      </c>
      <c r="Q272" s="240" t="s">
        <v>25</v>
      </c>
      <c r="R272" s="240"/>
      <c r="S272" s="240"/>
      <c r="T272" s="240"/>
      <c r="U272" s="240"/>
      <c r="V272" s="240"/>
      <c r="W272" s="240">
        <v>1.5</v>
      </c>
      <c r="Z272" s="87"/>
    </row>
    <row r="273" spans="1:26" ht="51" x14ac:dyDescent="0.25">
      <c r="A273" s="44">
        <v>21</v>
      </c>
      <c r="B273" s="260" t="s">
        <v>3445</v>
      </c>
      <c r="C273" s="260" t="s">
        <v>3446</v>
      </c>
      <c r="D273" s="240" t="s">
        <v>296</v>
      </c>
      <c r="E273" s="240">
        <v>1.2</v>
      </c>
      <c r="F273" s="240">
        <v>20</v>
      </c>
      <c r="G273" s="240" t="s">
        <v>2586</v>
      </c>
      <c r="H273" s="240" t="s">
        <v>1887</v>
      </c>
      <c r="I273" s="240" t="s">
        <v>287</v>
      </c>
      <c r="J273" s="561" t="s">
        <v>3447</v>
      </c>
      <c r="K273" s="241">
        <v>45152</v>
      </c>
      <c r="L273" s="240"/>
      <c r="M273" s="241"/>
      <c r="N273" s="241">
        <v>45657</v>
      </c>
      <c r="O273" s="240" t="s">
        <v>25</v>
      </c>
      <c r="P273" s="240" t="s">
        <v>25</v>
      </c>
      <c r="Q273" s="240" t="s">
        <v>25</v>
      </c>
      <c r="R273" s="240"/>
      <c r="S273" s="240"/>
      <c r="T273" s="240"/>
      <c r="U273" s="240"/>
      <c r="V273" s="240"/>
      <c r="W273" s="240">
        <v>1.2</v>
      </c>
      <c r="Z273" s="87"/>
    </row>
    <row r="274" spans="1:26" ht="51" x14ac:dyDescent="0.25">
      <c r="A274" s="44">
        <v>22</v>
      </c>
      <c r="B274" s="260" t="s">
        <v>3533</v>
      </c>
      <c r="C274" s="260" t="s">
        <v>3534</v>
      </c>
      <c r="D274" s="240" t="s">
        <v>318</v>
      </c>
      <c r="E274" s="240">
        <v>2.5</v>
      </c>
      <c r="F274" s="240">
        <v>20</v>
      </c>
      <c r="G274" s="240" t="s">
        <v>323</v>
      </c>
      <c r="H274" s="240" t="s">
        <v>3535</v>
      </c>
      <c r="I274" s="240" t="s">
        <v>287</v>
      </c>
      <c r="J274" s="561" t="s">
        <v>3536</v>
      </c>
      <c r="K274" s="241">
        <v>45183</v>
      </c>
      <c r="L274" s="240"/>
      <c r="M274" s="241"/>
      <c r="N274" s="241">
        <v>45657</v>
      </c>
      <c r="O274" s="240" t="s">
        <v>25</v>
      </c>
      <c r="P274" s="240" t="s">
        <v>25</v>
      </c>
      <c r="Q274" s="240" t="s">
        <v>25</v>
      </c>
      <c r="R274" s="240"/>
      <c r="S274" s="240"/>
      <c r="T274" s="240"/>
      <c r="U274" s="240"/>
      <c r="V274" s="240"/>
      <c r="W274" s="240">
        <v>2.5</v>
      </c>
      <c r="Z274" s="87"/>
    </row>
    <row r="275" spans="1:26" ht="38.25" x14ac:dyDescent="0.25">
      <c r="A275" s="44">
        <v>23</v>
      </c>
      <c r="B275" s="260" t="s">
        <v>3816</v>
      </c>
      <c r="C275" s="260" t="s">
        <v>3817</v>
      </c>
      <c r="D275" s="240" t="s">
        <v>284</v>
      </c>
      <c r="E275" s="240">
        <v>2.016</v>
      </c>
      <c r="F275" s="240">
        <v>20</v>
      </c>
      <c r="G275" s="240" t="s">
        <v>3818</v>
      </c>
      <c r="H275" s="240" t="s">
        <v>1887</v>
      </c>
      <c r="I275" s="240" t="s">
        <v>287</v>
      </c>
      <c r="J275" s="561">
        <v>1005319485</v>
      </c>
      <c r="K275" s="241">
        <v>45209</v>
      </c>
      <c r="L275" s="240"/>
      <c r="M275" s="241"/>
      <c r="N275" s="241">
        <v>45657</v>
      </c>
      <c r="O275" s="240" t="s">
        <v>25</v>
      </c>
      <c r="P275" s="240" t="s">
        <v>25</v>
      </c>
      <c r="Q275" s="240" t="s">
        <v>25</v>
      </c>
      <c r="R275" s="240"/>
      <c r="S275" s="240"/>
      <c r="T275" s="240"/>
      <c r="U275" s="240"/>
      <c r="V275" s="240"/>
      <c r="W275" s="240">
        <v>2</v>
      </c>
      <c r="Z275" s="87"/>
    </row>
    <row r="276" spans="1:26" ht="51" x14ac:dyDescent="0.25">
      <c r="A276" s="44">
        <v>24</v>
      </c>
      <c r="B276" s="260" t="s">
        <v>3819</v>
      </c>
      <c r="C276" s="260" t="s">
        <v>3820</v>
      </c>
      <c r="D276" s="240" t="s">
        <v>290</v>
      </c>
      <c r="E276" s="240">
        <v>0.95</v>
      </c>
      <c r="F276" s="240">
        <v>20</v>
      </c>
      <c r="G276" s="240" t="s">
        <v>3821</v>
      </c>
      <c r="H276" s="240" t="s">
        <v>1887</v>
      </c>
      <c r="I276" s="240" t="s">
        <v>287</v>
      </c>
      <c r="J276" s="561">
        <v>1005326665</v>
      </c>
      <c r="K276" s="241">
        <v>45219</v>
      </c>
      <c r="L276" s="240"/>
      <c r="M276" s="241"/>
      <c r="N276" s="241">
        <v>46022</v>
      </c>
      <c r="O276" s="240" t="s">
        <v>25</v>
      </c>
      <c r="P276" s="240" t="s">
        <v>25</v>
      </c>
      <c r="Q276" s="240" t="s">
        <v>25</v>
      </c>
      <c r="R276" s="240"/>
      <c r="S276" s="240"/>
      <c r="T276" s="240"/>
      <c r="U276" s="240"/>
      <c r="V276" s="240"/>
      <c r="W276" s="240">
        <v>0.95</v>
      </c>
      <c r="Z276" s="87"/>
    </row>
    <row r="277" spans="1:26" ht="25.5" x14ac:dyDescent="0.25">
      <c r="A277" s="44">
        <v>25</v>
      </c>
      <c r="B277" s="260" t="s">
        <v>3822</v>
      </c>
      <c r="C277" s="260" t="s">
        <v>3823</v>
      </c>
      <c r="D277" s="240" t="s">
        <v>290</v>
      </c>
      <c r="E277" s="240">
        <v>0.998</v>
      </c>
      <c r="F277" s="240">
        <v>20</v>
      </c>
      <c r="G277" s="240" t="s">
        <v>3821</v>
      </c>
      <c r="H277" s="240" t="s">
        <v>1887</v>
      </c>
      <c r="I277" s="240" t="s">
        <v>287</v>
      </c>
      <c r="J277" s="561">
        <v>1005329956</v>
      </c>
      <c r="K277" s="241">
        <v>45226</v>
      </c>
      <c r="L277" s="240"/>
      <c r="M277" s="241"/>
      <c r="N277" s="241">
        <v>45657</v>
      </c>
      <c r="O277" s="240" t="s">
        <v>25</v>
      </c>
      <c r="P277" s="240" t="s">
        <v>25</v>
      </c>
      <c r="Q277" s="240" t="s">
        <v>25</v>
      </c>
      <c r="R277" s="240"/>
      <c r="S277" s="240"/>
      <c r="T277" s="240"/>
      <c r="U277" s="240"/>
      <c r="V277" s="240"/>
      <c r="W277" s="240">
        <v>0.998</v>
      </c>
      <c r="Z277" s="87"/>
    </row>
    <row r="278" spans="1:26" ht="38.25" x14ac:dyDescent="0.25">
      <c r="A278" s="44">
        <v>26</v>
      </c>
      <c r="B278" s="260" t="s">
        <v>3986</v>
      </c>
      <c r="C278" s="260" t="s">
        <v>3987</v>
      </c>
      <c r="D278" s="240" t="s">
        <v>296</v>
      </c>
      <c r="E278" s="240">
        <v>1.2869999999999999</v>
      </c>
      <c r="F278" s="240">
        <v>20</v>
      </c>
      <c r="G278" s="240" t="s">
        <v>2586</v>
      </c>
      <c r="H278" s="240" t="s">
        <v>1887</v>
      </c>
      <c r="I278" s="240" t="s">
        <v>287</v>
      </c>
      <c r="J278" s="561">
        <v>1005347655</v>
      </c>
      <c r="K278" s="241">
        <v>45251</v>
      </c>
      <c r="L278" s="240"/>
      <c r="M278" s="241"/>
      <c r="N278" s="241">
        <v>46022</v>
      </c>
      <c r="O278" s="240" t="s">
        <v>25</v>
      </c>
      <c r="P278" s="240" t="s">
        <v>25</v>
      </c>
      <c r="Q278" s="240" t="s">
        <v>25</v>
      </c>
      <c r="R278" s="240"/>
      <c r="S278" s="241"/>
      <c r="T278" s="240"/>
      <c r="U278" s="240"/>
      <c r="V278" s="240"/>
      <c r="W278" s="240">
        <v>1.2869999999999999</v>
      </c>
      <c r="Z278" s="87"/>
    </row>
    <row r="279" spans="1:26" ht="51" x14ac:dyDescent="0.25">
      <c r="A279" s="44">
        <v>27</v>
      </c>
      <c r="B279" s="260" t="s">
        <v>4148</v>
      </c>
      <c r="C279" s="260" t="s">
        <v>4149</v>
      </c>
      <c r="D279" s="240" t="s">
        <v>372</v>
      </c>
      <c r="E279" s="240">
        <v>2.75</v>
      </c>
      <c r="F279" s="240">
        <v>20</v>
      </c>
      <c r="G279" s="240" t="s">
        <v>372</v>
      </c>
      <c r="H279" s="240" t="s">
        <v>1887</v>
      </c>
      <c r="I279" s="240" t="s">
        <v>287</v>
      </c>
      <c r="J279" s="240">
        <v>1005376293</v>
      </c>
      <c r="K279" s="241">
        <v>45287</v>
      </c>
      <c r="L279" s="240"/>
      <c r="M279" s="241"/>
      <c r="N279" s="241">
        <v>46022</v>
      </c>
      <c r="O279" s="240" t="s">
        <v>25</v>
      </c>
      <c r="P279" s="240" t="s">
        <v>25</v>
      </c>
      <c r="Q279" s="240" t="s">
        <v>25</v>
      </c>
      <c r="R279" s="240"/>
      <c r="S279" s="241"/>
      <c r="T279" s="240"/>
      <c r="U279" s="240"/>
      <c r="V279" s="240"/>
      <c r="W279" s="240">
        <v>2.75</v>
      </c>
      <c r="Z279" s="87"/>
    </row>
    <row r="280" spans="1:26" ht="38.25" x14ac:dyDescent="0.25">
      <c r="A280" s="44">
        <v>28</v>
      </c>
      <c r="B280" s="260" t="s">
        <v>4277</v>
      </c>
      <c r="C280" s="260" t="s">
        <v>4278</v>
      </c>
      <c r="D280" s="240" t="s">
        <v>318</v>
      </c>
      <c r="E280" s="240">
        <v>4.899</v>
      </c>
      <c r="F280" s="240">
        <v>20</v>
      </c>
      <c r="G280" s="240" t="s">
        <v>323</v>
      </c>
      <c r="H280" s="240" t="s">
        <v>3535</v>
      </c>
      <c r="I280" s="240" t="s">
        <v>287</v>
      </c>
      <c r="J280" s="240">
        <v>1005407528</v>
      </c>
      <c r="K280" s="241">
        <v>45324</v>
      </c>
      <c r="L280" s="240" t="s">
        <v>4279</v>
      </c>
      <c r="M280" s="241">
        <v>45341</v>
      </c>
      <c r="N280" s="241">
        <v>46022</v>
      </c>
      <c r="O280" s="240" t="s">
        <v>25</v>
      </c>
      <c r="P280" s="240" t="s">
        <v>25</v>
      </c>
      <c r="Q280" s="240" t="s">
        <v>25</v>
      </c>
      <c r="R280" s="240"/>
      <c r="S280" s="241"/>
      <c r="T280" s="240"/>
      <c r="U280" s="240"/>
      <c r="V280" s="240"/>
      <c r="W280" s="240">
        <f>E280</f>
        <v>4.899</v>
      </c>
      <c r="Z280" s="87"/>
    </row>
    <row r="281" spans="1:26" ht="38.25" x14ac:dyDescent="0.25">
      <c r="A281" s="44">
        <v>29</v>
      </c>
      <c r="B281" s="260" t="s">
        <v>4280</v>
      </c>
      <c r="C281" s="260" t="s">
        <v>4281</v>
      </c>
      <c r="D281" s="240" t="s">
        <v>301</v>
      </c>
      <c r="E281" s="240">
        <v>2.4</v>
      </c>
      <c r="F281" s="240">
        <v>20</v>
      </c>
      <c r="G281" s="240" t="s">
        <v>4282</v>
      </c>
      <c r="H281" s="240" t="s">
        <v>1887</v>
      </c>
      <c r="I281" s="240" t="s">
        <v>287</v>
      </c>
      <c r="J281" s="240">
        <v>1005420588</v>
      </c>
      <c r="K281" s="241">
        <v>45345</v>
      </c>
      <c r="L281" s="240"/>
      <c r="M281" s="241"/>
      <c r="N281" s="241">
        <v>46022</v>
      </c>
      <c r="O281" s="240" t="s">
        <v>25</v>
      </c>
      <c r="P281" s="240" t="s">
        <v>25</v>
      </c>
      <c r="Q281" s="240" t="s">
        <v>25</v>
      </c>
      <c r="R281" s="240"/>
      <c r="S281" s="241"/>
      <c r="T281" s="240"/>
      <c r="U281" s="240"/>
      <c r="V281" s="240"/>
      <c r="W281" s="240">
        <f>E281</f>
        <v>2.4</v>
      </c>
      <c r="Z281" s="87"/>
    </row>
    <row r="282" spans="1:26" ht="51" x14ac:dyDescent="0.25">
      <c r="A282" s="44">
        <v>30</v>
      </c>
      <c r="B282" s="260" t="s">
        <v>4283</v>
      </c>
      <c r="C282" s="260" t="s">
        <v>4284</v>
      </c>
      <c r="D282" s="240" t="s">
        <v>318</v>
      </c>
      <c r="E282" s="240">
        <v>4.92</v>
      </c>
      <c r="F282" s="240">
        <v>20</v>
      </c>
      <c r="G282" s="240" t="s">
        <v>4285</v>
      </c>
      <c r="H282" s="240" t="s">
        <v>4286</v>
      </c>
      <c r="I282" s="240" t="s">
        <v>287</v>
      </c>
      <c r="J282" s="240">
        <v>1005427900</v>
      </c>
      <c r="K282" s="241">
        <v>45350</v>
      </c>
      <c r="L282" s="240"/>
      <c r="M282" s="241"/>
      <c r="N282" s="241">
        <v>46022</v>
      </c>
      <c r="O282" s="240" t="s">
        <v>25</v>
      </c>
      <c r="P282" s="240" t="s">
        <v>25</v>
      </c>
      <c r="Q282" s="240" t="s">
        <v>25</v>
      </c>
      <c r="R282" s="240"/>
      <c r="S282" s="241"/>
      <c r="T282" s="240"/>
      <c r="U282" s="240"/>
      <c r="V282" s="240"/>
      <c r="W282" s="240">
        <f>E282</f>
        <v>4.92</v>
      </c>
      <c r="Z282" s="87"/>
    </row>
    <row r="283" spans="1:26" ht="63.75" x14ac:dyDescent="0.25">
      <c r="A283" s="44">
        <v>31</v>
      </c>
      <c r="B283" s="260" t="s">
        <v>4845</v>
      </c>
      <c r="C283" s="260" t="s">
        <v>4846</v>
      </c>
      <c r="D283" s="240" t="s">
        <v>290</v>
      </c>
      <c r="E283" s="240">
        <v>0.99695999999999996</v>
      </c>
      <c r="F283" s="240">
        <v>20</v>
      </c>
      <c r="G283" s="240" t="s">
        <v>4847</v>
      </c>
      <c r="H283" s="240" t="s">
        <v>1887</v>
      </c>
      <c r="I283" s="240" t="s">
        <v>287</v>
      </c>
      <c r="J283" s="240">
        <v>1005652280</v>
      </c>
      <c r="K283" s="241">
        <v>45408</v>
      </c>
      <c r="L283" s="240"/>
      <c r="M283" s="241"/>
      <c r="N283" s="241">
        <v>46022</v>
      </c>
      <c r="O283" s="240" t="s">
        <v>25</v>
      </c>
      <c r="P283" s="240" t="s">
        <v>25</v>
      </c>
      <c r="Q283" s="240" t="s">
        <v>25</v>
      </c>
      <c r="R283" s="240"/>
      <c r="S283" s="241"/>
      <c r="T283" s="240"/>
      <c r="U283" s="240"/>
      <c r="V283" s="240"/>
      <c r="W283" s="240">
        <f>E283</f>
        <v>0.99695999999999996</v>
      </c>
      <c r="Z283" s="87"/>
    </row>
    <row r="284" spans="1:26" ht="38.25" x14ac:dyDescent="0.25">
      <c r="A284" s="44">
        <v>32</v>
      </c>
      <c r="B284" s="260" t="s">
        <v>4848</v>
      </c>
      <c r="C284" s="260" t="s">
        <v>4849</v>
      </c>
      <c r="D284" s="240" t="s">
        <v>301</v>
      </c>
      <c r="E284" s="240">
        <v>2.6</v>
      </c>
      <c r="F284" s="240">
        <v>20</v>
      </c>
      <c r="G284" s="240" t="s">
        <v>4850</v>
      </c>
      <c r="H284" s="240" t="s">
        <v>1887</v>
      </c>
      <c r="I284" s="240" t="s">
        <v>287</v>
      </c>
      <c r="J284" s="240">
        <v>1005641599</v>
      </c>
      <c r="K284" s="241">
        <v>45401</v>
      </c>
      <c r="L284" s="240"/>
      <c r="M284" s="241"/>
      <c r="N284" s="241">
        <v>46022</v>
      </c>
      <c r="O284" s="240" t="s">
        <v>25</v>
      </c>
      <c r="P284" s="240" t="s">
        <v>25</v>
      </c>
      <c r="Q284" s="240" t="s">
        <v>25</v>
      </c>
      <c r="R284" s="240"/>
      <c r="S284" s="241"/>
      <c r="T284" s="240"/>
      <c r="U284" s="240"/>
      <c r="V284" s="240"/>
      <c r="W284" s="240">
        <f>E284</f>
        <v>2.6</v>
      </c>
      <c r="Z284" s="87"/>
    </row>
    <row r="285" spans="1:26" ht="51" x14ac:dyDescent="0.25">
      <c r="A285" s="44">
        <v>33</v>
      </c>
      <c r="B285" s="260" t="s">
        <v>4926</v>
      </c>
      <c r="C285" s="260" t="s">
        <v>4927</v>
      </c>
      <c r="D285" s="240" t="s">
        <v>372</v>
      </c>
      <c r="E285" s="240">
        <v>1.875</v>
      </c>
      <c r="F285" s="240">
        <v>20</v>
      </c>
      <c r="G285" s="240" t="s">
        <v>4928</v>
      </c>
      <c r="H285" s="240" t="s">
        <v>1887</v>
      </c>
      <c r="I285" s="240" t="s">
        <v>287</v>
      </c>
      <c r="J285" s="240">
        <v>1005656983</v>
      </c>
      <c r="K285" s="241">
        <v>45420</v>
      </c>
      <c r="L285" s="240"/>
      <c r="M285" s="241"/>
      <c r="N285" s="241">
        <v>45657</v>
      </c>
      <c r="O285" s="240" t="s">
        <v>25</v>
      </c>
      <c r="P285" s="240" t="s">
        <v>25</v>
      </c>
      <c r="Q285" s="240" t="s">
        <v>25</v>
      </c>
      <c r="R285" s="240"/>
      <c r="S285" s="241"/>
      <c r="T285" s="240"/>
      <c r="U285" s="240"/>
      <c r="V285" s="240"/>
      <c r="W285" s="240">
        <f t="shared" ref="W285:W292" si="0">E285</f>
        <v>1.875</v>
      </c>
      <c r="Z285" s="87"/>
    </row>
    <row r="286" spans="1:26" ht="102" x14ac:dyDescent="0.25">
      <c r="A286" s="44">
        <v>34</v>
      </c>
      <c r="B286" s="260" t="s">
        <v>4929</v>
      </c>
      <c r="C286" s="260" t="s">
        <v>4930</v>
      </c>
      <c r="D286" s="240" t="s">
        <v>284</v>
      </c>
      <c r="E286" s="240">
        <v>2.2000000000000002</v>
      </c>
      <c r="F286" s="240">
        <v>20</v>
      </c>
      <c r="G286" s="240" t="s">
        <v>4931</v>
      </c>
      <c r="H286" s="240" t="s">
        <v>1887</v>
      </c>
      <c r="I286" s="240" t="s">
        <v>287</v>
      </c>
      <c r="J286" s="240">
        <v>1005684937</v>
      </c>
      <c r="K286" s="241">
        <v>45460</v>
      </c>
      <c r="L286" s="240"/>
      <c r="M286" s="241"/>
      <c r="N286" s="241">
        <v>45657</v>
      </c>
      <c r="O286" s="240" t="s">
        <v>25</v>
      </c>
      <c r="P286" s="240" t="s">
        <v>25</v>
      </c>
      <c r="Q286" s="240" t="s">
        <v>25</v>
      </c>
      <c r="R286" s="240"/>
      <c r="S286" s="241"/>
      <c r="T286" s="240"/>
      <c r="U286" s="240"/>
      <c r="V286" s="240"/>
      <c r="W286" s="240">
        <f t="shared" si="0"/>
        <v>2.2000000000000002</v>
      </c>
      <c r="Z286" s="87"/>
    </row>
    <row r="287" spans="1:26" ht="38.25" x14ac:dyDescent="0.25">
      <c r="A287" s="240">
        <v>35</v>
      </c>
      <c r="B287" s="260" t="s">
        <v>5223</v>
      </c>
      <c r="C287" s="260" t="s">
        <v>5224</v>
      </c>
      <c r="D287" s="240" t="s">
        <v>290</v>
      </c>
      <c r="E287" s="727">
        <v>2</v>
      </c>
      <c r="F287" s="240">
        <v>20</v>
      </c>
      <c r="G287" s="240" t="s">
        <v>5225</v>
      </c>
      <c r="H287" s="240" t="s">
        <v>1887</v>
      </c>
      <c r="I287" s="240" t="s">
        <v>287</v>
      </c>
      <c r="J287" s="240">
        <v>1005710320</v>
      </c>
      <c r="K287" s="241">
        <v>45491</v>
      </c>
      <c r="L287" s="240"/>
      <c r="M287" s="241"/>
      <c r="N287" s="241">
        <v>45657</v>
      </c>
      <c r="O287" s="240" t="s">
        <v>25</v>
      </c>
      <c r="P287" s="240" t="s">
        <v>25</v>
      </c>
      <c r="Q287" s="240" t="s">
        <v>25</v>
      </c>
      <c r="R287" s="240"/>
      <c r="S287" s="241"/>
      <c r="T287" s="240"/>
      <c r="U287" s="240"/>
      <c r="V287" s="240"/>
      <c r="W287" s="240">
        <f t="shared" si="0"/>
        <v>2</v>
      </c>
      <c r="Z287" s="87"/>
    </row>
    <row r="288" spans="1:26" ht="51" x14ac:dyDescent="0.25">
      <c r="A288" s="240">
        <v>36</v>
      </c>
      <c r="B288" s="260" t="s">
        <v>3090</v>
      </c>
      <c r="C288" s="260" t="s">
        <v>5226</v>
      </c>
      <c r="D288" s="240" t="s">
        <v>290</v>
      </c>
      <c r="E288" s="727">
        <v>2.4</v>
      </c>
      <c r="F288" s="240">
        <v>20</v>
      </c>
      <c r="G288" s="240" t="s">
        <v>5227</v>
      </c>
      <c r="H288" s="240" t="s">
        <v>3093</v>
      </c>
      <c r="I288" s="240" t="s">
        <v>287</v>
      </c>
      <c r="J288" s="240">
        <v>1005722561</v>
      </c>
      <c r="K288" s="241">
        <v>45504</v>
      </c>
      <c r="L288" s="724">
        <v>1005761805</v>
      </c>
      <c r="M288" s="726">
        <v>45558</v>
      </c>
      <c r="N288" s="241">
        <v>45657</v>
      </c>
      <c r="O288" s="240" t="s">
        <v>25</v>
      </c>
      <c r="P288" s="240" t="s">
        <v>25</v>
      </c>
      <c r="Q288" s="240" t="s">
        <v>25</v>
      </c>
      <c r="R288" s="240"/>
      <c r="S288" s="241"/>
      <c r="T288" s="240"/>
      <c r="U288" s="240"/>
      <c r="V288" s="240"/>
      <c r="W288" s="240">
        <f t="shared" si="0"/>
        <v>2.4</v>
      </c>
      <c r="Z288" s="87"/>
    </row>
    <row r="289" spans="1:26" x14ac:dyDescent="0.25">
      <c r="A289" s="240">
        <v>37</v>
      </c>
      <c r="B289" s="260" t="s">
        <v>5228</v>
      </c>
      <c r="C289" s="260" t="s">
        <v>5229</v>
      </c>
      <c r="D289" s="240" t="s">
        <v>372</v>
      </c>
      <c r="E289" s="727">
        <v>1.9550000000000001</v>
      </c>
      <c r="F289" s="240">
        <v>20</v>
      </c>
      <c r="G289" s="240" t="s">
        <v>372</v>
      </c>
      <c r="H289" s="240" t="s">
        <v>1887</v>
      </c>
      <c r="I289" s="240" t="s">
        <v>287</v>
      </c>
      <c r="J289" s="240">
        <v>1005704825</v>
      </c>
      <c r="K289" s="241">
        <v>45485</v>
      </c>
      <c r="L289" s="724">
        <v>1005748252</v>
      </c>
      <c r="M289" s="726">
        <v>45540</v>
      </c>
      <c r="N289" s="241">
        <v>45657</v>
      </c>
      <c r="O289" s="240" t="s">
        <v>25</v>
      </c>
      <c r="P289" s="240" t="s">
        <v>25</v>
      </c>
      <c r="Q289" s="240" t="s">
        <v>25</v>
      </c>
      <c r="R289" s="240"/>
      <c r="S289" s="241"/>
      <c r="T289" s="240"/>
      <c r="U289" s="240"/>
      <c r="V289" s="240"/>
      <c r="W289" s="240">
        <f t="shared" si="0"/>
        <v>1.9550000000000001</v>
      </c>
      <c r="Z289" s="87"/>
    </row>
    <row r="290" spans="1:26" ht="51" x14ac:dyDescent="0.25">
      <c r="A290" s="240">
        <v>38</v>
      </c>
      <c r="B290" s="260" t="s">
        <v>5804</v>
      </c>
      <c r="C290" s="260" t="s">
        <v>5805</v>
      </c>
      <c r="D290" s="240" t="s">
        <v>372</v>
      </c>
      <c r="E290" s="727">
        <v>4.7300000000000004</v>
      </c>
      <c r="F290" s="240">
        <v>20</v>
      </c>
      <c r="G290" s="240" t="s">
        <v>5806</v>
      </c>
      <c r="H290" s="240" t="s">
        <v>5807</v>
      </c>
      <c r="I290" s="240" t="s">
        <v>287</v>
      </c>
      <c r="J290" s="240">
        <v>1005795108</v>
      </c>
      <c r="K290" s="241">
        <v>45590</v>
      </c>
      <c r="L290" s="240"/>
      <c r="M290" s="241"/>
      <c r="N290" s="241">
        <v>46022</v>
      </c>
      <c r="O290" s="240" t="s">
        <v>25</v>
      </c>
      <c r="P290" s="240" t="s">
        <v>25</v>
      </c>
      <c r="Q290" s="240" t="s">
        <v>25</v>
      </c>
      <c r="R290" s="240"/>
      <c r="S290" s="241"/>
      <c r="T290" s="240"/>
      <c r="U290" s="240"/>
      <c r="V290" s="240"/>
      <c r="W290" s="240">
        <f t="shared" si="0"/>
        <v>4.7300000000000004</v>
      </c>
      <c r="Z290" s="87"/>
    </row>
    <row r="291" spans="1:26" ht="38.25" x14ac:dyDescent="0.25">
      <c r="A291" s="240">
        <v>39</v>
      </c>
      <c r="B291" s="260" t="s">
        <v>5808</v>
      </c>
      <c r="C291" s="260" t="s">
        <v>5809</v>
      </c>
      <c r="D291" s="240" t="s">
        <v>290</v>
      </c>
      <c r="E291" s="727">
        <v>3</v>
      </c>
      <c r="F291" s="240">
        <v>20</v>
      </c>
      <c r="G291" s="240" t="s">
        <v>5810</v>
      </c>
      <c r="H291" s="240" t="s">
        <v>1887</v>
      </c>
      <c r="I291" s="240" t="s">
        <v>287</v>
      </c>
      <c r="J291" s="240" t="s">
        <v>5811</v>
      </c>
      <c r="K291" s="241"/>
      <c r="L291" s="240"/>
      <c r="M291" s="241"/>
      <c r="N291" s="241">
        <v>46022</v>
      </c>
      <c r="O291" s="240" t="s">
        <v>25</v>
      </c>
      <c r="P291" s="240" t="s">
        <v>25</v>
      </c>
      <c r="Q291" s="240" t="s">
        <v>25</v>
      </c>
      <c r="R291" s="240"/>
      <c r="S291" s="241"/>
      <c r="T291" s="240"/>
      <c r="U291" s="240"/>
      <c r="V291" s="240"/>
      <c r="W291" s="240">
        <f t="shared" si="0"/>
        <v>3</v>
      </c>
      <c r="Z291" s="87"/>
    </row>
    <row r="292" spans="1:26" ht="25.5" x14ac:dyDescent="0.25">
      <c r="A292" s="240">
        <v>40</v>
      </c>
      <c r="B292" s="260" t="s">
        <v>3125</v>
      </c>
      <c r="C292" s="260" t="s">
        <v>5812</v>
      </c>
      <c r="D292" s="240" t="s">
        <v>318</v>
      </c>
      <c r="E292" s="727">
        <v>3.14</v>
      </c>
      <c r="F292" s="240">
        <v>20</v>
      </c>
      <c r="G292" s="240" t="s">
        <v>5813</v>
      </c>
      <c r="H292" s="240" t="s">
        <v>1887</v>
      </c>
      <c r="I292" s="240" t="s">
        <v>287</v>
      </c>
      <c r="J292" s="240" t="s">
        <v>5811</v>
      </c>
      <c r="K292" s="241"/>
      <c r="L292" s="240"/>
      <c r="M292" s="241"/>
      <c r="N292" s="241">
        <v>46022</v>
      </c>
      <c r="O292" s="240" t="s">
        <v>25</v>
      </c>
      <c r="P292" s="240" t="s">
        <v>25</v>
      </c>
      <c r="Q292" s="240" t="s">
        <v>25</v>
      </c>
      <c r="R292" s="240"/>
      <c r="S292" s="241"/>
      <c r="T292" s="240"/>
      <c r="U292" s="240"/>
      <c r="V292" s="240"/>
      <c r="W292" s="240">
        <f t="shared" si="0"/>
        <v>3.14</v>
      </c>
      <c r="Z292" s="87"/>
    </row>
    <row r="293" spans="1:26" x14ac:dyDescent="0.25">
      <c r="Z293" s="87"/>
    </row>
    <row r="294" spans="1:26" ht="102" x14ac:dyDescent="0.25">
      <c r="A294" s="387">
        <v>1</v>
      </c>
      <c r="B294" s="47" t="s">
        <v>422</v>
      </c>
      <c r="C294" s="47" t="s">
        <v>423</v>
      </c>
      <c r="D294" s="47" t="s">
        <v>41</v>
      </c>
      <c r="E294" s="47">
        <v>1.083</v>
      </c>
      <c r="F294" s="47">
        <v>20</v>
      </c>
      <c r="G294" s="47" t="s">
        <v>424</v>
      </c>
      <c r="H294" s="47" t="s">
        <v>425</v>
      </c>
      <c r="I294" s="47" t="s">
        <v>426</v>
      </c>
      <c r="J294" s="697">
        <v>3121</v>
      </c>
      <c r="K294" s="698">
        <v>40688</v>
      </c>
      <c r="L294" s="697">
        <v>3121</v>
      </c>
      <c r="M294" s="698">
        <v>40688</v>
      </c>
      <c r="N294" s="690" t="s">
        <v>427</v>
      </c>
      <c r="O294" s="47"/>
      <c r="P294" s="47"/>
      <c r="Q294" s="47"/>
      <c r="R294" s="47"/>
      <c r="S294" s="47"/>
      <c r="T294" s="47"/>
      <c r="U294" s="47"/>
      <c r="V294" s="47"/>
      <c r="W294" s="47">
        <v>15.006</v>
      </c>
      <c r="Z294" s="87"/>
    </row>
    <row r="295" spans="1:26" ht="38.25" x14ac:dyDescent="0.25">
      <c r="A295" s="387">
        <f t="shared" ref="A295:A297" si="1">A294+1</f>
        <v>2</v>
      </c>
      <c r="B295" s="47" t="s">
        <v>428</v>
      </c>
      <c r="C295" s="47" t="s">
        <v>429</v>
      </c>
      <c r="D295" s="47" t="s">
        <v>41</v>
      </c>
      <c r="E295" s="47">
        <v>2.605</v>
      </c>
      <c r="F295" s="47">
        <v>20</v>
      </c>
      <c r="G295" s="47" t="s">
        <v>430</v>
      </c>
      <c r="H295" s="47" t="s">
        <v>431</v>
      </c>
      <c r="I295" s="47" t="s">
        <v>426</v>
      </c>
      <c r="J295" s="697">
        <v>1500000464</v>
      </c>
      <c r="K295" s="698">
        <v>41613</v>
      </c>
      <c r="L295" s="690">
        <v>3200007336</v>
      </c>
      <c r="M295" s="696">
        <v>41197</v>
      </c>
      <c r="N295" s="690" t="s">
        <v>427</v>
      </c>
      <c r="O295" s="47"/>
      <c r="P295" s="47"/>
      <c r="Q295" s="47"/>
      <c r="R295" s="47" t="s">
        <v>610</v>
      </c>
      <c r="S295" s="47"/>
      <c r="T295" s="47"/>
      <c r="U295" s="47"/>
      <c r="V295" s="47"/>
      <c r="W295" s="47"/>
      <c r="Z295" s="87"/>
    </row>
    <row r="296" spans="1:26" ht="38.25" x14ac:dyDescent="0.25">
      <c r="A296" s="387">
        <f t="shared" si="1"/>
        <v>3</v>
      </c>
      <c r="B296" s="47" t="s">
        <v>432</v>
      </c>
      <c r="C296" s="47" t="s">
        <v>433</v>
      </c>
      <c r="D296" s="47" t="s">
        <v>416</v>
      </c>
      <c r="E296" s="47">
        <v>3</v>
      </c>
      <c r="F296" s="47">
        <v>20</v>
      </c>
      <c r="G296" s="47" t="s">
        <v>434</v>
      </c>
      <c r="H296" s="47" t="s">
        <v>435</v>
      </c>
      <c r="I296" s="47" t="s">
        <v>426</v>
      </c>
      <c r="J296" s="697">
        <v>1500000187</v>
      </c>
      <c r="K296" s="698">
        <v>41312</v>
      </c>
      <c r="L296" s="690">
        <v>3200012351</v>
      </c>
      <c r="M296" s="696">
        <v>41488</v>
      </c>
      <c r="N296" s="690" t="s">
        <v>427</v>
      </c>
      <c r="O296" s="47"/>
      <c r="P296" s="47"/>
      <c r="Q296" s="47"/>
      <c r="R296" s="47" t="s">
        <v>610</v>
      </c>
      <c r="S296" s="47"/>
      <c r="T296" s="47"/>
      <c r="U296" s="47"/>
      <c r="V296" s="47"/>
      <c r="W296" s="47">
        <v>9.8420000000000007E-2</v>
      </c>
      <c r="Z296" s="87"/>
    </row>
    <row r="297" spans="1:26" s="219" customFormat="1" ht="25.5" x14ac:dyDescent="0.25">
      <c r="A297" s="387">
        <f t="shared" si="1"/>
        <v>4</v>
      </c>
      <c r="B297" s="47" t="s">
        <v>436</v>
      </c>
      <c r="C297" s="47" t="s">
        <v>437</v>
      </c>
      <c r="D297" s="47" t="s">
        <v>438</v>
      </c>
      <c r="E297" s="47">
        <v>4.6269999999999998</v>
      </c>
      <c r="F297" s="47">
        <v>20</v>
      </c>
      <c r="G297" s="47" t="s">
        <v>439</v>
      </c>
      <c r="H297" s="47" t="s">
        <v>440</v>
      </c>
      <c r="I297" s="47" t="s">
        <v>426</v>
      </c>
      <c r="J297" s="697">
        <v>1500000044</v>
      </c>
      <c r="K297" s="698">
        <v>41130</v>
      </c>
      <c r="L297" s="690">
        <v>3200008897</v>
      </c>
      <c r="M297" s="696">
        <v>41297</v>
      </c>
      <c r="N297" s="690" t="s">
        <v>427</v>
      </c>
      <c r="O297" s="47"/>
      <c r="P297" s="47"/>
      <c r="Q297" s="47"/>
      <c r="R297" s="47" t="s">
        <v>610</v>
      </c>
      <c r="S297" s="47"/>
      <c r="T297" s="47"/>
      <c r="U297" s="47"/>
      <c r="V297" s="47"/>
      <c r="W297" s="47">
        <v>4.625</v>
      </c>
      <c r="Y297" s="371"/>
      <c r="Z297" s="97"/>
    </row>
    <row r="298" spans="1:26" s="219" customFormat="1" ht="63.75" x14ac:dyDescent="0.25">
      <c r="A298" s="387">
        <v>5</v>
      </c>
      <c r="B298" s="47" t="s">
        <v>441</v>
      </c>
      <c r="C298" s="47" t="s">
        <v>442</v>
      </c>
      <c r="D298" s="47" t="s">
        <v>94</v>
      </c>
      <c r="E298" s="47">
        <v>6.4690000000000003</v>
      </c>
      <c r="F298" s="47">
        <v>20</v>
      </c>
      <c r="G298" s="47" t="s">
        <v>443</v>
      </c>
      <c r="H298" s="47" t="s">
        <v>444</v>
      </c>
      <c r="I298" s="47" t="s">
        <v>426</v>
      </c>
      <c r="J298" s="697">
        <v>1500000055</v>
      </c>
      <c r="K298" s="698">
        <v>41138</v>
      </c>
      <c r="L298" s="690">
        <v>3200009064</v>
      </c>
      <c r="M298" s="696">
        <v>41309</v>
      </c>
      <c r="N298" s="690" t="s">
        <v>427</v>
      </c>
      <c r="O298" s="47"/>
      <c r="P298" s="47"/>
      <c r="Q298" s="47"/>
      <c r="R298" s="47" t="s">
        <v>610</v>
      </c>
      <c r="S298" s="47"/>
      <c r="T298" s="47"/>
      <c r="U298" s="47"/>
      <c r="V298" s="47"/>
      <c r="W298" s="47">
        <v>2.5000000000000001E-2</v>
      </c>
      <c r="Y298" s="371"/>
      <c r="Z298" s="97"/>
    </row>
    <row r="299" spans="1:26" s="219" customFormat="1" x14ac:dyDescent="0.25">
      <c r="A299" s="387">
        <v>6</v>
      </c>
      <c r="B299" s="387" t="s">
        <v>445</v>
      </c>
      <c r="C299" s="387" t="s">
        <v>446</v>
      </c>
      <c r="D299" s="387" t="s">
        <v>84</v>
      </c>
      <c r="E299" s="387">
        <v>5.85</v>
      </c>
      <c r="F299" s="387">
        <v>20</v>
      </c>
      <c r="G299" s="387" t="s">
        <v>447</v>
      </c>
      <c r="H299" s="387" t="s">
        <v>448</v>
      </c>
      <c r="I299" s="387" t="s">
        <v>426</v>
      </c>
      <c r="J299" s="697">
        <v>1500000060</v>
      </c>
      <c r="K299" s="698">
        <v>41139</v>
      </c>
      <c r="L299" s="690">
        <v>3200009315</v>
      </c>
      <c r="M299" s="696">
        <v>41326</v>
      </c>
      <c r="N299" s="690" t="s">
        <v>427</v>
      </c>
      <c r="O299" s="387"/>
      <c r="P299" s="387"/>
      <c r="Q299" s="387"/>
      <c r="R299" s="387" t="s">
        <v>610</v>
      </c>
      <c r="S299" s="387"/>
      <c r="T299" s="387"/>
      <c r="U299" s="387"/>
      <c r="V299" s="387"/>
      <c r="W299" s="387">
        <v>9.48</v>
      </c>
      <c r="Y299" s="371"/>
      <c r="Z299" s="97"/>
    </row>
    <row r="300" spans="1:26" s="219" customFormat="1" x14ac:dyDescent="0.25">
      <c r="A300" s="387">
        <v>7</v>
      </c>
      <c r="B300" s="387" t="s">
        <v>449</v>
      </c>
      <c r="C300" s="387" t="s">
        <v>450</v>
      </c>
      <c r="D300" s="387" t="s">
        <v>438</v>
      </c>
      <c r="E300" s="387">
        <v>9.3000000000000007</v>
      </c>
      <c r="F300" s="387">
        <v>20</v>
      </c>
      <c r="G300" s="387" t="s">
        <v>451</v>
      </c>
      <c r="H300" s="387" t="s">
        <v>452</v>
      </c>
      <c r="I300" s="387" t="s">
        <v>426</v>
      </c>
      <c r="J300" s="697">
        <v>1500000097</v>
      </c>
      <c r="K300" s="698">
        <v>41199</v>
      </c>
      <c r="L300" s="690">
        <v>3200007845</v>
      </c>
      <c r="M300" s="696">
        <v>41225</v>
      </c>
      <c r="N300" s="690" t="s">
        <v>427</v>
      </c>
      <c r="O300" s="387"/>
      <c r="P300" s="387"/>
      <c r="Q300" s="387"/>
      <c r="R300" s="387" t="s">
        <v>610</v>
      </c>
      <c r="S300" s="387"/>
      <c r="T300" s="387"/>
      <c r="U300" s="387"/>
      <c r="V300" s="387"/>
      <c r="W300" s="387">
        <v>7.524</v>
      </c>
      <c r="Y300" s="371"/>
      <c r="Z300" s="97"/>
    </row>
    <row r="301" spans="1:26" s="219" customFormat="1" x14ac:dyDescent="0.25">
      <c r="A301" s="387">
        <v>8</v>
      </c>
      <c r="B301" s="387" t="s">
        <v>453</v>
      </c>
      <c r="C301" s="387" t="s">
        <v>454</v>
      </c>
      <c r="D301" s="387" t="s">
        <v>94</v>
      </c>
      <c r="E301" s="387">
        <v>7.4939999999999998</v>
      </c>
      <c r="F301" s="387">
        <v>20</v>
      </c>
      <c r="G301" s="387" t="s">
        <v>455</v>
      </c>
      <c r="H301" s="387" t="s">
        <v>456</v>
      </c>
      <c r="I301" s="387" t="s">
        <v>426</v>
      </c>
      <c r="J301" s="697">
        <v>1500000159</v>
      </c>
      <c r="K301" s="698">
        <v>41264</v>
      </c>
      <c r="L301" s="690">
        <v>3200009462</v>
      </c>
      <c r="M301" s="696">
        <v>41334</v>
      </c>
      <c r="N301" s="690" t="s">
        <v>427</v>
      </c>
      <c r="O301" s="387"/>
      <c r="P301" s="387"/>
      <c r="Q301" s="387"/>
      <c r="R301" s="387" t="s">
        <v>610</v>
      </c>
      <c r="S301" s="387"/>
      <c r="T301" s="387"/>
      <c r="U301" s="387"/>
      <c r="V301" s="387"/>
      <c r="W301" s="387">
        <v>9.9</v>
      </c>
      <c r="Y301" s="371"/>
      <c r="Z301" s="97"/>
    </row>
    <row r="302" spans="1:26" s="219" customFormat="1" ht="48.75" customHeight="1" x14ac:dyDescent="0.25">
      <c r="A302" s="387">
        <v>9</v>
      </c>
      <c r="B302" s="387" t="s">
        <v>457</v>
      </c>
      <c r="C302" s="387" t="s">
        <v>458</v>
      </c>
      <c r="D302" s="387" t="s">
        <v>94</v>
      </c>
      <c r="E302" s="387">
        <v>7.4939999999999998</v>
      </c>
      <c r="F302" s="387">
        <v>20</v>
      </c>
      <c r="G302" s="387" t="s">
        <v>455</v>
      </c>
      <c r="H302" s="387" t="s">
        <v>456</v>
      </c>
      <c r="I302" s="387" t="s">
        <v>426</v>
      </c>
      <c r="J302" s="697">
        <v>1500000076</v>
      </c>
      <c r="K302" s="698">
        <v>41163</v>
      </c>
      <c r="L302" s="690">
        <v>3200009459</v>
      </c>
      <c r="M302" s="696">
        <v>41334</v>
      </c>
      <c r="N302" s="690" t="s">
        <v>427</v>
      </c>
      <c r="O302" s="387"/>
      <c r="P302" s="387"/>
      <c r="Q302" s="387"/>
      <c r="R302" s="387" t="s">
        <v>610</v>
      </c>
      <c r="S302" s="387"/>
      <c r="T302" s="387"/>
      <c r="U302" s="387"/>
      <c r="V302" s="387"/>
      <c r="W302" s="387">
        <v>9.9</v>
      </c>
      <c r="Y302" s="371"/>
      <c r="Z302" s="97"/>
    </row>
    <row r="303" spans="1:26" s="219" customFormat="1" ht="44.25" customHeight="1" x14ac:dyDescent="0.25">
      <c r="A303" s="387">
        <v>10</v>
      </c>
      <c r="B303" s="387" t="s">
        <v>459</v>
      </c>
      <c r="C303" s="387" t="s">
        <v>460</v>
      </c>
      <c r="D303" s="387" t="s">
        <v>94</v>
      </c>
      <c r="E303" s="387">
        <v>7.49</v>
      </c>
      <c r="F303" s="387">
        <v>20</v>
      </c>
      <c r="G303" s="387" t="s">
        <v>443</v>
      </c>
      <c r="H303" s="387" t="s">
        <v>461</v>
      </c>
      <c r="I303" s="387" t="s">
        <v>426</v>
      </c>
      <c r="J303" s="697">
        <v>1500000054</v>
      </c>
      <c r="K303" s="698">
        <v>41138</v>
      </c>
      <c r="L303" s="690">
        <v>3200009065</v>
      </c>
      <c r="M303" s="696">
        <v>41309</v>
      </c>
      <c r="N303" s="690" t="s">
        <v>427</v>
      </c>
      <c r="O303" s="387"/>
      <c r="P303" s="387"/>
      <c r="Q303" s="387"/>
      <c r="R303" s="387" t="s">
        <v>610</v>
      </c>
      <c r="S303" s="387"/>
      <c r="T303" s="387"/>
      <c r="U303" s="387"/>
      <c r="V303" s="387"/>
      <c r="W303" s="387">
        <v>5.9</v>
      </c>
      <c r="Y303" s="371"/>
      <c r="Z303" s="97"/>
    </row>
    <row r="304" spans="1:26" s="219" customFormat="1" ht="42" customHeight="1" x14ac:dyDescent="0.25">
      <c r="A304" s="387">
        <v>11</v>
      </c>
      <c r="B304" s="387" t="s">
        <v>462</v>
      </c>
      <c r="C304" s="387" t="s">
        <v>463</v>
      </c>
      <c r="D304" s="387" t="s">
        <v>41</v>
      </c>
      <c r="E304" s="387">
        <v>9.8000000000000007</v>
      </c>
      <c r="F304" s="387">
        <v>20</v>
      </c>
      <c r="G304" s="387" t="s">
        <v>464</v>
      </c>
      <c r="H304" s="387" t="s">
        <v>465</v>
      </c>
      <c r="I304" s="387" t="s">
        <v>426</v>
      </c>
      <c r="J304" s="697">
        <v>1500000416</v>
      </c>
      <c r="K304" s="698">
        <v>41563</v>
      </c>
      <c r="L304" s="690">
        <v>3200010089</v>
      </c>
      <c r="M304" s="696">
        <v>41368</v>
      </c>
      <c r="N304" s="690" t="s">
        <v>427</v>
      </c>
      <c r="O304" s="387"/>
      <c r="P304" s="387"/>
      <c r="Q304" s="387"/>
      <c r="R304" s="387"/>
      <c r="S304" s="387"/>
      <c r="T304" s="387"/>
      <c r="U304" s="387"/>
      <c r="V304" s="387"/>
      <c r="W304" s="387">
        <v>44</v>
      </c>
      <c r="Y304" s="371"/>
      <c r="Z304" s="97"/>
    </row>
    <row r="305" spans="1:26" s="219" customFormat="1" ht="35.25" customHeight="1" x14ac:dyDescent="0.25">
      <c r="A305" s="387">
        <v>12</v>
      </c>
      <c r="B305" s="387" t="s">
        <v>466</v>
      </c>
      <c r="C305" s="387" t="s">
        <v>467</v>
      </c>
      <c r="D305" s="387" t="s">
        <v>94</v>
      </c>
      <c r="E305" s="387">
        <v>1.53</v>
      </c>
      <c r="F305" s="387">
        <v>20</v>
      </c>
      <c r="G305" s="387" t="s">
        <v>468</v>
      </c>
      <c r="H305" s="387" t="s">
        <v>469</v>
      </c>
      <c r="I305" s="387" t="s">
        <v>426</v>
      </c>
      <c r="J305" s="697">
        <v>1500000106</v>
      </c>
      <c r="K305" s="698">
        <v>41213</v>
      </c>
      <c r="L305" s="690">
        <v>3100021352</v>
      </c>
      <c r="M305" s="696">
        <v>41292</v>
      </c>
      <c r="N305" s="690" t="s">
        <v>427</v>
      </c>
      <c r="O305" s="387"/>
      <c r="P305" s="387"/>
      <c r="Q305" s="387"/>
      <c r="R305" s="387"/>
      <c r="S305" s="387"/>
      <c r="T305" s="387"/>
      <c r="U305" s="387"/>
      <c r="V305" s="387"/>
      <c r="W305" s="387">
        <v>2.75E-2</v>
      </c>
      <c r="Y305" s="371"/>
      <c r="Z305" s="97"/>
    </row>
    <row r="306" spans="1:26" s="219" customFormat="1" ht="39" customHeight="1" x14ac:dyDescent="0.25">
      <c r="A306" s="387">
        <v>13</v>
      </c>
      <c r="B306" s="387" t="s">
        <v>470</v>
      </c>
      <c r="C306" s="387" t="s">
        <v>471</v>
      </c>
      <c r="D306" s="387" t="s">
        <v>84</v>
      </c>
      <c r="E306" s="387">
        <v>2.2000000000000002</v>
      </c>
      <c r="F306" s="387">
        <v>20</v>
      </c>
      <c r="G306" s="387" t="s">
        <v>472</v>
      </c>
      <c r="H306" s="387" t="s">
        <v>473</v>
      </c>
      <c r="I306" s="387" t="s">
        <v>426</v>
      </c>
      <c r="J306" s="697">
        <v>1500000098</v>
      </c>
      <c r="K306" s="698">
        <v>41214</v>
      </c>
      <c r="L306" s="690">
        <v>3200008528</v>
      </c>
      <c r="M306" s="696">
        <v>41262</v>
      </c>
      <c r="N306" s="690" t="s">
        <v>427</v>
      </c>
      <c r="O306" s="387"/>
      <c r="P306" s="387"/>
      <c r="Q306" s="387"/>
      <c r="R306" s="387"/>
      <c r="S306" s="387"/>
      <c r="T306" s="387"/>
      <c r="U306" s="387"/>
      <c r="V306" s="387"/>
      <c r="W306" s="387">
        <v>4.9000000000000004</v>
      </c>
      <c r="Y306" s="371"/>
      <c r="Z306" s="97"/>
    </row>
    <row r="307" spans="1:26" s="219" customFormat="1" x14ac:dyDescent="0.25">
      <c r="A307" s="387">
        <v>14</v>
      </c>
      <c r="B307" s="387" t="s">
        <v>474</v>
      </c>
      <c r="C307" s="387" t="s">
        <v>475</v>
      </c>
      <c r="D307" s="387" t="s">
        <v>41</v>
      </c>
      <c r="E307" s="387">
        <v>2.72</v>
      </c>
      <c r="F307" s="387">
        <v>20</v>
      </c>
      <c r="G307" s="387" t="s">
        <v>476</v>
      </c>
      <c r="H307" s="387" t="s">
        <v>477</v>
      </c>
      <c r="I307" s="387" t="s">
        <v>426</v>
      </c>
      <c r="J307" s="697">
        <v>1500000119</v>
      </c>
      <c r="K307" s="698">
        <v>41233</v>
      </c>
      <c r="L307" s="690">
        <v>3200010245</v>
      </c>
      <c r="M307" s="696">
        <v>41376</v>
      </c>
      <c r="N307" s="690" t="s">
        <v>427</v>
      </c>
      <c r="O307" s="387"/>
      <c r="P307" s="387"/>
      <c r="Q307" s="387"/>
      <c r="R307" s="387" t="s">
        <v>825</v>
      </c>
      <c r="S307" s="387">
        <v>44523</v>
      </c>
      <c r="T307" s="387">
        <v>4.0000000000000001E-3</v>
      </c>
      <c r="U307" s="387"/>
      <c r="V307" s="387"/>
      <c r="W307" s="387">
        <v>4.0000000000000001E-3</v>
      </c>
      <c r="Y307" s="371"/>
      <c r="Z307" s="97"/>
    </row>
    <row r="308" spans="1:26" s="219" customFormat="1" ht="47.25" customHeight="1" x14ac:dyDescent="0.25">
      <c r="A308" s="387">
        <v>15</v>
      </c>
      <c r="B308" s="387" t="s">
        <v>478</v>
      </c>
      <c r="C308" s="387" t="s">
        <v>475</v>
      </c>
      <c r="D308" s="387" t="s">
        <v>41</v>
      </c>
      <c r="E308" s="387">
        <v>1.78</v>
      </c>
      <c r="F308" s="387">
        <v>20</v>
      </c>
      <c r="G308" s="387" t="s">
        <v>479</v>
      </c>
      <c r="H308" s="387" t="s">
        <v>480</v>
      </c>
      <c r="I308" s="387" t="s">
        <v>426</v>
      </c>
      <c r="J308" s="697">
        <v>1500000121</v>
      </c>
      <c r="K308" s="698">
        <v>41233</v>
      </c>
      <c r="L308" s="690">
        <v>3100019946</v>
      </c>
      <c r="M308" s="696">
        <v>41242</v>
      </c>
      <c r="N308" s="690" t="s">
        <v>427</v>
      </c>
      <c r="O308" s="387"/>
      <c r="P308" s="387"/>
      <c r="Q308" s="387"/>
      <c r="R308" s="387" t="s">
        <v>610</v>
      </c>
      <c r="S308" s="387"/>
      <c r="T308" s="387"/>
      <c r="U308" s="387"/>
      <c r="V308" s="387"/>
      <c r="W308" s="387">
        <v>0.06</v>
      </c>
      <c r="Y308" s="371"/>
      <c r="Z308" s="97"/>
    </row>
    <row r="309" spans="1:26" s="219" customFormat="1" x14ac:dyDescent="0.25">
      <c r="A309" s="387">
        <v>16</v>
      </c>
      <c r="B309" s="387" t="s">
        <v>481</v>
      </c>
      <c r="C309" s="387" t="s">
        <v>482</v>
      </c>
      <c r="D309" s="387" t="s">
        <v>94</v>
      </c>
      <c r="E309" s="387">
        <v>9.1999999999999993</v>
      </c>
      <c r="F309" s="387">
        <v>20</v>
      </c>
      <c r="G309" s="387" t="s">
        <v>483</v>
      </c>
      <c r="H309" s="387" t="s">
        <v>484</v>
      </c>
      <c r="I309" s="387" t="s">
        <v>426</v>
      </c>
      <c r="J309" s="697">
        <v>1500000132</v>
      </c>
      <c r="K309" s="698">
        <v>41250</v>
      </c>
      <c r="L309" s="690">
        <v>3200011080</v>
      </c>
      <c r="M309" s="696">
        <v>41424</v>
      </c>
      <c r="N309" s="690" t="s">
        <v>427</v>
      </c>
      <c r="O309" s="387"/>
      <c r="P309" s="387"/>
      <c r="Q309" s="387"/>
      <c r="R309" s="387" t="s">
        <v>610</v>
      </c>
      <c r="S309" s="387"/>
      <c r="T309" s="387"/>
      <c r="U309" s="387"/>
      <c r="V309" s="387"/>
      <c r="W309" s="387">
        <v>3.3566400000000001</v>
      </c>
      <c r="Y309" s="371"/>
      <c r="Z309" s="97"/>
    </row>
    <row r="310" spans="1:26" s="219" customFormat="1" x14ac:dyDescent="0.25">
      <c r="A310" s="387">
        <v>17</v>
      </c>
      <c r="B310" s="387" t="s">
        <v>485</v>
      </c>
      <c r="C310" s="387" t="s">
        <v>486</v>
      </c>
      <c r="D310" s="387" t="s">
        <v>94</v>
      </c>
      <c r="E310" s="387">
        <v>1.52</v>
      </c>
      <c r="F310" s="387">
        <v>20</v>
      </c>
      <c r="G310" s="387" t="s">
        <v>483</v>
      </c>
      <c r="H310" s="387" t="s">
        <v>487</v>
      </c>
      <c r="I310" s="387" t="s">
        <v>426</v>
      </c>
      <c r="J310" s="697">
        <v>1500000135</v>
      </c>
      <c r="K310" s="698">
        <v>41248</v>
      </c>
      <c r="L310" s="690">
        <v>3200011083</v>
      </c>
      <c r="M310" s="696">
        <v>41424</v>
      </c>
      <c r="N310" s="690" t="s">
        <v>427</v>
      </c>
      <c r="O310" s="387"/>
      <c r="P310" s="387"/>
      <c r="Q310" s="387"/>
      <c r="R310" s="387" t="s">
        <v>610</v>
      </c>
      <c r="S310" s="387"/>
      <c r="T310" s="387"/>
      <c r="U310" s="387"/>
      <c r="V310" s="387"/>
      <c r="W310" s="387">
        <v>44.75</v>
      </c>
      <c r="Y310" s="371"/>
      <c r="Z310" s="97"/>
    </row>
    <row r="311" spans="1:26" s="219" customFormat="1" ht="41.25" customHeight="1" x14ac:dyDescent="0.25">
      <c r="A311" s="387">
        <v>18</v>
      </c>
      <c r="B311" s="387" t="s">
        <v>488</v>
      </c>
      <c r="C311" s="387" t="s">
        <v>489</v>
      </c>
      <c r="D311" s="387" t="s">
        <v>438</v>
      </c>
      <c r="E311" s="387">
        <v>9.7520000000000007</v>
      </c>
      <c r="F311" s="387">
        <v>20</v>
      </c>
      <c r="G311" s="387" t="s">
        <v>490</v>
      </c>
      <c r="H311" s="387" t="s">
        <v>491</v>
      </c>
      <c r="I311" s="387" t="s">
        <v>426</v>
      </c>
      <c r="J311" s="697">
        <v>1500000146</v>
      </c>
      <c r="K311" s="698">
        <v>41254</v>
      </c>
      <c r="L311" s="690">
        <v>3200010989</v>
      </c>
      <c r="M311" s="696">
        <v>41418</v>
      </c>
      <c r="N311" s="690" t="s">
        <v>427</v>
      </c>
      <c r="O311" s="387"/>
      <c r="P311" s="387"/>
      <c r="Q311" s="387"/>
      <c r="R311" s="387"/>
      <c r="S311" s="387"/>
      <c r="T311" s="387"/>
      <c r="U311" s="387"/>
      <c r="V311" s="387"/>
      <c r="W311" s="387">
        <v>7.5999999999999998E-2</v>
      </c>
      <c r="Y311" s="371"/>
      <c r="Z311" s="97"/>
    </row>
    <row r="312" spans="1:26" s="219" customFormat="1" x14ac:dyDescent="0.25">
      <c r="A312" s="387">
        <v>19</v>
      </c>
      <c r="B312" s="387" t="s">
        <v>492</v>
      </c>
      <c r="C312" s="387" t="s">
        <v>489</v>
      </c>
      <c r="D312" s="387" t="s">
        <v>438</v>
      </c>
      <c r="E312" s="387">
        <v>9.9819999999999993</v>
      </c>
      <c r="F312" s="387">
        <v>20</v>
      </c>
      <c r="G312" s="387" t="s">
        <v>490</v>
      </c>
      <c r="H312" s="387" t="s">
        <v>491</v>
      </c>
      <c r="I312" s="387" t="s">
        <v>426</v>
      </c>
      <c r="J312" s="697">
        <v>1500000147</v>
      </c>
      <c r="K312" s="698">
        <v>41254</v>
      </c>
      <c r="L312" s="690">
        <v>3200010987</v>
      </c>
      <c r="M312" s="696">
        <v>41418</v>
      </c>
      <c r="N312" s="690" t="s">
        <v>427</v>
      </c>
      <c r="O312" s="387"/>
      <c r="P312" s="387"/>
      <c r="Q312" s="387"/>
      <c r="R312" s="387"/>
      <c r="S312" s="387"/>
      <c r="T312" s="387"/>
      <c r="U312" s="387"/>
      <c r="V312" s="387"/>
      <c r="W312" s="387">
        <v>0.05</v>
      </c>
      <c r="Y312" s="371"/>
      <c r="Z312" s="97"/>
    </row>
    <row r="313" spans="1:26" s="219" customFormat="1" x14ac:dyDescent="0.25">
      <c r="A313" s="387">
        <v>20</v>
      </c>
      <c r="B313" s="387" t="s">
        <v>493</v>
      </c>
      <c r="C313" s="387" t="s">
        <v>494</v>
      </c>
      <c r="D313" s="387" t="s">
        <v>495</v>
      </c>
      <c r="E313" s="387">
        <v>1.98</v>
      </c>
      <c r="F313" s="387">
        <v>20</v>
      </c>
      <c r="G313" s="387" t="s">
        <v>496</v>
      </c>
      <c r="H313" s="387" t="s">
        <v>497</v>
      </c>
      <c r="I313" s="387" t="s">
        <v>426</v>
      </c>
      <c r="J313" s="697">
        <v>1500000148</v>
      </c>
      <c r="K313" s="698">
        <v>41257</v>
      </c>
      <c r="L313" s="690" t="s">
        <v>498</v>
      </c>
      <c r="M313" s="696">
        <v>41277</v>
      </c>
      <c r="N313" s="690" t="s">
        <v>427</v>
      </c>
      <c r="O313" s="387"/>
      <c r="P313" s="387"/>
      <c r="Q313" s="387"/>
      <c r="R313" s="387"/>
      <c r="S313" s="387"/>
      <c r="T313" s="387"/>
      <c r="U313" s="387"/>
      <c r="V313" s="387"/>
      <c r="W313" s="387">
        <v>2.7734399999999999</v>
      </c>
      <c r="Y313" s="371"/>
      <c r="Z313" s="97"/>
    </row>
    <row r="314" spans="1:26" s="219" customFormat="1" x14ac:dyDescent="0.25">
      <c r="A314" s="387">
        <v>21</v>
      </c>
      <c r="B314" s="387" t="s">
        <v>499</v>
      </c>
      <c r="C314" s="387" t="s">
        <v>500</v>
      </c>
      <c r="D314" s="387" t="s">
        <v>94</v>
      </c>
      <c r="E314" s="387">
        <v>1</v>
      </c>
      <c r="F314" s="387">
        <v>20</v>
      </c>
      <c r="G314" s="387" t="s">
        <v>501</v>
      </c>
      <c r="H314" s="387" t="s">
        <v>502</v>
      </c>
      <c r="I314" s="387" t="s">
        <v>426</v>
      </c>
      <c r="J314" s="697">
        <v>1500000160</v>
      </c>
      <c r="K314" s="698">
        <v>41264</v>
      </c>
      <c r="L314" s="690">
        <v>3200011865</v>
      </c>
      <c r="M314" s="696">
        <v>41465</v>
      </c>
      <c r="N314" s="690" t="s">
        <v>427</v>
      </c>
      <c r="O314" s="387"/>
      <c r="P314" s="387"/>
      <c r="Q314" s="387"/>
      <c r="R314" s="387"/>
      <c r="S314" s="387"/>
      <c r="T314" s="387"/>
      <c r="U314" s="387"/>
      <c r="V314" s="387"/>
      <c r="W314" s="387">
        <v>6.0000000000000001E-3</v>
      </c>
      <c r="Y314" s="371"/>
      <c r="Z314" s="97"/>
    </row>
    <row r="315" spans="1:26" s="219" customFormat="1" x14ac:dyDescent="0.25">
      <c r="A315" s="387">
        <v>22</v>
      </c>
      <c r="B315" s="387" t="s">
        <v>503</v>
      </c>
      <c r="C315" s="387" t="s">
        <v>504</v>
      </c>
      <c r="D315" s="387" t="s">
        <v>41</v>
      </c>
      <c r="E315" s="387">
        <v>2.4</v>
      </c>
      <c r="F315" s="387">
        <v>20</v>
      </c>
      <c r="G315" s="387" t="s">
        <v>479</v>
      </c>
      <c r="H315" s="387" t="s">
        <v>505</v>
      </c>
      <c r="I315" s="387" t="s">
        <v>426</v>
      </c>
      <c r="J315" s="697">
        <v>1500000142</v>
      </c>
      <c r="K315" s="698">
        <v>41612</v>
      </c>
      <c r="L315" s="690">
        <v>3200010420</v>
      </c>
      <c r="M315" s="696">
        <v>41386</v>
      </c>
      <c r="N315" s="690" t="s">
        <v>427</v>
      </c>
      <c r="O315" s="387"/>
      <c r="P315" s="387"/>
      <c r="Q315" s="387"/>
      <c r="R315" s="387"/>
      <c r="S315" s="387"/>
      <c r="T315" s="387"/>
      <c r="U315" s="387"/>
      <c r="V315" s="387"/>
      <c r="W315" s="387">
        <v>0.18</v>
      </c>
      <c r="Y315" s="371"/>
      <c r="Z315" s="97"/>
    </row>
    <row r="316" spans="1:26" s="219" customFormat="1" x14ac:dyDescent="0.25">
      <c r="A316" s="387">
        <v>23</v>
      </c>
      <c r="B316" s="387" t="s">
        <v>506</v>
      </c>
      <c r="C316" s="387" t="s">
        <v>507</v>
      </c>
      <c r="D316" s="387" t="s">
        <v>41</v>
      </c>
      <c r="E316" s="387">
        <v>3.2</v>
      </c>
      <c r="F316" s="387">
        <v>20</v>
      </c>
      <c r="G316" s="387" t="s">
        <v>464</v>
      </c>
      <c r="H316" s="387" t="s">
        <v>508</v>
      </c>
      <c r="I316" s="387" t="s">
        <v>426</v>
      </c>
      <c r="J316" s="697">
        <v>1500000844</v>
      </c>
      <c r="K316" s="698">
        <v>43893</v>
      </c>
      <c r="L316" s="690">
        <v>3200012585</v>
      </c>
      <c r="M316" s="696">
        <v>41498</v>
      </c>
      <c r="N316" s="693">
        <v>45364</v>
      </c>
      <c r="O316" s="387"/>
      <c r="P316" s="387"/>
      <c r="Q316" s="387"/>
      <c r="R316" s="680">
        <v>8700022632</v>
      </c>
      <c r="S316" s="681">
        <v>45364</v>
      </c>
      <c r="T316" s="680"/>
      <c r="U316" s="682"/>
      <c r="V316" s="682"/>
      <c r="W316" s="683">
        <v>3.2</v>
      </c>
      <c r="Y316" s="371"/>
      <c r="Z316" s="97"/>
    </row>
    <row r="317" spans="1:26" s="219" customFormat="1" x14ac:dyDescent="0.25">
      <c r="A317" s="387">
        <v>24</v>
      </c>
      <c r="B317" s="387" t="s">
        <v>509</v>
      </c>
      <c r="C317" s="387" t="s">
        <v>463</v>
      </c>
      <c r="D317" s="387" t="s">
        <v>41</v>
      </c>
      <c r="E317" s="387">
        <v>4.5</v>
      </c>
      <c r="F317" s="387">
        <v>20</v>
      </c>
      <c r="G317" s="387" t="s">
        <v>464</v>
      </c>
      <c r="H317" s="387" t="s">
        <v>510</v>
      </c>
      <c r="I317" s="387" t="s">
        <v>426</v>
      </c>
      <c r="J317" s="697">
        <v>1500000191</v>
      </c>
      <c r="K317" s="698">
        <v>41318</v>
      </c>
      <c r="L317" s="690">
        <v>3200012297</v>
      </c>
      <c r="M317" s="696">
        <v>41485</v>
      </c>
      <c r="N317" s="690" t="s">
        <v>427</v>
      </c>
      <c r="O317" s="387"/>
      <c r="P317" s="387"/>
      <c r="Q317" s="387"/>
      <c r="R317" s="387"/>
      <c r="S317" s="387"/>
      <c r="T317" s="387"/>
      <c r="U317" s="387"/>
      <c r="V317" s="387"/>
      <c r="W317" s="387">
        <v>9.99</v>
      </c>
      <c r="Y317" s="371"/>
      <c r="Z317" s="97"/>
    </row>
    <row r="318" spans="1:26" s="219" customFormat="1" x14ac:dyDescent="0.25">
      <c r="A318" s="387">
        <v>25</v>
      </c>
      <c r="B318" s="387" t="s">
        <v>511</v>
      </c>
      <c r="C318" s="387" t="s">
        <v>512</v>
      </c>
      <c r="D318" s="387" t="s">
        <v>94</v>
      </c>
      <c r="E318" s="387">
        <v>5.6529999999999996</v>
      </c>
      <c r="F318" s="387">
        <v>20</v>
      </c>
      <c r="G318" s="387" t="s">
        <v>513</v>
      </c>
      <c r="H318" s="387" t="s">
        <v>514</v>
      </c>
      <c r="I318" s="387" t="s">
        <v>426</v>
      </c>
      <c r="J318" s="697">
        <v>1500000219</v>
      </c>
      <c r="K318" s="698">
        <v>41351</v>
      </c>
      <c r="L318" s="690">
        <v>3200011543</v>
      </c>
      <c r="M318" s="696">
        <v>41450</v>
      </c>
      <c r="N318" s="690" t="s">
        <v>427</v>
      </c>
      <c r="O318" s="387"/>
      <c r="P318" s="387"/>
      <c r="Q318" s="387"/>
      <c r="R318" s="387"/>
      <c r="S318" s="387"/>
      <c r="T318" s="387"/>
      <c r="U318" s="387"/>
      <c r="V318" s="387"/>
      <c r="W318" s="387">
        <v>6.63</v>
      </c>
      <c r="Y318" s="371"/>
      <c r="Z318" s="97"/>
    </row>
    <row r="319" spans="1:26" s="219" customFormat="1" x14ac:dyDescent="0.25">
      <c r="A319" s="387">
        <v>26</v>
      </c>
      <c r="B319" s="387" t="s">
        <v>515</v>
      </c>
      <c r="C319" s="387" t="s">
        <v>516</v>
      </c>
      <c r="D319" s="387" t="s">
        <v>84</v>
      </c>
      <c r="E319" s="387">
        <v>2.5</v>
      </c>
      <c r="F319" s="387">
        <v>20</v>
      </c>
      <c r="G319" s="387" t="s">
        <v>517</v>
      </c>
      <c r="H319" s="387" t="s">
        <v>518</v>
      </c>
      <c r="I319" s="387" t="s">
        <v>426</v>
      </c>
      <c r="J319" s="697">
        <v>1500000241</v>
      </c>
      <c r="K319" s="698">
        <v>41372</v>
      </c>
      <c r="L319" s="690">
        <v>3100030861</v>
      </c>
      <c r="M319" s="696">
        <v>41562</v>
      </c>
      <c r="N319" s="690" t="s">
        <v>5056</v>
      </c>
      <c r="O319" s="387"/>
      <c r="P319" s="387"/>
      <c r="Q319" s="387"/>
      <c r="R319" s="387"/>
      <c r="S319" s="387"/>
      <c r="T319" s="387"/>
      <c r="U319" s="387"/>
      <c r="V319" s="387"/>
      <c r="W319" s="387">
        <v>6.63</v>
      </c>
      <c r="Y319" s="371"/>
      <c r="Z319" s="97"/>
    </row>
    <row r="320" spans="1:26" s="219" customFormat="1" x14ac:dyDescent="0.25">
      <c r="A320" s="387">
        <v>27</v>
      </c>
      <c r="B320" s="387" t="s">
        <v>519</v>
      </c>
      <c r="C320" s="387" t="s">
        <v>520</v>
      </c>
      <c r="D320" s="387" t="s">
        <v>438</v>
      </c>
      <c r="E320" s="387">
        <v>1.1200000000000001</v>
      </c>
      <c r="F320" s="387">
        <v>20</v>
      </c>
      <c r="G320" s="387" t="s">
        <v>521</v>
      </c>
      <c r="H320" s="387" t="s">
        <v>522</v>
      </c>
      <c r="I320" s="387" t="s">
        <v>426</v>
      </c>
      <c r="J320" s="697">
        <v>1500000258</v>
      </c>
      <c r="K320" s="698">
        <v>41380</v>
      </c>
      <c r="L320" s="690">
        <v>3200013793</v>
      </c>
      <c r="M320" s="696">
        <v>41558</v>
      </c>
      <c r="N320" s="690" t="s">
        <v>427</v>
      </c>
      <c r="O320" s="387"/>
      <c r="P320" s="387"/>
      <c r="Q320" s="387"/>
      <c r="R320" s="387"/>
      <c r="S320" s="387"/>
      <c r="T320" s="387"/>
      <c r="U320" s="387"/>
      <c r="V320" s="387"/>
      <c r="W320" s="387">
        <v>6.63</v>
      </c>
      <c r="Y320" s="371"/>
      <c r="Z320" s="97"/>
    </row>
    <row r="321" spans="1:26" s="219" customFormat="1" x14ac:dyDescent="0.25">
      <c r="A321" s="387">
        <v>28</v>
      </c>
      <c r="B321" s="387" t="s">
        <v>524</v>
      </c>
      <c r="C321" s="387" t="s">
        <v>525</v>
      </c>
      <c r="D321" s="387" t="s">
        <v>495</v>
      </c>
      <c r="E321" s="387">
        <v>4.1180000000000003</v>
      </c>
      <c r="F321" s="387">
        <v>20</v>
      </c>
      <c r="G321" s="387" t="s">
        <v>526</v>
      </c>
      <c r="H321" s="387" t="s">
        <v>527</v>
      </c>
      <c r="I321" s="387" t="s">
        <v>426</v>
      </c>
      <c r="J321" s="697">
        <v>1500000260</v>
      </c>
      <c r="K321" s="698">
        <v>41381</v>
      </c>
      <c r="L321" s="690">
        <v>3100024638</v>
      </c>
      <c r="M321" s="696">
        <v>41388</v>
      </c>
      <c r="N321" s="690" t="s">
        <v>427</v>
      </c>
      <c r="O321" s="387"/>
      <c r="P321" s="387"/>
      <c r="Q321" s="387"/>
      <c r="R321" s="387"/>
      <c r="S321" s="387"/>
      <c r="T321" s="387"/>
      <c r="U321" s="387"/>
      <c r="V321" s="387"/>
      <c r="W321" s="387">
        <v>18.009</v>
      </c>
      <c r="Y321" s="371"/>
      <c r="Z321" s="97"/>
    </row>
    <row r="322" spans="1:26" s="219" customFormat="1" x14ac:dyDescent="0.25">
      <c r="A322" s="387">
        <v>29</v>
      </c>
      <c r="B322" s="387" t="s">
        <v>528</v>
      </c>
      <c r="C322" s="387" t="s">
        <v>529</v>
      </c>
      <c r="D322" s="387" t="s">
        <v>94</v>
      </c>
      <c r="E322" s="387">
        <v>1</v>
      </c>
      <c r="F322" s="387">
        <v>20</v>
      </c>
      <c r="G322" s="387" t="s">
        <v>530</v>
      </c>
      <c r="H322" s="387" t="s">
        <v>531</v>
      </c>
      <c r="I322" s="387" t="s">
        <v>426</v>
      </c>
      <c r="J322" s="697">
        <v>1500000233</v>
      </c>
      <c r="K322" s="698">
        <v>41368</v>
      </c>
      <c r="L322" s="690"/>
      <c r="M322" s="696"/>
      <c r="N322" s="690" t="s">
        <v>5056</v>
      </c>
      <c r="O322" s="387"/>
      <c r="P322" s="387"/>
      <c r="Q322" s="387"/>
      <c r="R322" s="387"/>
      <c r="S322" s="387"/>
      <c r="T322" s="387"/>
      <c r="U322" s="387"/>
      <c r="V322" s="387"/>
      <c r="W322" s="387">
        <v>81.680000000000007</v>
      </c>
      <c r="Y322" s="371"/>
      <c r="Z322" s="97"/>
    </row>
    <row r="323" spans="1:26" s="219" customFormat="1" x14ac:dyDescent="0.25">
      <c r="A323" s="387">
        <v>30</v>
      </c>
      <c r="B323" s="387" t="s">
        <v>532</v>
      </c>
      <c r="C323" s="387" t="s">
        <v>533</v>
      </c>
      <c r="D323" s="387" t="s">
        <v>438</v>
      </c>
      <c r="E323" s="387">
        <v>3</v>
      </c>
      <c r="F323" s="387">
        <v>20</v>
      </c>
      <c r="G323" s="387" t="s">
        <v>534</v>
      </c>
      <c r="H323" s="387" t="s">
        <v>535</v>
      </c>
      <c r="I323" s="387" t="s">
        <v>426</v>
      </c>
      <c r="J323" s="697">
        <v>1500000472</v>
      </c>
      <c r="K323" s="698">
        <v>41625</v>
      </c>
      <c r="L323" s="690">
        <v>3200013874</v>
      </c>
      <c r="M323" s="696">
        <v>41562</v>
      </c>
      <c r="N323" s="794" t="s">
        <v>427</v>
      </c>
      <c r="O323" s="387"/>
      <c r="P323" s="387"/>
      <c r="Q323" s="387"/>
      <c r="R323" s="387"/>
      <c r="S323" s="387"/>
      <c r="T323" s="387"/>
      <c r="U323" s="387"/>
      <c r="V323" s="387"/>
      <c r="W323" s="387">
        <v>0.01</v>
      </c>
      <c r="Y323" s="371"/>
      <c r="Z323" s="97"/>
    </row>
    <row r="324" spans="1:26" s="219" customFormat="1" x14ac:dyDescent="0.25">
      <c r="A324" s="387">
        <v>31</v>
      </c>
      <c r="B324" s="387" t="s">
        <v>536</v>
      </c>
      <c r="C324" s="387" t="s">
        <v>537</v>
      </c>
      <c r="D324" s="387" t="s">
        <v>438</v>
      </c>
      <c r="E324" s="387">
        <v>2.2000000000000002</v>
      </c>
      <c r="F324" s="387">
        <v>20</v>
      </c>
      <c r="G324" s="387" t="s">
        <v>538</v>
      </c>
      <c r="H324" s="387" t="s">
        <v>539</v>
      </c>
      <c r="I324" s="387" t="s">
        <v>426</v>
      </c>
      <c r="J324" s="697">
        <v>1500000261</v>
      </c>
      <c r="K324" s="698">
        <v>41381</v>
      </c>
      <c r="L324" s="690">
        <v>3200013876</v>
      </c>
      <c r="M324" s="696">
        <v>41562</v>
      </c>
      <c r="N324" s="794" t="s">
        <v>427</v>
      </c>
      <c r="O324" s="387"/>
      <c r="P324" s="387"/>
      <c r="Q324" s="387"/>
      <c r="R324" s="387"/>
      <c r="S324" s="387"/>
      <c r="T324" s="387"/>
      <c r="U324" s="387"/>
      <c r="V324" s="387"/>
      <c r="W324" s="387">
        <v>0.06</v>
      </c>
      <c r="Y324" s="371"/>
      <c r="Z324" s="97"/>
    </row>
    <row r="325" spans="1:26" s="219" customFormat="1" x14ac:dyDescent="0.25">
      <c r="A325" s="387">
        <v>32</v>
      </c>
      <c r="B325" s="387" t="s">
        <v>540</v>
      </c>
      <c r="C325" s="387" t="s">
        <v>541</v>
      </c>
      <c r="D325" s="387" t="s">
        <v>438</v>
      </c>
      <c r="E325" s="387">
        <v>9.94</v>
      </c>
      <c r="F325" s="387">
        <v>20</v>
      </c>
      <c r="G325" s="387" t="s">
        <v>542</v>
      </c>
      <c r="H325" s="387" t="s">
        <v>543</v>
      </c>
      <c r="I325" s="387" t="s">
        <v>426</v>
      </c>
      <c r="J325" s="697">
        <v>1500000269</v>
      </c>
      <c r="K325" s="698">
        <v>41393</v>
      </c>
      <c r="L325" s="690">
        <v>3200013989</v>
      </c>
      <c r="M325" s="696">
        <v>41568</v>
      </c>
      <c r="N325" s="794" t="s">
        <v>427</v>
      </c>
      <c r="O325" s="387"/>
      <c r="P325" s="387"/>
      <c r="Q325" s="387"/>
      <c r="R325" s="387"/>
      <c r="S325" s="387"/>
      <c r="T325" s="387"/>
      <c r="U325" s="387"/>
      <c r="V325" s="387"/>
      <c r="W325" s="387">
        <v>48.41</v>
      </c>
      <c r="Y325" s="371"/>
      <c r="Z325" s="97"/>
    </row>
    <row r="326" spans="1:26" s="219" customFormat="1" ht="35.25" customHeight="1" x14ac:dyDescent="0.25">
      <c r="A326" s="387">
        <v>33</v>
      </c>
      <c r="B326" s="387" t="s">
        <v>544</v>
      </c>
      <c r="C326" s="387" t="s">
        <v>545</v>
      </c>
      <c r="D326" s="387" t="s">
        <v>94</v>
      </c>
      <c r="E326" s="387">
        <v>2.35</v>
      </c>
      <c r="F326" s="387">
        <v>20</v>
      </c>
      <c r="G326" s="387" t="s">
        <v>546</v>
      </c>
      <c r="H326" s="387" t="s">
        <v>547</v>
      </c>
      <c r="I326" s="387" t="s">
        <v>426</v>
      </c>
      <c r="J326" s="697">
        <v>1500000277</v>
      </c>
      <c r="K326" s="698">
        <v>41403</v>
      </c>
      <c r="L326" s="690">
        <v>3200012221</v>
      </c>
      <c r="M326" s="696">
        <v>41481</v>
      </c>
      <c r="N326" s="794" t="s">
        <v>427</v>
      </c>
      <c r="O326" s="387"/>
      <c r="P326" s="387"/>
      <c r="Q326" s="387"/>
      <c r="R326" s="387"/>
      <c r="S326" s="387"/>
      <c r="T326" s="387"/>
      <c r="U326" s="387"/>
      <c r="V326" s="387"/>
      <c r="W326" s="387">
        <v>6.0000000000000001E-3</v>
      </c>
      <c r="Y326" s="371"/>
      <c r="Z326" s="97"/>
    </row>
    <row r="327" spans="1:26" s="219" customFormat="1" ht="49.5" customHeight="1" x14ac:dyDescent="0.25">
      <c r="A327" s="387">
        <v>34</v>
      </c>
      <c r="B327" s="387" t="s">
        <v>548</v>
      </c>
      <c r="C327" s="387" t="s">
        <v>549</v>
      </c>
      <c r="D327" s="387" t="s">
        <v>94</v>
      </c>
      <c r="E327" s="387">
        <v>2.3410000000000002</v>
      </c>
      <c r="F327" s="387">
        <v>20</v>
      </c>
      <c r="G327" s="387" t="s">
        <v>546</v>
      </c>
      <c r="H327" s="387" t="s">
        <v>550</v>
      </c>
      <c r="I327" s="387" t="s">
        <v>426</v>
      </c>
      <c r="J327" s="697">
        <v>1500000327</v>
      </c>
      <c r="K327" s="698">
        <v>41465</v>
      </c>
      <c r="L327" s="690">
        <v>3200012357</v>
      </c>
      <c r="M327" s="696">
        <v>41488</v>
      </c>
      <c r="N327" s="794" t="s">
        <v>427</v>
      </c>
      <c r="O327" s="387"/>
      <c r="P327" s="387"/>
      <c r="Q327" s="387"/>
      <c r="R327" s="387"/>
      <c r="S327" s="387"/>
      <c r="T327" s="387"/>
      <c r="U327" s="387"/>
      <c r="V327" s="387"/>
      <c r="W327" s="387">
        <v>2.5000000000000001E-2</v>
      </c>
      <c r="Y327" s="371"/>
      <c r="Z327" s="97"/>
    </row>
    <row r="328" spans="1:26" s="219" customFormat="1" ht="69.75" customHeight="1" x14ac:dyDescent="0.25">
      <c r="A328" s="387">
        <v>35</v>
      </c>
      <c r="B328" s="387" t="s">
        <v>551</v>
      </c>
      <c r="C328" s="387" t="s">
        <v>552</v>
      </c>
      <c r="D328" s="387" t="s">
        <v>94</v>
      </c>
      <c r="E328" s="387">
        <v>2.496</v>
      </c>
      <c r="F328" s="387">
        <v>20</v>
      </c>
      <c r="G328" s="387" t="s">
        <v>546</v>
      </c>
      <c r="H328" s="387" t="s">
        <v>553</v>
      </c>
      <c r="I328" s="387" t="s">
        <v>426</v>
      </c>
      <c r="J328" s="697">
        <v>1500000326</v>
      </c>
      <c r="K328" s="698">
        <v>41465</v>
      </c>
      <c r="L328" s="690">
        <v>3200012354</v>
      </c>
      <c r="M328" s="696">
        <v>41488</v>
      </c>
      <c r="N328" s="794" t="s">
        <v>427</v>
      </c>
      <c r="O328" s="387"/>
      <c r="P328" s="387"/>
      <c r="Q328" s="387"/>
      <c r="R328" s="387"/>
      <c r="S328" s="387"/>
      <c r="T328" s="387"/>
      <c r="U328" s="387"/>
      <c r="V328" s="387"/>
      <c r="W328" s="387">
        <v>6.0000000000000001E-3</v>
      </c>
      <c r="Y328" s="371"/>
      <c r="Z328" s="97"/>
    </row>
    <row r="329" spans="1:26" s="219" customFormat="1" ht="42" customHeight="1" x14ac:dyDescent="0.25">
      <c r="A329" s="387">
        <v>36</v>
      </c>
      <c r="B329" s="387" t="s">
        <v>554</v>
      </c>
      <c r="C329" s="387" t="s">
        <v>555</v>
      </c>
      <c r="D329" s="387" t="s">
        <v>94</v>
      </c>
      <c r="E329" s="387">
        <v>4.5</v>
      </c>
      <c r="F329" s="387">
        <v>20</v>
      </c>
      <c r="G329" s="387" t="s">
        <v>556</v>
      </c>
      <c r="H329" s="387" t="s">
        <v>557</v>
      </c>
      <c r="I329" s="387" t="s">
        <v>426</v>
      </c>
      <c r="J329" s="697">
        <v>1500000308</v>
      </c>
      <c r="K329" s="698">
        <v>41446</v>
      </c>
      <c r="L329" s="690">
        <v>3200015093</v>
      </c>
      <c r="M329" s="696">
        <v>41624</v>
      </c>
      <c r="N329" s="794" t="s">
        <v>427</v>
      </c>
      <c r="O329" s="387"/>
      <c r="P329" s="387"/>
      <c r="Q329" s="387"/>
      <c r="R329" s="387"/>
      <c r="S329" s="387"/>
      <c r="T329" s="387"/>
      <c r="U329" s="387"/>
      <c r="V329" s="387"/>
      <c r="W329" s="387">
        <v>9.9600000000000009</v>
      </c>
      <c r="Y329" s="371"/>
      <c r="Z329" s="97"/>
    </row>
    <row r="330" spans="1:26" s="219" customFormat="1" ht="67.5" customHeight="1" x14ac:dyDescent="0.25">
      <c r="A330" s="387">
        <v>37</v>
      </c>
      <c r="B330" s="387" t="s">
        <v>558</v>
      </c>
      <c r="C330" s="387" t="s">
        <v>559</v>
      </c>
      <c r="D330" s="387" t="s">
        <v>41</v>
      </c>
      <c r="E330" s="387">
        <v>2.9</v>
      </c>
      <c r="F330" s="387">
        <v>20</v>
      </c>
      <c r="G330" s="387" t="s">
        <v>560</v>
      </c>
      <c r="H330" s="387" t="s">
        <v>561</v>
      </c>
      <c r="I330" s="387" t="s">
        <v>426</v>
      </c>
      <c r="J330" s="697">
        <v>1500000338</v>
      </c>
      <c r="K330" s="698">
        <v>41479</v>
      </c>
      <c r="L330" s="690">
        <v>3200015584</v>
      </c>
      <c r="M330" s="696">
        <v>41661</v>
      </c>
      <c r="N330" s="794" t="s">
        <v>427</v>
      </c>
      <c r="O330" s="387"/>
      <c r="P330" s="387"/>
      <c r="Q330" s="387"/>
      <c r="R330" s="387"/>
      <c r="S330" s="387"/>
      <c r="T330" s="387"/>
      <c r="U330" s="387"/>
      <c r="V330" s="387"/>
      <c r="W330" s="387">
        <v>5.94E-3</v>
      </c>
      <c r="Y330" s="371"/>
      <c r="Z330" s="97"/>
    </row>
    <row r="331" spans="1:26" s="219" customFormat="1" x14ac:dyDescent="0.25">
      <c r="A331" s="387">
        <v>38</v>
      </c>
      <c r="B331" s="387" t="s">
        <v>562</v>
      </c>
      <c r="C331" s="387" t="s">
        <v>563</v>
      </c>
      <c r="D331" s="387" t="s">
        <v>41</v>
      </c>
      <c r="E331" s="387">
        <v>3</v>
      </c>
      <c r="F331" s="387">
        <v>20</v>
      </c>
      <c r="G331" s="387" t="s">
        <v>564</v>
      </c>
      <c r="H331" s="387" t="s">
        <v>565</v>
      </c>
      <c r="I331" s="387" t="s">
        <v>426</v>
      </c>
      <c r="J331" s="697">
        <v>1500000372</v>
      </c>
      <c r="K331" s="698">
        <v>41523</v>
      </c>
      <c r="L331" s="690">
        <v>3100035139</v>
      </c>
      <c r="M331" s="696">
        <v>43893</v>
      </c>
      <c r="N331" s="794" t="s">
        <v>427</v>
      </c>
      <c r="O331" s="387"/>
      <c r="P331" s="387"/>
      <c r="Q331" s="387"/>
      <c r="R331" s="387"/>
      <c r="S331" s="387"/>
      <c r="T331" s="387"/>
      <c r="U331" s="387"/>
      <c r="V331" s="387"/>
      <c r="W331" s="387">
        <v>6.0000000000000001E-3</v>
      </c>
      <c r="Y331" s="371"/>
      <c r="Z331" s="97"/>
    </row>
    <row r="332" spans="1:26" s="219" customFormat="1" x14ac:dyDescent="0.25">
      <c r="A332" s="387">
        <v>39</v>
      </c>
      <c r="B332" s="387" t="s">
        <v>566</v>
      </c>
      <c r="C332" s="387" t="s">
        <v>567</v>
      </c>
      <c r="D332" s="387" t="s">
        <v>438</v>
      </c>
      <c r="E332" s="387">
        <v>3.992</v>
      </c>
      <c r="F332" s="387">
        <v>20</v>
      </c>
      <c r="G332" s="387" t="s">
        <v>568</v>
      </c>
      <c r="H332" s="387" t="s">
        <v>569</v>
      </c>
      <c r="I332" s="387" t="s">
        <v>426</v>
      </c>
      <c r="J332" s="697">
        <v>1500000360</v>
      </c>
      <c r="K332" s="698">
        <v>41512</v>
      </c>
      <c r="L332" s="690">
        <v>3200015900</v>
      </c>
      <c r="M332" s="696">
        <v>41683</v>
      </c>
      <c r="N332" s="794" t="s">
        <v>427</v>
      </c>
      <c r="O332" s="387"/>
      <c r="P332" s="387"/>
      <c r="Q332" s="387"/>
      <c r="R332" s="387"/>
      <c r="S332" s="387"/>
      <c r="T332" s="387"/>
      <c r="U332" s="387"/>
      <c r="V332" s="387"/>
      <c r="W332" s="387">
        <v>6.0000000000000001E-3</v>
      </c>
      <c r="Y332" s="371"/>
      <c r="Z332" s="97"/>
    </row>
    <row r="333" spans="1:26" s="219" customFormat="1" x14ac:dyDescent="0.25">
      <c r="A333" s="387">
        <v>40</v>
      </c>
      <c r="B333" s="387" t="s">
        <v>570</v>
      </c>
      <c r="C333" s="387" t="s">
        <v>571</v>
      </c>
      <c r="D333" s="387" t="s">
        <v>94</v>
      </c>
      <c r="E333" s="387">
        <v>1.9</v>
      </c>
      <c r="F333" s="387">
        <v>20</v>
      </c>
      <c r="G333" s="387" t="s">
        <v>572</v>
      </c>
      <c r="H333" s="387" t="s">
        <v>573</v>
      </c>
      <c r="I333" s="387" t="s">
        <v>426</v>
      </c>
      <c r="J333" s="697">
        <v>1500000398</v>
      </c>
      <c r="K333" s="698">
        <v>41541</v>
      </c>
      <c r="L333" s="690">
        <v>3100035935</v>
      </c>
      <c r="M333" s="696">
        <v>41716</v>
      </c>
      <c r="N333" s="794" t="s">
        <v>427</v>
      </c>
      <c r="O333" s="387"/>
      <c r="P333" s="387"/>
      <c r="Q333" s="387"/>
      <c r="R333" s="387"/>
      <c r="S333" s="387"/>
      <c r="T333" s="387"/>
      <c r="U333" s="387"/>
      <c r="V333" s="387"/>
      <c r="W333" s="387">
        <v>6.0000000000000001E-3</v>
      </c>
      <c r="Y333" s="371"/>
      <c r="Z333" s="97"/>
    </row>
    <row r="334" spans="1:26" s="219" customFormat="1" x14ac:dyDescent="0.25">
      <c r="A334" s="387">
        <v>41</v>
      </c>
      <c r="B334" s="387" t="s">
        <v>574</v>
      </c>
      <c r="C334" s="387" t="s">
        <v>575</v>
      </c>
      <c r="D334" s="387" t="s">
        <v>416</v>
      </c>
      <c r="E334" s="387">
        <v>4.54</v>
      </c>
      <c r="F334" s="387">
        <v>20</v>
      </c>
      <c r="G334" s="387" t="s">
        <v>576</v>
      </c>
      <c r="H334" s="387" t="s">
        <v>577</v>
      </c>
      <c r="I334" s="387" t="s">
        <v>426</v>
      </c>
      <c r="J334" s="697">
        <v>1500000413</v>
      </c>
      <c r="K334" s="698">
        <v>41562</v>
      </c>
      <c r="L334" s="690">
        <v>3200014935</v>
      </c>
      <c r="M334" s="696">
        <v>41617</v>
      </c>
      <c r="N334" s="795">
        <v>45525</v>
      </c>
      <c r="O334" s="387"/>
      <c r="P334" s="387"/>
      <c r="Q334" s="387"/>
      <c r="R334" s="387"/>
      <c r="S334" s="387"/>
      <c r="T334" s="387"/>
      <c r="U334" s="387"/>
      <c r="V334" s="387"/>
      <c r="W334" s="387">
        <v>1.4999999999999999E-2</v>
      </c>
      <c r="Y334" s="371"/>
      <c r="Z334" s="97"/>
    </row>
    <row r="335" spans="1:26" s="219" customFormat="1" x14ac:dyDescent="0.25">
      <c r="A335" s="387">
        <v>42</v>
      </c>
      <c r="B335" s="387" t="s">
        <v>578</v>
      </c>
      <c r="C335" s="387" t="s">
        <v>579</v>
      </c>
      <c r="D335" s="387" t="s">
        <v>416</v>
      </c>
      <c r="E335" s="387">
        <v>3.4</v>
      </c>
      <c r="F335" s="387">
        <v>20</v>
      </c>
      <c r="G335" s="387" t="s">
        <v>580</v>
      </c>
      <c r="H335" s="387" t="s">
        <v>581</v>
      </c>
      <c r="I335" s="387" t="s">
        <v>426</v>
      </c>
      <c r="J335" s="697">
        <v>1500003195</v>
      </c>
      <c r="K335" s="698">
        <v>44063</v>
      </c>
      <c r="L335" s="690">
        <v>3200076951</v>
      </c>
      <c r="M335" s="696">
        <v>44418</v>
      </c>
      <c r="N335" s="794" t="s">
        <v>427</v>
      </c>
      <c r="O335" s="387"/>
      <c r="P335" s="387"/>
      <c r="Q335" s="387"/>
      <c r="R335" s="387"/>
      <c r="S335" s="387"/>
      <c r="T335" s="387"/>
      <c r="U335" s="387"/>
      <c r="V335" s="387"/>
      <c r="W335" s="387">
        <v>5.0000000000000001E-3</v>
      </c>
      <c r="Y335" s="371"/>
      <c r="Z335" s="97"/>
    </row>
    <row r="336" spans="1:26" s="219" customFormat="1" x14ac:dyDescent="0.25">
      <c r="A336" s="387">
        <v>43</v>
      </c>
      <c r="B336" s="387" t="s">
        <v>582</v>
      </c>
      <c r="C336" s="387" t="s">
        <v>583</v>
      </c>
      <c r="D336" s="387" t="s">
        <v>416</v>
      </c>
      <c r="E336" s="387">
        <v>2.46</v>
      </c>
      <c r="F336" s="387">
        <v>20</v>
      </c>
      <c r="G336" s="387" t="s">
        <v>584</v>
      </c>
      <c r="H336" s="387" t="s">
        <v>585</v>
      </c>
      <c r="I336" s="387" t="s">
        <v>426</v>
      </c>
      <c r="J336" s="697">
        <v>1500003821</v>
      </c>
      <c r="K336" s="698">
        <v>44132</v>
      </c>
      <c r="L336" s="690">
        <v>3200077624</v>
      </c>
      <c r="M336" s="696">
        <v>44495</v>
      </c>
      <c r="N336" s="794" t="s">
        <v>427</v>
      </c>
      <c r="O336" s="387"/>
      <c r="P336" s="387"/>
      <c r="Q336" s="387"/>
      <c r="R336" s="387"/>
      <c r="S336" s="387"/>
      <c r="T336" s="387"/>
      <c r="U336" s="387"/>
      <c r="V336" s="387"/>
      <c r="W336" s="387">
        <v>0.02</v>
      </c>
      <c r="Y336" s="371"/>
      <c r="Z336" s="97"/>
    </row>
    <row r="337" spans="1:26" s="219" customFormat="1" x14ac:dyDescent="0.25">
      <c r="A337" s="387">
        <v>44</v>
      </c>
      <c r="B337" s="387" t="s">
        <v>586</v>
      </c>
      <c r="C337" s="387" t="s">
        <v>587</v>
      </c>
      <c r="D337" s="387" t="s">
        <v>41</v>
      </c>
      <c r="E337" s="387">
        <v>1.2949999999999999</v>
      </c>
      <c r="F337" s="387">
        <v>20</v>
      </c>
      <c r="G337" s="387" t="s">
        <v>588</v>
      </c>
      <c r="H337" s="387" t="s">
        <v>588</v>
      </c>
      <c r="I337" s="387" t="s">
        <v>426</v>
      </c>
      <c r="J337" s="697">
        <v>1500003883</v>
      </c>
      <c r="K337" s="698">
        <v>44222</v>
      </c>
      <c r="L337" s="690">
        <v>3200078092</v>
      </c>
      <c r="M337" s="696">
        <v>44587</v>
      </c>
      <c r="N337" s="794" t="s">
        <v>427</v>
      </c>
      <c r="O337" s="387"/>
      <c r="P337" s="387"/>
      <c r="Q337" s="387"/>
      <c r="R337" s="387"/>
      <c r="S337" s="387"/>
      <c r="T337" s="387"/>
      <c r="U337" s="387"/>
      <c r="V337" s="387"/>
      <c r="W337" s="387">
        <v>9.1999999999999998E-2</v>
      </c>
      <c r="Y337" s="371"/>
      <c r="Z337" s="97"/>
    </row>
    <row r="338" spans="1:26" s="219" customFormat="1" x14ac:dyDescent="0.25">
      <c r="A338" s="387">
        <v>45</v>
      </c>
      <c r="B338" s="387" t="s">
        <v>586</v>
      </c>
      <c r="C338" s="387" t="s">
        <v>587</v>
      </c>
      <c r="D338" s="387" t="s">
        <v>41</v>
      </c>
      <c r="E338" s="387">
        <v>3.5150000000000001</v>
      </c>
      <c r="F338" s="387">
        <v>20</v>
      </c>
      <c r="G338" s="387" t="s">
        <v>589</v>
      </c>
      <c r="H338" s="387" t="s">
        <v>589</v>
      </c>
      <c r="I338" s="387" t="s">
        <v>426</v>
      </c>
      <c r="J338" s="697">
        <v>1500003884</v>
      </c>
      <c r="K338" s="698">
        <v>44222</v>
      </c>
      <c r="L338" s="690">
        <v>3200078091</v>
      </c>
      <c r="M338" s="696">
        <v>44587</v>
      </c>
      <c r="N338" s="794" t="s">
        <v>427</v>
      </c>
      <c r="O338" s="387"/>
      <c r="P338" s="387"/>
      <c r="Q338" s="387"/>
      <c r="R338" s="387"/>
      <c r="S338" s="387"/>
      <c r="T338" s="387"/>
      <c r="U338" s="387"/>
      <c r="V338" s="387"/>
      <c r="W338" s="387">
        <v>5.0000000000000001E-3</v>
      </c>
      <c r="Y338" s="371"/>
      <c r="Z338" s="97"/>
    </row>
    <row r="339" spans="1:26" s="219" customFormat="1" x14ac:dyDescent="0.25">
      <c r="A339" s="387">
        <v>46</v>
      </c>
      <c r="B339" s="387" t="s">
        <v>590</v>
      </c>
      <c r="C339" s="387" t="s">
        <v>591</v>
      </c>
      <c r="D339" s="387" t="s">
        <v>438</v>
      </c>
      <c r="E339" s="387">
        <v>4.3630000000000004</v>
      </c>
      <c r="F339" s="387">
        <v>20</v>
      </c>
      <c r="G339" s="387" t="s">
        <v>592</v>
      </c>
      <c r="H339" s="387" t="s">
        <v>592</v>
      </c>
      <c r="I339" s="387" t="s">
        <v>426</v>
      </c>
      <c r="J339" s="697">
        <v>1500003912</v>
      </c>
      <c r="K339" s="698">
        <v>44252</v>
      </c>
      <c r="L339" s="690"/>
      <c r="M339" s="696"/>
      <c r="N339" s="690" t="s">
        <v>5056</v>
      </c>
      <c r="O339" s="387"/>
      <c r="P339" s="387"/>
      <c r="Q339" s="387"/>
      <c r="R339" s="387"/>
      <c r="S339" s="387"/>
      <c r="T339" s="387"/>
      <c r="U339" s="387"/>
      <c r="V339" s="387"/>
      <c r="W339" s="387">
        <v>9.9000000000000005E-2</v>
      </c>
      <c r="Y339" s="371"/>
      <c r="Z339" s="97"/>
    </row>
    <row r="340" spans="1:26" s="219" customFormat="1" x14ac:dyDescent="0.25">
      <c r="A340" s="387">
        <v>47</v>
      </c>
      <c r="B340" s="387" t="s">
        <v>351</v>
      </c>
      <c r="C340" s="387" t="s">
        <v>593</v>
      </c>
      <c r="D340" s="387" t="s">
        <v>94</v>
      </c>
      <c r="E340" s="387">
        <v>1.8</v>
      </c>
      <c r="F340" s="387">
        <v>20</v>
      </c>
      <c r="G340" s="387" t="s">
        <v>594</v>
      </c>
      <c r="H340" s="387" t="s">
        <v>594</v>
      </c>
      <c r="I340" s="387" t="s">
        <v>426</v>
      </c>
      <c r="J340" s="697">
        <v>1300000158</v>
      </c>
      <c r="K340" s="698">
        <v>44257</v>
      </c>
      <c r="L340" s="690">
        <v>3200079104</v>
      </c>
      <c r="M340" s="696">
        <v>44655</v>
      </c>
      <c r="N340" s="690" t="s">
        <v>5060</v>
      </c>
      <c r="O340" s="387"/>
      <c r="P340" s="387"/>
      <c r="Q340" s="387"/>
      <c r="R340" s="387"/>
      <c r="S340" s="387"/>
      <c r="T340" s="387"/>
      <c r="U340" s="387"/>
      <c r="V340" s="387"/>
      <c r="W340" s="387">
        <v>2.0879999999999999E-2</v>
      </c>
      <c r="Y340" s="371"/>
      <c r="Z340" s="97"/>
    </row>
    <row r="341" spans="1:26" s="219" customFormat="1" x14ac:dyDescent="0.25">
      <c r="A341" s="387">
        <v>48</v>
      </c>
      <c r="B341" s="387" t="s">
        <v>596</v>
      </c>
      <c r="C341" s="387" t="s">
        <v>597</v>
      </c>
      <c r="D341" s="387" t="s">
        <v>94</v>
      </c>
      <c r="E341" s="387">
        <v>4.0250000000000004</v>
      </c>
      <c r="F341" s="387">
        <v>20</v>
      </c>
      <c r="G341" s="387" t="s">
        <v>598</v>
      </c>
      <c r="H341" s="387" t="s">
        <v>598</v>
      </c>
      <c r="I341" s="387" t="s">
        <v>426</v>
      </c>
      <c r="J341" s="697">
        <v>1500004079</v>
      </c>
      <c r="K341" s="698">
        <v>44389</v>
      </c>
      <c r="L341" s="690">
        <v>3200078738</v>
      </c>
      <c r="M341" s="696">
        <v>44642</v>
      </c>
      <c r="N341" s="690" t="s">
        <v>5061</v>
      </c>
      <c r="O341" s="387"/>
      <c r="P341" s="387"/>
      <c r="Q341" s="387"/>
      <c r="R341" s="387"/>
      <c r="S341" s="387"/>
      <c r="T341" s="387"/>
      <c r="U341" s="387"/>
      <c r="V341" s="387"/>
      <c r="W341" s="387">
        <v>9.2080000000000002</v>
      </c>
      <c r="Y341" s="371"/>
      <c r="Z341" s="97"/>
    </row>
    <row r="342" spans="1:26" s="219" customFormat="1" x14ac:dyDescent="0.25">
      <c r="A342" s="387">
        <v>49</v>
      </c>
      <c r="B342" s="387" t="s">
        <v>599</v>
      </c>
      <c r="C342" s="387" t="s">
        <v>600</v>
      </c>
      <c r="D342" s="387" t="s">
        <v>438</v>
      </c>
      <c r="E342" s="387">
        <v>4.625</v>
      </c>
      <c r="F342" s="387">
        <v>20</v>
      </c>
      <c r="G342" s="387" t="s">
        <v>601</v>
      </c>
      <c r="H342" s="387" t="s">
        <v>601</v>
      </c>
      <c r="I342" s="387" t="s">
        <v>426</v>
      </c>
      <c r="J342" s="697">
        <v>1500004137</v>
      </c>
      <c r="K342" s="698">
        <v>44413</v>
      </c>
      <c r="L342" s="690">
        <v>3200082068</v>
      </c>
      <c r="M342" s="696">
        <v>44760</v>
      </c>
      <c r="N342" s="690" t="s">
        <v>427</v>
      </c>
      <c r="O342" s="387"/>
      <c r="P342" s="387"/>
      <c r="Q342" s="387"/>
      <c r="R342" s="387"/>
      <c r="S342" s="387"/>
      <c r="T342" s="387"/>
      <c r="U342" s="387"/>
      <c r="V342" s="387"/>
      <c r="W342" s="387">
        <v>7.7279999999999998</v>
      </c>
      <c r="Y342" s="371"/>
      <c r="Z342" s="97"/>
    </row>
    <row r="343" spans="1:26" s="219" customFormat="1" x14ac:dyDescent="0.25">
      <c r="A343" s="387">
        <v>50</v>
      </c>
      <c r="B343" s="387" t="s">
        <v>602</v>
      </c>
      <c r="C343" s="387" t="s">
        <v>603</v>
      </c>
      <c r="D343" s="387" t="s">
        <v>94</v>
      </c>
      <c r="E343" s="387">
        <v>5.9</v>
      </c>
      <c r="F343" s="387">
        <v>20</v>
      </c>
      <c r="G343" s="387" t="s">
        <v>604</v>
      </c>
      <c r="H343" s="387" t="s">
        <v>605</v>
      </c>
      <c r="I343" s="387" t="s">
        <v>426</v>
      </c>
      <c r="J343" s="697">
        <v>1500004236</v>
      </c>
      <c r="K343" s="698">
        <v>44482</v>
      </c>
      <c r="L343" s="690">
        <v>3200084608</v>
      </c>
      <c r="M343" s="696">
        <v>44844</v>
      </c>
      <c r="N343" s="690" t="s">
        <v>427</v>
      </c>
      <c r="O343" s="387"/>
      <c r="P343" s="387"/>
      <c r="Q343" s="387"/>
      <c r="R343" s="387"/>
      <c r="S343" s="387"/>
      <c r="T343" s="387"/>
      <c r="U343" s="387"/>
      <c r="V343" s="387"/>
      <c r="W343" s="387">
        <v>9.3726399999999988</v>
      </c>
      <c r="Y343" s="371"/>
      <c r="Z343" s="97"/>
    </row>
    <row r="344" spans="1:26" s="219" customFormat="1" x14ac:dyDescent="0.25">
      <c r="A344" s="387">
        <v>51</v>
      </c>
      <c r="B344" s="387" t="s">
        <v>606</v>
      </c>
      <c r="C344" s="387" t="s">
        <v>607</v>
      </c>
      <c r="D344" s="387" t="s">
        <v>438</v>
      </c>
      <c r="E344" s="387">
        <v>44</v>
      </c>
      <c r="F344" s="387">
        <v>110</v>
      </c>
      <c r="G344" s="387" t="s">
        <v>608</v>
      </c>
      <c r="H344" s="387" t="s">
        <v>609</v>
      </c>
      <c r="I344" s="387" t="s">
        <v>426</v>
      </c>
      <c r="J344" s="697">
        <v>1500004290</v>
      </c>
      <c r="K344" s="698">
        <v>44509</v>
      </c>
      <c r="L344" s="690">
        <v>3200085754</v>
      </c>
      <c r="M344" s="696">
        <v>44872</v>
      </c>
      <c r="N344" s="690" t="s">
        <v>427</v>
      </c>
      <c r="O344" s="682"/>
      <c r="P344" s="682"/>
      <c r="Q344" s="682"/>
      <c r="R344" s="680"/>
      <c r="S344" s="681"/>
      <c r="T344" s="680"/>
      <c r="U344" s="682"/>
      <c r="V344" s="682"/>
      <c r="W344" s="683">
        <v>44</v>
      </c>
      <c r="Y344" s="371"/>
      <c r="Z344" s="97"/>
    </row>
    <row r="345" spans="1:26" s="219" customFormat="1" x14ac:dyDescent="0.25">
      <c r="A345" s="387">
        <v>52</v>
      </c>
      <c r="B345" s="387" t="s">
        <v>611</v>
      </c>
      <c r="C345" s="387" t="s">
        <v>612</v>
      </c>
      <c r="D345" s="387" t="s">
        <v>438</v>
      </c>
      <c r="E345" s="387">
        <v>2.88</v>
      </c>
      <c r="F345" s="387">
        <v>20</v>
      </c>
      <c r="G345" s="387" t="s">
        <v>613</v>
      </c>
      <c r="H345" s="387" t="s">
        <v>614</v>
      </c>
      <c r="I345" s="387" t="s">
        <v>426</v>
      </c>
      <c r="J345" s="697">
        <v>1500004427</v>
      </c>
      <c r="K345" s="698">
        <v>44557</v>
      </c>
      <c r="L345" s="690">
        <v>3100152850</v>
      </c>
      <c r="M345" s="696">
        <v>44572</v>
      </c>
      <c r="N345" s="690" t="s">
        <v>5056</v>
      </c>
      <c r="O345" s="682"/>
      <c r="P345" s="682"/>
      <c r="Q345" s="682"/>
      <c r="R345" s="680"/>
      <c r="S345" s="680"/>
      <c r="T345" s="680"/>
      <c r="U345" s="682"/>
      <c r="V345" s="682"/>
      <c r="W345" s="683"/>
      <c r="Y345" s="371"/>
      <c r="Z345" s="97"/>
    </row>
    <row r="346" spans="1:26" s="219" customFormat="1" x14ac:dyDescent="0.25">
      <c r="A346" s="387">
        <v>53</v>
      </c>
      <c r="B346" s="387" t="s">
        <v>615</v>
      </c>
      <c r="C346" s="387" t="s">
        <v>616</v>
      </c>
      <c r="D346" s="387" t="s">
        <v>495</v>
      </c>
      <c r="E346" s="387">
        <v>4.9000000000000004</v>
      </c>
      <c r="F346" s="387">
        <v>20</v>
      </c>
      <c r="G346" s="387" t="s">
        <v>617</v>
      </c>
      <c r="H346" s="387" t="s">
        <v>618</v>
      </c>
      <c r="I346" s="387" t="s">
        <v>426</v>
      </c>
      <c r="J346" s="697">
        <v>1500004348</v>
      </c>
      <c r="K346" s="698">
        <v>44523</v>
      </c>
      <c r="L346" s="690">
        <v>3200084998</v>
      </c>
      <c r="M346" s="696">
        <v>44853</v>
      </c>
      <c r="N346" s="693">
        <v>45105</v>
      </c>
      <c r="O346" s="682"/>
      <c r="P346" s="682"/>
      <c r="Q346" s="682"/>
      <c r="R346" s="680">
        <v>8700018211</v>
      </c>
      <c r="S346" s="681">
        <v>45175</v>
      </c>
      <c r="T346" s="680"/>
      <c r="U346" s="682"/>
      <c r="V346" s="682"/>
      <c r="W346" s="683">
        <v>4.9000000000000004</v>
      </c>
      <c r="Y346" s="371"/>
      <c r="Z346" s="97"/>
    </row>
    <row r="347" spans="1:26" s="219" customFormat="1" x14ac:dyDescent="0.25">
      <c r="A347" s="387">
        <v>54</v>
      </c>
      <c r="B347" s="387" t="s">
        <v>619</v>
      </c>
      <c r="C347" s="387" t="s">
        <v>620</v>
      </c>
      <c r="D347" s="387" t="s">
        <v>621</v>
      </c>
      <c r="E347" s="387">
        <v>3.3566400000000001</v>
      </c>
      <c r="F347" s="387">
        <v>20</v>
      </c>
      <c r="G347" s="387" t="s">
        <v>622</v>
      </c>
      <c r="H347" s="387" t="s">
        <v>622</v>
      </c>
      <c r="I347" s="387" t="s">
        <v>426</v>
      </c>
      <c r="J347" s="697">
        <v>1500004354</v>
      </c>
      <c r="K347" s="698">
        <v>44524</v>
      </c>
      <c r="L347" s="690">
        <v>3200082277</v>
      </c>
      <c r="M347" s="696">
        <v>44768</v>
      </c>
      <c r="N347" s="693">
        <v>45161</v>
      </c>
      <c r="O347" s="682"/>
      <c r="P347" s="682"/>
      <c r="Q347" s="682"/>
      <c r="R347" s="680">
        <v>8700017633</v>
      </c>
      <c r="S347" s="681">
        <v>45161</v>
      </c>
      <c r="T347" s="680"/>
      <c r="U347" s="682"/>
      <c r="V347" s="682"/>
      <c r="W347" s="683">
        <v>3.3566400000000001</v>
      </c>
      <c r="Y347" s="371"/>
    </row>
    <row r="348" spans="1:26" s="219" customFormat="1" x14ac:dyDescent="0.25">
      <c r="A348" s="387">
        <v>55</v>
      </c>
      <c r="B348" s="387" t="s">
        <v>623</v>
      </c>
      <c r="C348" s="387" t="s">
        <v>579</v>
      </c>
      <c r="D348" s="387" t="s">
        <v>416</v>
      </c>
      <c r="E348" s="387">
        <v>44.75</v>
      </c>
      <c r="F348" s="387">
        <v>110</v>
      </c>
      <c r="G348" s="387" t="s">
        <v>624</v>
      </c>
      <c r="H348" s="387" t="s">
        <v>625</v>
      </c>
      <c r="I348" s="387" t="s">
        <v>426</v>
      </c>
      <c r="J348" s="697">
        <v>1500004358</v>
      </c>
      <c r="K348" s="698">
        <v>44526</v>
      </c>
      <c r="L348" s="690">
        <v>3200086223</v>
      </c>
      <c r="M348" s="696">
        <v>44883</v>
      </c>
      <c r="N348" s="690" t="s">
        <v>427</v>
      </c>
      <c r="O348" s="682"/>
      <c r="P348" s="682"/>
      <c r="Q348" s="682"/>
      <c r="R348" s="680"/>
      <c r="S348" s="681"/>
      <c r="T348" s="680"/>
      <c r="U348" s="682"/>
      <c r="V348" s="682"/>
      <c r="W348" s="683">
        <v>44.75</v>
      </c>
      <c r="Y348" s="371"/>
      <c r="Z348" s="97"/>
    </row>
    <row r="349" spans="1:26" s="219" customFormat="1" x14ac:dyDescent="0.25">
      <c r="A349" s="387">
        <v>56</v>
      </c>
      <c r="B349" s="387" t="s">
        <v>626</v>
      </c>
      <c r="C349" s="387" t="s">
        <v>627</v>
      </c>
      <c r="D349" s="387" t="s">
        <v>438</v>
      </c>
      <c r="E349" s="387">
        <v>3.302</v>
      </c>
      <c r="F349" s="387">
        <v>20</v>
      </c>
      <c r="G349" s="387" t="s">
        <v>628</v>
      </c>
      <c r="H349" s="387" t="s">
        <v>629</v>
      </c>
      <c r="I349" s="387" t="s">
        <v>426</v>
      </c>
      <c r="J349" s="697">
        <v>1500003838</v>
      </c>
      <c r="K349" s="698">
        <v>44152</v>
      </c>
      <c r="L349" s="690">
        <v>3100134219</v>
      </c>
      <c r="M349" s="696">
        <v>44293</v>
      </c>
      <c r="N349" s="690" t="s">
        <v>5056</v>
      </c>
      <c r="O349" s="682"/>
      <c r="P349" s="682"/>
      <c r="Q349" s="682"/>
      <c r="R349" s="680"/>
      <c r="S349" s="680"/>
      <c r="T349" s="680"/>
      <c r="U349" s="682" t="s">
        <v>5057</v>
      </c>
      <c r="V349" s="682"/>
      <c r="W349" s="683">
        <v>3.302</v>
      </c>
      <c r="Y349" s="371"/>
      <c r="Z349" s="97"/>
    </row>
    <row r="350" spans="1:26" s="219" customFormat="1" x14ac:dyDescent="0.25">
      <c r="A350" s="387">
        <v>57</v>
      </c>
      <c r="B350" s="387" t="s">
        <v>630</v>
      </c>
      <c r="C350" s="387" t="s">
        <v>579</v>
      </c>
      <c r="D350" s="387" t="s">
        <v>41</v>
      </c>
      <c r="E350" s="387">
        <v>1.647</v>
      </c>
      <c r="F350" s="387">
        <v>20</v>
      </c>
      <c r="G350" s="387" t="s">
        <v>631</v>
      </c>
      <c r="H350" s="387" t="s">
        <v>631</v>
      </c>
      <c r="I350" s="387" t="s">
        <v>426</v>
      </c>
      <c r="J350" s="697">
        <v>1500004479</v>
      </c>
      <c r="K350" s="698">
        <v>44578</v>
      </c>
      <c r="L350" s="690">
        <v>3200078607</v>
      </c>
      <c r="M350" s="696">
        <v>44635</v>
      </c>
      <c r="N350" s="693">
        <v>45364</v>
      </c>
      <c r="O350" s="682"/>
      <c r="P350" s="682"/>
      <c r="Q350" s="682"/>
      <c r="R350" s="680">
        <v>8700022576</v>
      </c>
      <c r="S350" s="681">
        <v>45364</v>
      </c>
      <c r="T350" s="680"/>
      <c r="U350" s="682"/>
      <c r="V350" s="682"/>
      <c r="W350" s="683">
        <v>1.647</v>
      </c>
      <c r="Y350" s="371"/>
      <c r="Z350" s="97"/>
    </row>
    <row r="351" spans="1:26" s="219" customFormat="1" x14ac:dyDescent="0.25">
      <c r="A351" s="387">
        <v>58</v>
      </c>
      <c r="B351" s="387" t="s">
        <v>630</v>
      </c>
      <c r="C351" s="387" t="s">
        <v>579</v>
      </c>
      <c r="D351" s="387" t="s">
        <v>41</v>
      </c>
      <c r="E351" s="387">
        <v>2.7734399999999999</v>
      </c>
      <c r="F351" s="387">
        <v>20</v>
      </c>
      <c r="G351" s="387" t="s">
        <v>632</v>
      </c>
      <c r="H351" s="387" t="s">
        <v>632</v>
      </c>
      <c r="I351" s="387" t="s">
        <v>426</v>
      </c>
      <c r="J351" s="697">
        <v>1500004475</v>
      </c>
      <c r="K351" s="698">
        <v>44578</v>
      </c>
      <c r="L351" s="690" t="s">
        <v>610</v>
      </c>
      <c r="M351" s="696"/>
      <c r="N351" s="690" t="s">
        <v>5056</v>
      </c>
      <c r="O351" s="682"/>
      <c r="P351" s="682"/>
      <c r="Q351" s="682"/>
      <c r="R351" s="680"/>
      <c r="S351" s="680"/>
      <c r="T351" s="680"/>
      <c r="U351" s="682"/>
      <c r="V351" s="682"/>
      <c r="W351" s="683">
        <v>2.7734399999999999</v>
      </c>
      <c r="Y351" s="371"/>
      <c r="Z351" s="97"/>
    </row>
    <row r="352" spans="1:26" s="219" customFormat="1" x14ac:dyDescent="0.25">
      <c r="A352" s="387">
        <v>59</v>
      </c>
      <c r="B352" s="387" t="s">
        <v>633</v>
      </c>
      <c r="C352" s="387" t="s">
        <v>634</v>
      </c>
      <c r="D352" s="387" t="s">
        <v>416</v>
      </c>
      <c r="E352" s="387">
        <v>3.7838000000000003</v>
      </c>
      <c r="F352" s="387">
        <v>20</v>
      </c>
      <c r="G352" s="387" t="s">
        <v>635</v>
      </c>
      <c r="H352" s="387" t="s">
        <v>636</v>
      </c>
      <c r="I352" s="387" t="s">
        <v>426</v>
      </c>
      <c r="J352" s="697">
        <v>1500004492</v>
      </c>
      <c r="K352" s="698">
        <v>44582</v>
      </c>
      <c r="L352" s="690" t="s">
        <v>610</v>
      </c>
      <c r="M352" s="696"/>
      <c r="N352" s="690" t="s">
        <v>5056</v>
      </c>
      <c r="O352" s="682"/>
      <c r="P352" s="682"/>
      <c r="Q352" s="682"/>
      <c r="R352" s="680"/>
      <c r="S352" s="680"/>
      <c r="T352" s="680"/>
      <c r="U352" s="682" t="s">
        <v>5058</v>
      </c>
      <c r="V352" s="682"/>
      <c r="W352" s="683">
        <v>3.7838000000000003</v>
      </c>
      <c r="Y352" s="371"/>
      <c r="Z352" s="97"/>
    </row>
    <row r="353" spans="1:26" s="219" customFormat="1" x14ac:dyDescent="0.25">
      <c r="A353" s="387">
        <v>60</v>
      </c>
      <c r="B353" s="387" t="s">
        <v>826</v>
      </c>
      <c r="C353" s="387" t="s">
        <v>827</v>
      </c>
      <c r="D353" s="387" t="s">
        <v>94</v>
      </c>
      <c r="E353" s="387">
        <v>9.9600000000000009</v>
      </c>
      <c r="F353" s="387">
        <v>20</v>
      </c>
      <c r="G353" s="387" t="s">
        <v>828</v>
      </c>
      <c r="H353" s="387" t="s">
        <v>828</v>
      </c>
      <c r="I353" s="387" t="s">
        <v>426</v>
      </c>
      <c r="J353" s="712">
        <v>1500004553</v>
      </c>
      <c r="K353" s="692">
        <v>44630</v>
      </c>
      <c r="L353" s="691"/>
      <c r="M353" s="692"/>
      <c r="N353" s="690" t="s">
        <v>5056</v>
      </c>
      <c r="O353" s="682"/>
      <c r="P353" s="682"/>
      <c r="Q353" s="682"/>
      <c r="R353" s="680"/>
      <c r="S353" s="680"/>
      <c r="T353" s="680"/>
      <c r="U353" s="682"/>
      <c r="V353" s="682"/>
      <c r="W353" s="710"/>
      <c r="Y353" s="371"/>
      <c r="Z353" s="97"/>
    </row>
    <row r="354" spans="1:26" s="219" customFormat="1" x14ac:dyDescent="0.25">
      <c r="A354" s="387">
        <v>61</v>
      </c>
      <c r="B354" s="387" t="s">
        <v>630</v>
      </c>
      <c r="C354" s="387" t="s">
        <v>837</v>
      </c>
      <c r="D354" s="387" t="s">
        <v>41</v>
      </c>
      <c r="E354" s="387">
        <v>2.2770000000000001</v>
      </c>
      <c r="F354" s="387">
        <v>20</v>
      </c>
      <c r="G354" s="387" t="s">
        <v>632</v>
      </c>
      <c r="H354" s="387" t="s">
        <v>632</v>
      </c>
      <c r="I354" s="387" t="s">
        <v>426</v>
      </c>
      <c r="J354" s="712">
        <v>1500004688</v>
      </c>
      <c r="K354" s="692">
        <v>44628</v>
      </c>
      <c r="L354" s="691" t="s">
        <v>838</v>
      </c>
      <c r="M354" s="692">
        <v>44635</v>
      </c>
      <c r="N354" s="693">
        <v>45364</v>
      </c>
      <c r="O354" s="682"/>
      <c r="P354" s="682"/>
      <c r="Q354" s="682"/>
      <c r="R354" s="680">
        <v>8700022575</v>
      </c>
      <c r="S354" s="681">
        <v>45364</v>
      </c>
      <c r="T354" s="680"/>
      <c r="U354" s="682"/>
      <c r="V354" s="682"/>
      <c r="W354" s="710">
        <v>2.2770000000000001</v>
      </c>
      <c r="Y354" s="371"/>
      <c r="Z354" s="97"/>
    </row>
    <row r="355" spans="1:26" s="219" customFormat="1" x14ac:dyDescent="0.25">
      <c r="A355" s="387">
        <v>62</v>
      </c>
      <c r="B355" s="387" t="s">
        <v>590</v>
      </c>
      <c r="C355" s="387" t="s">
        <v>839</v>
      </c>
      <c r="D355" s="387" t="s">
        <v>438</v>
      </c>
      <c r="E355" s="387">
        <v>4.3630000000000004</v>
      </c>
      <c r="F355" s="387">
        <v>20</v>
      </c>
      <c r="G355" s="387" t="s">
        <v>592</v>
      </c>
      <c r="H355" s="387" t="s">
        <v>592</v>
      </c>
      <c r="I355" s="387" t="s">
        <v>426</v>
      </c>
      <c r="J355" s="712">
        <v>1500004823</v>
      </c>
      <c r="K355" s="692">
        <v>44649</v>
      </c>
      <c r="L355" s="694">
        <v>3200078307</v>
      </c>
      <c r="M355" s="695">
        <v>44621</v>
      </c>
      <c r="N355" s="693">
        <v>44671</v>
      </c>
      <c r="O355" s="682"/>
      <c r="P355" s="682"/>
      <c r="Q355" s="682"/>
      <c r="R355" s="680">
        <v>8700005283</v>
      </c>
      <c r="S355" s="681">
        <v>44799</v>
      </c>
      <c r="T355" s="680"/>
      <c r="U355" s="682"/>
      <c r="V355" s="682"/>
      <c r="W355" s="710">
        <v>4.3630000000000004</v>
      </c>
      <c r="Y355" s="371"/>
      <c r="Z355" s="97"/>
    </row>
    <row r="356" spans="1:26" s="219" customFormat="1" x14ac:dyDescent="0.25">
      <c r="A356" s="387">
        <v>63</v>
      </c>
      <c r="B356" s="387" t="s">
        <v>626</v>
      </c>
      <c r="C356" s="387" t="s">
        <v>840</v>
      </c>
      <c r="D356" s="387" t="s">
        <v>438</v>
      </c>
      <c r="E356" s="387">
        <v>3.3024</v>
      </c>
      <c r="F356" s="387">
        <v>20</v>
      </c>
      <c r="G356" s="387" t="s">
        <v>629</v>
      </c>
      <c r="H356" s="387" t="s">
        <v>629</v>
      </c>
      <c r="I356" s="387" t="s">
        <v>426</v>
      </c>
      <c r="J356" s="712">
        <v>1500004820</v>
      </c>
      <c r="K356" s="692">
        <v>44649</v>
      </c>
      <c r="L356" s="694">
        <v>3200013707</v>
      </c>
      <c r="M356" s="695">
        <v>41555</v>
      </c>
      <c r="N356" s="693">
        <v>44719</v>
      </c>
      <c r="O356" s="682"/>
      <c r="P356" s="682"/>
      <c r="Q356" s="682"/>
      <c r="R356" s="680">
        <v>8700004576</v>
      </c>
      <c r="S356" s="681">
        <v>44748</v>
      </c>
      <c r="T356" s="680"/>
      <c r="U356" s="682"/>
      <c r="V356" s="682"/>
      <c r="W356" s="710">
        <v>3.3024</v>
      </c>
      <c r="Y356" s="371"/>
      <c r="Z356" s="97"/>
    </row>
    <row r="357" spans="1:26" s="219" customFormat="1" x14ac:dyDescent="0.25">
      <c r="A357" s="387">
        <v>64</v>
      </c>
      <c r="B357" s="387" t="s">
        <v>841</v>
      </c>
      <c r="C357" s="387" t="s">
        <v>842</v>
      </c>
      <c r="D357" s="387" t="s">
        <v>416</v>
      </c>
      <c r="E357" s="387">
        <v>2.9951999999999996</v>
      </c>
      <c r="F357" s="387">
        <v>20</v>
      </c>
      <c r="G357" s="387" t="s">
        <v>843</v>
      </c>
      <c r="H357" s="387" t="s">
        <v>844</v>
      </c>
      <c r="I357" s="387" t="s">
        <v>426</v>
      </c>
      <c r="J357" s="712">
        <v>1500000671</v>
      </c>
      <c r="K357" s="692">
        <v>44657</v>
      </c>
      <c r="L357" s="691"/>
      <c r="M357" s="692"/>
      <c r="N357" s="690" t="s">
        <v>5056</v>
      </c>
      <c r="O357" s="682"/>
      <c r="P357" s="682"/>
      <c r="Q357" s="682"/>
      <c r="R357" s="680"/>
      <c r="S357" s="680"/>
      <c r="T357" s="680"/>
      <c r="U357" s="682"/>
      <c r="V357" s="682"/>
      <c r="W357" s="720">
        <v>2.9951999999999996</v>
      </c>
      <c r="Y357" s="371"/>
      <c r="Z357" s="97"/>
    </row>
    <row r="358" spans="1:26" s="219" customFormat="1" x14ac:dyDescent="0.25">
      <c r="A358" s="387">
        <v>65</v>
      </c>
      <c r="B358" s="387" t="s">
        <v>845</v>
      </c>
      <c r="C358" s="387" t="s">
        <v>846</v>
      </c>
      <c r="D358" s="387" t="s">
        <v>94</v>
      </c>
      <c r="E358" s="387">
        <v>2.63</v>
      </c>
      <c r="F358" s="387">
        <v>20</v>
      </c>
      <c r="G358" s="387" t="s">
        <v>847</v>
      </c>
      <c r="H358" s="387" t="s">
        <v>847</v>
      </c>
      <c r="I358" s="387" t="s">
        <v>426</v>
      </c>
      <c r="J358" s="712">
        <v>1500005083</v>
      </c>
      <c r="K358" s="692">
        <v>44670</v>
      </c>
      <c r="L358" s="691">
        <v>3100163609</v>
      </c>
      <c r="M358" s="692">
        <v>44938</v>
      </c>
      <c r="N358" s="690" t="s">
        <v>427</v>
      </c>
      <c r="O358" s="682"/>
      <c r="P358" s="682"/>
      <c r="Q358" s="682"/>
      <c r="R358" s="680"/>
      <c r="S358" s="681"/>
      <c r="T358" s="680"/>
      <c r="U358" s="682"/>
      <c r="V358" s="682"/>
      <c r="W358" s="720">
        <v>2.63</v>
      </c>
      <c r="Y358" s="371"/>
      <c r="Z358" s="97"/>
    </row>
    <row r="359" spans="1:26" s="219" customFormat="1" x14ac:dyDescent="0.25">
      <c r="A359" s="387">
        <v>66</v>
      </c>
      <c r="B359" s="387" t="s">
        <v>848</v>
      </c>
      <c r="C359" s="387" t="s">
        <v>849</v>
      </c>
      <c r="D359" s="387" t="s">
        <v>94</v>
      </c>
      <c r="E359" s="387">
        <v>2.63</v>
      </c>
      <c r="F359" s="387">
        <v>20</v>
      </c>
      <c r="G359" s="387" t="s">
        <v>850</v>
      </c>
      <c r="H359" s="387" t="s">
        <v>850</v>
      </c>
      <c r="I359" s="387" t="s">
        <v>426</v>
      </c>
      <c r="J359" s="712">
        <v>1500005081</v>
      </c>
      <c r="K359" s="692">
        <v>44670</v>
      </c>
      <c r="L359" s="691">
        <v>3200084159</v>
      </c>
      <c r="M359" s="692">
        <v>44869</v>
      </c>
      <c r="N359" s="690" t="s">
        <v>427</v>
      </c>
      <c r="O359" s="682"/>
      <c r="P359" s="682"/>
      <c r="Q359" s="682"/>
      <c r="R359" s="680"/>
      <c r="S359" s="681"/>
      <c r="T359" s="680"/>
      <c r="U359" s="682"/>
      <c r="V359" s="682"/>
      <c r="W359" s="720">
        <v>2.63</v>
      </c>
      <c r="Y359" s="371"/>
      <c r="Z359" s="97"/>
    </row>
    <row r="360" spans="1:26" s="219" customFormat="1" x14ac:dyDescent="0.25">
      <c r="A360" s="387">
        <v>67</v>
      </c>
      <c r="B360" s="387" t="s">
        <v>851</v>
      </c>
      <c r="C360" s="388" t="s">
        <v>852</v>
      </c>
      <c r="D360" s="387" t="s">
        <v>416</v>
      </c>
      <c r="E360" s="387">
        <v>3.7838000000000003</v>
      </c>
      <c r="F360" s="387">
        <v>20</v>
      </c>
      <c r="G360" s="387" t="s">
        <v>636</v>
      </c>
      <c r="H360" s="387" t="s">
        <v>636</v>
      </c>
      <c r="I360" s="387" t="s">
        <v>426</v>
      </c>
      <c r="J360" s="712">
        <v>1500004908</v>
      </c>
      <c r="K360" s="692">
        <v>44657</v>
      </c>
      <c r="L360" s="691">
        <v>3200080359</v>
      </c>
      <c r="M360" s="692">
        <v>44893</v>
      </c>
      <c r="N360" s="690" t="s">
        <v>427</v>
      </c>
      <c r="O360" s="682"/>
      <c r="P360" s="682"/>
      <c r="Q360" s="682"/>
      <c r="R360" s="680"/>
      <c r="S360" s="681"/>
      <c r="T360" s="680"/>
      <c r="U360" s="682"/>
      <c r="V360" s="682"/>
      <c r="W360" s="720">
        <v>3.7838000000000003</v>
      </c>
      <c r="Y360" s="371"/>
      <c r="Z360" s="97"/>
    </row>
    <row r="361" spans="1:26" s="219" customFormat="1" x14ac:dyDescent="0.25">
      <c r="A361" s="387">
        <v>68</v>
      </c>
      <c r="B361" s="387" t="s">
        <v>1242</v>
      </c>
      <c r="C361" s="392" t="s">
        <v>1243</v>
      </c>
      <c r="D361" s="391" t="s">
        <v>495</v>
      </c>
      <c r="E361" s="393">
        <v>46.2</v>
      </c>
      <c r="F361" s="391">
        <v>110</v>
      </c>
      <c r="G361" s="391" t="s">
        <v>1244</v>
      </c>
      <c r="H361" s="391" t="s">
        <v>1244</v>
      </c>
      <c r="I361" s="391" t="s">
        <v>426</v>
      </c>
      <c r="J361" s="697">
        <v>1300000165</v>
      </c>
      <c r="K361" s="698">
        <v>44691</v>
      </c>
      <c r="L361" s="690">
        <v>3200082710</v>
      </c>
      <c r="M361" s="696">
        <v>44782</v>
      </c>
      <c r="N361" s="693">
        <v>45352</v>
      </c>
      <c r="O361" s="682"/>
      <c r="P361" s="682"/>
      <c r="Q361" s="682"/>
      <c r="R361" s="680">
        <v>8700022460</v>
      </c>
      <c r="S361" s="681">
        <v>45352</v>
      </c>
      <c r="T361" s="680"/>
      <c r="U361" s="682"/>
      <c r="V361" s="682"/>
      <c r="W361" s="700">
        <v>46.2</v>
      </c>
      <c r="Y361" s="371"/>
      <c r="Z361" s="97"/>
    </row>
    <row r="362" spans="1:26" s="219" customFormat="1" x14ac:dyDescent="0.25">
      <c r="A362" s="387">
        <v>69</v>
      </c>
      <c r="B362" s="387" t="s">
        <v>745</v>
      </c>
      <c r="C362" s="390" t="s">
        <v>1245</v>
      </c>
      <c r="D362" s="389" t="s">
        <v>1246</v>
      </c>
      <c r="E362" s="389">
        <v>3.165</v>
      </c>
      <c r="F362" s="389">
        <v>20</v>
      </c>
      <c r="G362" s="389" t="s">
        <v>1247</v>
      </c>
      <c r="H362" s="389" t="s">
        <v>1247</v>
      </c>
      <c r="I362" s="389" t="s">
        <v>426</v>
      </c>
      <c r="J362" s="697">
        <v>1500005439</v>
      </c>
      <c r="K362" s="698">
        <v>44704</v>
      </c>
      <c r="L362" s="690">
        <v>3200086783</v>
      </c>
      <c r="M362" s="696">
        <v>44901</v>
      </c>
      <c r="N362" s="690"/>
      <c r="O362" s="682"/>
      <c r="P362" s="682"/>
      <c r="Q362" s="682"/>
      <c r="R362" s="680"/>
      <c r="S362" s="681"/>
      <c r="T362" s="680"/>
      <c r="U362" s="682"/>
      <c r="V362" s="682"/>
      <c r="W362" s="699">
        <v>3.165</v>
      </c>
      <c r="Y362" s="371"/>
      <c r="Z362" s="97"/>
    </row>
    <row r="363" spans="1:26" s="219" customFormat="1" x14ac:dyDescent="0.25">
      <c r="A363" s="387">
        <v>70</v>
      </c>
      <c r="B363" s="387" t="s">
        <v>1248</v>
      </c>
      <c r="C363" s="390" t="s">
        <v>1249</v>
      </c>
      <c r="D363" s="389" t="s">
        <v>1250</v>
      </c>
      <c r="E363" s="389">
        <v>4.4550000000000001</v>
      </c>
      <c r="F363" s="389">
        <v>20</v>
      </c>
      <c r="G363" s="389" t="s">
        <v>1251</v>
      </c>
      <c r="H363" s="389" t="s">
        <v>1251</v>
      </c>
      <c r="I363" s="389" t="s">
        <v>426</v>
      </c>
      <c r="J363" s="712">
        <v>1500005647</v>
      </c>
      <c r="K363" s="692">
        <v>44714</v>
      </c>
      <c r="L363" s="690">
        <v>3200083132</v>
      </c>
      <c r="M363" s="696">
        <v>44798</v>
      </c>
      <c r="N363" s="690"/>
      <c r="O363" s="682"/>
      <c r="P363" s="682"/>
      <c r="Q363" s="682"/>
      <c r="R363" s="680"/>
      <c r="S363" s="681"/>
      <c r="T363" s="680"/>
      <c r="U363" s="682"/>
      <c r="V363" s="682"/>
      <c r="W363" s="711">
        <v>4.4550000000000001</v>
      </c>
      <c r="Y363" s="371"/>
      <c r="Z363" s="97"/>
    </row>
    <row r="364" spans="1:26" s="219" customFormat="1" x14ac:dyDescent="0.25">
      <c r="A364" s="387">
        <v>71</v>
      </c>
      <c r="B364" s="387" t="s">
        <v>745</v>
      </c>
      <c r="C364" s="390" t="s">
        <v>1245</v>
      </c>
      <c r="D364" s="389" t="s">
        <v>1246</v>
      </c>
      <c r="E364" s="389">
        <v>2.57</v>
      </c>
      <c r="F364" s="389">
        <v>20</v>
      </c>
      <c r="G364" s="389" t="s">
        <v>1252</v>
      </c>
      <c r="H364" s="389" t="s">
        <v>1252</v>
      </c>
      <c r="I364" s="389" t="s">
        <v>426</v>
      </c>
      <c r="J364" s="712">
        <v>1500005763</v>
      </c>
      <c r="K364" s="692">
        <v>44721</v>
      </c>
      <c r="L364" s="690">
        <v>3200086785</v>
      </c>
      <c r="M364" s="696">
        <v>44902</v>
      </c>
      <c r="N364" s="690" t="s">
        <v>5056</v>
      </c>
      <c r="O364" s="682"/>
      <c r="P364" s="682"/>
      <c r="Q364" s="682"/>
      <c r="R364" s="680"/>
      <c r="S364" s="680"/>
      <c r="T364" s="680"/>
      <c r="U364" s="682"/>
      <c r="V364" s="682"/>
      <c r="W364" s="711"/>
      <c r="Y364" s="371"/>
      <c r="Z364" s="97"/>
    </row>
    <row r="365" spans="1:26" s="219" customFormat="1" x14ac:dyDescent="0.25">
      <c r="A365" s="387">
        <v>72</v>
      </c>
      <c r="B365" s="387" t="s">
        <v>1253</v>
      </c>
      <c r="C365" s="390" t="s">
        <v>1254</v>
      </c>
      <c r="D365" s="389" t="s">
        <v>1250</v>
      </c>
      <c r="E365" s="389">
        <v>3.48</v>
      </c>
      <c r="F365" s="389">
        <v>20</v>
      </c>
      <c r="G365" s="389" t="s">
        <v>1255</v>
      </c>
      <c r="H365" s="389" t="s">
        <v>1255</v>
      </c>
      <c r="I365" s="389" t="s">
        <v>426</v>
      </c>
      <c r="J365" s="712">
        <v>1500006112</v>
      </c>
      <c r="K365" s="692">
        <v>44740</v>
      </c>
      <c r="L365" s="690">
        <v>3200087306</v>
      </c>
      <c r="M365" s="696">
        <v>44915</v>
      </c>
      <c r="N365" s="690" t="s">
        <v>5056</v>
      </c>
      <c r="O365" s="682"/>
      <c r="P365" s="682"/>
      <c r="Q365" s="682"/>
      <c r="R365" s="680"/>
      <c r="S365" s="680"/>
      <c r="T365" s="680"/>
      <c r="U365" s="682"/>
      <c r="V365" s="682"/>
      <c r="W365" s="711"/>
      <c r="Y365" s="371"/>
      <c r="Z365" s="97"/>
    </row>
    <row r="366" spans="1:26" s="219" customFormat="1" x14ac:dyDescent="0.25">
      <c r="A366" s="387">
        <v>73</v>
      </c>
      <c r="B366" s="387" t="s">
        <v>1256</v>
      </c>
      <c r="C366" s="390" t="s">
        <v>1257</v>
      </c>
      <c r="D366" s="389" t="s">
        <v>1250</v>
      </c>
      <c r="E366" s="389">
        <v>2.9750000000000001</v>
      </c>
      <c r="F366" s="389">
        <v>20</v>
      </c>
      <c r="G366" s="389" t="s">
        <v>1258</v>
      </c>
      <c r="H366" s="389" t="s">
        <v>1258</v>
      </c>
      <c r="I366" s="389" t="s">
        <v>426</v>
      </c>
      <c r="J366" s="712">
        <v>1500005698</v>
      </c>
      <c r="K366" s="692">
        <v>44715</v>
      </c>
      <c r="L366" s="690">
        <v>3200091474</v>
      </c>
      <c r="M366" s="696">
        <v>45062</v>
      </c>
      <c r="N366" s="690" t="s">
        <v>5106</v>
      </c>
      <c r="O366" s="682"/>
      <c r="P366" s="682"/>
      <c r="Q366" s="682"/>
      <c r="R366" s="680"/>
      <c r="S366" s="681"/>
      <c r="T366" s="680"/>
      <c r="U366" s="682"/>
      <c r="V366" s="682"/>
      <c r="W366" s="711">
        <v>2.9750000000000001</v>
      </c>
      <c r="Y366" s="371"/>
      <c r="Z366" s="97"/>
    </row>
    <row r="367" spans="1:26" s="219" customFormat="1" x14ac:dyDescent="0.25">
      <c r="A367" s="387">
        <v>74</v>
      </c>
      <c r="B367" s="387" t="s">
        <v>2623</v>
      </c>
      <c r="C367" s="392" t="s">
        <v>2624</v>
      </c>
      <c r="D367" s="391" t="s">
        <v>2625</v>
      </c>
      <c r="E367" s="393">
        <v>4.5</v>
      </c>
      <c r="F367" s="391">
        <v>20</v>
      </c>
      <c r="G367" s="391" t="s">
        <v>557</v>
      </c>
      <c r="H367" s="391" t="s">
        <v>557</v>
      </c>
      <c r="I367" s="391" t="s">
        <v>426</v>
      </c>
      <c r="J367" s="690">
        <v>1500006549</v>
      </c>
      <c r="K367" s="696">
        <v>44764</v>
      </c>
      <c r="L367" s="690"/>
      <c r="M367" s="696"/>
      <c r="N367" s="690" t="s">
        <v>5056</v>
      </c>
      <c r="O367" s="682"/>
      <c r="P367" s="682"/>
      <c r="Q367" s="682"/>
      <c r="R367" s="680"/>
      <c r="S367" s="680"/>
      <c r="T367" s="680"/>
      <c r="U367" s="682"/>
      <c r="V367" s="682"/>
      <c r="W367" s="683">
        <v>4.5</v>
      </c>
      <c r="Y367" s="371"/>
      <c r="Z367" s="97"/>
    </row>
    <row r="368" spans="1:26" s="219" customFormat="1" x14ac:dyDescent="0.25">
      <c r="A368" s="387">
        <v>75</v>
      </c>
      <c r="B368" s="387" t="s">
        <v>351</v>
      </c>
      <c r="C368" s="392" t="s">
        <v>2626</v>
      </c>
      <c r="D368" s="391" t="s">
        <v>2625</v>
      </c>
      <c r="E368" s="393">
        <v>2.125</v>
      </c>
      <c r="F368" s="391">
        <v>20</v>
      </c>
      <c r="G368" s="391" t="s">
        <v>2627</v>
      </c>
      <c r="H368" s="391" t="s">
        <v>2627</v>
      </c>
      <c r="I368" s="391" t="s">
        <v>426</v>
      </c>
      <c r="J368" s="690">
        <v>1500006833</v>
      </c>
      <c r="K368" s="696">
        <v>44778</v>
      </c>
      <c r="L368" s="690">
        <v>3200093265</v>
      </c>
      <c r="M368" s="696">
        <v>45117</v>
      </c>
      <c r="N368" s="690" t="s">
        <v>5107</v>
      </c>
      <c r="O368" s="682"/>
      <c r="P368" s="682"/>
      <c r="Q368" s="682"/>
      <c r="R368" s="680"/>
      <c r="S368" s="681"/>
      <c r="T368" s="680"/>
      <c r="U368" s="682"/>
      <c r="V368" s="682"/>
      <c r="W368" s="683">
        <v>2.125</v>
      </c>
      <c r="Y368" s="371"/>
      <c r="Z368" s="97"/>
    </row>
    <row r="369" spans="1:26" s="219" customFormat="1" x14ac:dyDescent="0.25">
      <c r="A369" s="387">
        <v>76</v>
      </c>
      <c r="B369" s="387" t="s">
        <v>2628</v>
      </c>
      <c r="C369" s="392" t="s">
        <v>2629</v>
      </c>
      <c r="D369" s="391" t="s">
        <v>1246</v>
      </c>
      <c r="E369" s="393">
        <v>0.99952999999999992</v>
      </c>
      <c r="F369" s="391">
        <v>6</v>
      </c>
      <c r="G369" s="391" t="s">
        <v>2630</v>
      </c>
      <c r="H369" s="391" t="s">
        <v>2630</v>
      </c>
      <c r="I369" s="391" t="s">
        <v>426</v>
      </c>
      <c r="J369" s="690">
        <v>1500007181</v>
      </c>
      <c r="K369" s="696">
        <v>44797</v>
      </c>
      <c r="L369" s="690">
        <v>3200083783</v>
      </c>
      <c r="M369" s="696">
        <v>44820</v>
      </c>
      <c r="N369" s="690"/>
      <c r="O369" s="682"/>
      <c r="P369" s="682"/>
      <c r="Q369" s="682"/>
      <c r="R369" s="680"/>
      <c r="S369" s="681"/>
      <c r="T369" s="680"/>
      <c r="U369" s="682"/>
      <c r="V369" s="682"/>
      <c r="W369" s="683">
        <v>0.99952999999999992</v>
      </c>
      <c r="Y369" s="371"/>
      <c r="Z369" s="97"/>
    </row>
    <row r="370" spans="1:26" s="219" customFormat="1" x14ac:dyDescent="0.25">
      <c r="A370" s="387">
        <v>77</v>
      </c>
      <c r="B370" s="387" t="s">
        <v>2631</v>
      </c>
      <c r="C370" s="392" t="s">
        <v>2632</v>
      </c>
      <c r="D370" s="391" t="s">
        <v>41</v>
      </c>
      <c r="E370" s="393">
        <v>4.4800000000000004</v>
      </c>
      <c r="F370" s="391">
        <v>20</v>
      </c>
      <c r="G370" s="391" t="s">
        <v>2633</v>
      </c>
      <c r="H370" s="391" t="s">
        <v>2633</v>
      </c>
      <c r="I370" s="391" t="s">
        <v>426</v>
      </c>
      <c r="J370" s="690">
        <v>1500007148</v>
      </c>
      <c r="K370" s="696">
        <v>44795</v>
      </c>
      <c r="L370" s="690">
        <v>3200087084</v>
      </c>
      <c r="M370" s="696">
        <v>44910</v>
      </c>
      <c r="N370" s="690"/>
      <c r="O370" s="682"/>
      <c r="P370" s="682"/>
      <c r="Q370" s="682"/>
      <c r="R370" s="680"/>
      <c r="S370" s="681"/>
      <c r="T370" s="680"/>
      <c r="U370" s="682"/>
      <c r="V370" s="682"/>
      <c r="W370" s="683">
        <v>4.4800000000000004</v>
      </c>
      <c r="Y370" s="371"/>
      <c r="Z370" s="97"/>
    </row>
    <row r="371" spans="1:26" s="219" customFormat="1" x14ac:dyDescent="0.25">
      <c r="A371" s="387">
        <v>78</v>
      </c>
      <c r="B371" s="387" t="s">
        <v>2634</v>
      </c>
      <c r="C371" s="392" t="s">
        <v>2635</v>
      </c>
      <c r="D371" s="391" t="s">
        <v>2625</v>
      </c>
      <c r="E371" s="393">
        <v>1.698</v>
      </c>
      <c r="F371" s="391">
        <v>20</v>
      </c>
      <c r="G371" s="391" t="s">
        <v>2636</v>
      </c>
      <c r="H371" s="391" t="s">
        <v>2636</v>
      </c>
      <c r="I371" s="391" t="s">
        <v>426</v>
      </c>
      <c r="J371" s="690">
        <v>1500007972</v>
      </c>
      <c r="K371" s="696">
        <v>44824</v>
      </c>
      <c r="L371" s="690">
        <v>3200091977</v>
      </c>
      <c r="M371" s="696">
        <v>45085</v>
      </c>
      <c r="N371" s="693">
        <v>45063</v>
      </c>
      <c r="O371" s="682"/>
      <c r="P371" s="682"/>
      <c r="Q371" s="682"/>
      <c r="R371" s="680">
        <v>8700015564</v>
      </c>
      <c r="S371" s="681">
        <v>45097</v>
      </c>
      <c r="T371" s="684">
        <v>1.698</v>
      </c>
      <c r="U371" s="682"/>
      <c r="V371" s="683">
        <v>1.698</v>
      </c>
      <c r="W371" s="683"/>
      <c r="Y371" s="371"/>
      <c r="Z371" s="97"/>
    </row>
    <row r="372" spans="1:26" s="219" customFormat="1" x14ac:dyDescent="0.25">
      <c r="A372" s="387">
        <v>79</v>
      </c>
      <c r="B372" s="387" t="s">
        <v>2637</v>
      </c>
      <c r="C372" s="392" t="s">
        <v>2638</v>
      </c>
      <c r="D372" s="391" t="s">
        <v>2625</v>
      </c>
      <c r="E372" s="393">
        <v>2.2665000000000002</v>
      </c>
      <c r="F372" s="391">
        <v>20</v>
      </c>
      <c r="G372" s="391" t="s">
        <v>2639</v>
      </c>
      <c r="H372" s="391" t="s">
        <v>2639</v>
      </c>
      <c r="I372" s="391" t="s">
        <v>426</v>
      </c>
      <c r="J372" s="690">
        <v>1500007837</v>
      </c>
      <c r="K372" s="696">
        <v>44823</v>
      </c>
      <c r="L372" s="690" t="s">
        <v>2640</v>
      </c>
      <c r="M372" s="696">
        <v>45028</v>
      </c>
      <c r="N372" s="693">
        <v>45121</v>
      </c>
      <c r="O372" s="682"/>
      <c r="P372" s="682"/>
      <c r="Q372" s="682"/>
      <c r="R372" s="680">
        <v>8700016418</v>
      </c>
      <c r="S372" s="681">
        <v>45121</v>
      </c>
      <c r="T372" s="680"/>
      <c r="U372" s="682"/>
      <c r="V372" s="682"/>
      <c r="W372" s="683">
        <v>2.2665000000000002</v>
      </c>
      <c r="Y372" s="371"/>
      <c r="Z372" s="97"/>
    </row>
    <row r="373" spans="1:26" s="219" customFormat="1" x14ac:dyDescent="0.25">
      <c r="A373" s="387">
        <v>80</v>
      </c>
      <c r="B373" s="387" t="s">
        <v>2641</v>
      </c>
      <c r="C373" s="392" t="s">
        <v>2642</v>
      </c>
      <c r="D373" s="391" t="s">
        <v>2643</v>
      </c>
      <c r="E373" s="393">
        <v>6.63</v>
      </c>
      <c r="F373" s="391">
        <v>20</v>
      </c>
      <c r="G373" s="391" t="s">
        <v>2644</v>
      </c>
      <c r="H373" s="391" t="s">
        <v>2644</v>
      </c>
      <c r="I373" s="391" t="s">
        <v>426</v>
      </c>
      <c r="J373" s="690">
        <v>1500008646</v>
      </c>
      <c r="K373" s="696">
        <v>44845</v>
      </c>
      <c r="L373" s="690">
        <v>3200084699</v>
      </c>
      <c r="M373" s="696">
        <v>44845</v>
      </c>
      <c r="N373" s="795">
        <v>45518</v>
      </c>
      <c r="O373" s="682"/>
      <c r="P373" s="682"/>
      <c r="Q373" s="682"/>
      <c r="R373" s="680"/>
      <c r="S373" s="681"/>
      <c r="T373" s="680"/>
      <c r="U373" s="682"/>
      <c r="V373" s="682"/>
      <c r="W373" s="683">
        <v>6.63</v>
      </c>
      <c r="Y373" s="371"/>
      <c r="Z373" s="97"/>
    </row>
    <row r="374" spans="1:26" s="219" customFormat="1" x14ac:dyDescent="0.25">
      <c r="A374" s="387">
        <v>81</v>
      </c>
      <c r="B374" s="387" t="s">
        <v>2641</v>
      </c>
      <c r="C374" s="392" t="s">
        <v>2642</v>
      </c>
      <c r="D374" s="391" t="s">
        <v>2643</v>
      </c>
      <c r="E374" s="393">
        <v>6.63</v>
      </c>
      <c r="F374" s="391">
        <v>20</v>
      </c>
      <c r="G374" s="391" t="s">
        <v>2645</v>
      </c>
      <c r="H374" s="391" t="s">
        <v>2645</v>
      </c>
      <c r="I374" s="391" t="s">
        <v>426</v>
      </c>
      <c r="J374" s="690">
        <v>1500008648</v>
      </c>
      <c r="K374" s="696">
        <v>44844</v>
      </c>
      <c r="L374" s="690">
        <v>3200084672</v>
      </c>
      <c r="M374" s="696">
        <v>44845</v>
      </c>
      <c r="N374" s="795">
        <v>45518</v>
      </c>
      <c r="O374" s="682"/>
      <c r="P374" s="682"/>
      <c r="Q374" s="682"/>
      <c r="R374" s="680"/>
      <c r="S374" s="681"/>
      <c r="T374" s="680"/>
      <c r="U374" s="682"/>
      <c r="V374" s="682"/>
      <c r="W374" s="683">
        <v>6.63</v>
      </c>
      <c r="Y374" s="371"/>
      <c r="Z374" s="97"/>
    </row>
    <row r="375" spans="1:26" s="219" customFormat="1" x14ac:dyDescent="0.25">
      <c r="A375" s="387">
        <v>82</v>
      </c>
      <c r="B375" s="387" t="s">
        <v>2641</v>
      </c>
      <c r="C375" s="392" t="s">
        <v>2642</v>
      </c>
      <c r="D375" s="391" t="s">
        <v>2643</v>
      </c>
      <c r="E375" s="393">
        <v>6.63</v>
      </c>
      <c r="F375" s="391">
        <v>20</v>
      </c>
      <c r="G375" s="391" t="s">
        <v>2646</v>
      </c>
      <c r="H375" s="391" t="s">
        <v>2646</v>
      </c>
      <c r="I375" s="391" t="s">
        <v>426</v>
      </c>
      <c r="J375" s="690">
        <v>1500008647</v>
      </c>
      <c r="K375" s="696">
        <v>44844</v>
      </c>
      <c r="L375" s="690">
        <v>3200084707</v>
      </c>
      <c r="M375" s="696">
        <v>44845</v>
      </c>
      <c r="N375" s="795">
        <v>45518</v>
      </c>
      <c r="O375" s="682"/>
      <c r="P375" s="682"/>
      <c r="Q375" s="682"/>
      <c r="R375" s="680"/>
      <c r="S375" s="681"/>
      <c r="T375" s="680"/>
      <c r="U375" s="682"/>
      <c r="V375" s="682"/>
      <c r="W375" s="683">
        <v>6.63</v>
      </c>
      <c r="Y375" s="371"/>
      <c r="Z375" s="97"/>
    </row>
    <row r="376" spans="1:26" s="219" customFormat="1" x14ac:dyDescent="0.25">
      <c r="A376" s="387">
        <v>83</v>
      </c>
      <c r="B376" s="387" t="s">
        <v>2634</v>
      </c>
      <c r="C376" s="392" t="s">
        <v>2635</v>
      </c>
      <c r="D376" s="391" t="s">
        <v>94</v>
      </c>
      <c r="E376" s="393">
        <v>4.7450000000000001</v>
      </c>
      <c r="F376" s="391">
        <v>20</v>
      </c>
      <c r="G376" s="391" t="s">
        <v>2647</v>
      </c>
      <c r="H376" s="391" t="s">
        <v>2647</v>
      </c>
      <c r="I376" s="391" t="s">
        <v>426</v>
      </c>
      <c r="J376" s="690">
        <v>1500009887</v>
      </c>
      <c r="K376" s="696">
        <v>44878</v>
      </c>
      <c r="L376" s="690">
        <v>3200087189</v>
      </c>
      <c r="M376" s="696">
        <v>44922</v>
      </c>
      <c r="N376" s="794"/>
      <c r="O376" s="682"/>
      <c r="P376" s="682"/>
      <c r="Q376" s="682"/>
      <c r="R376" s="680"/>
      <c r="S376" s="681"/>
      <c r="T376" s="680"/>
      <c r="U376" s="682"/>
      <c r="V376" s="682"/>
      <c r="W376" s="683">
        <v>4.7450000000000001</v>
      </c>
      <c r="Y376" s="371"/>
      <c r="Z376" s="97"/>
    </row>
    <row r="377" spans="1:26" s="219" customFormat="1" x14ac:dyDescent="0.25">
      <c r="A377" s="387">
        <v>84</v>
      </c>
      <c r="B377" s="387" t="s">
        <v>2648</v>
      </c>
      <c r="C377" s="392" t="s">
        <v>2649</v>
      </c>
      <c r="D377" s="391" t="s">
        <v>2650</v>
      </c>
      <c r="E377" s="393">
        <v>3</v>
      </c>
      <c r="F377" s="391">
        <v>20</v>
      </c>
      <c r="G377" s="391" t="s">
        <v>2651</v>
      </c>
      <c r="H377" s="391" t="s">
        <v>2651</v>
      </c>
      <c r="I377" s="391" t="s">
        <v>426</v>
      </c>
      <c r="J377" s="690">
        <v>1500009806</v>
      </c>
      <c r="K377" s="696">
        <v>44875</v>
      </c>
      <c r="L377" s="690"/>
      <c r="M377" s="696"/>
      <c r="N377" s="794" t="s">
        <v>5056</v>
      </c>
      <c r="O377" s="682"/>
      <c r="P377" s="682"/>
      <c r="Q377" s="682"/>
      <c r="R377" s="680"/>
      <c r="S377" s="680"/>
      <c r="T377" s="680"/>
      <c r="U377" s="682"/>
      <c r="V377" s="682"/>
      <c r="W377" s="683"/>
      <c r="Y377" s="371"/>
      <c r="Z377" s="97"/>
    </row>
    <row r="378" spans="1:26" s="219" customFormat="1" x14ac:dyDescent="0.25">
      <c r="A378" s="387">
        <v>85</v>
      </c>
      <c r="B378" s="387" t="s">
        <v>2652</v>
      </c>
      <c r="C378" s="392" t="s">
        <v>2653</v>
      </c>
      <c r="D378" s="391" t="s">
        <v>779</v>
      </c>
      <c r="E378" s="393">
        <v>71.304000000000002</v>
      </c>
      <c r="F378" s="391">
        <v>110</v>
      </c>
      <c r="G378" s="391" t="s">
        <v>2654</v>
      </c>
      <c r="H378" s="391" t="s">
        <v>2654</v>
      </c>
      <c r="I378" s="391" t="s">
        <v>426</v>
      </c>
      <c r="J378" s="690">
        <v>1500010631</v>
      </c>
      <c r="K378" s="696">
        <v>44893</v>
      </c>
      <c r="L378" s="690"/>
      <c r="M378" s="696"/>
      <c r="N378" s="794" t="s">
        <v>5056</v>
      </c>
      <c r="O378" s="682"/>
      <c r="P378" s="682"/>
      <c r="Q378" s="682"/>
      <c r="R378" s="680"/>
      <c r="S378" s="680"/>
      <c r="T378" s="680"/>
      <c r="U378" s="682"/>
      <c r="V378" s="682"/>
      <c r="W378" s="683">
        <v>71.304000000000002</v>
      </c>
      <c r="Y378" s="371"/>
      <c r="Z378" s="97"/>
    </row>
    <row r="379" spans="1:26" s="219" customFormat="1" x14ac:dyDescent="0.25">
      <c r="A379" s="387">
        <v>86</v>
      </c>
      <c r="B379" s="387" t="s">
        <v>2655</v>
      </c>
      <c r="C379" s="392" t="s">
        <v>2656</v>
      </c>
      <c r="D379" s="391" t="s">
        <v>779</v>
      </c>
      <c r="E379" s="393">
        <v>49.006</v>
      </c>
      <c r="F379" s="391">
        <v>110</v>
      </c>
      <c r="G379" s="391" t="s">
        <v>2657</v>
      </c>
      <c r="H379" s="391" t="s">
        <v>2657</v>
      </c>
      <c r="I379" s="391" t="s">
        <v>426</v>
      </c>
      <c r="J379" s="690">
        <v>1500009890</v>
      </c>
      <c r="K379" s="696">
        <v>44879</v>
      </c>
      <c r="L379" s="690">
        <v>3200096655</v>
      </c>
      <c r="M379" s="696">
        <v>45237</v>
      </c>
      <c r="N379" s="794" t="s">
        <v>5108</v>
      </c>
      <c r="O379" s="682"/>
      <c r="P379" s="682"/>
      <c r="Q379" s="682"/>
      <c r="R379" s="680"/>
      <c r="S379" s="681"/>
      <c r="T379" s="680"/>
      <c r="U379" s="682"/>
      <c r="V379" s="682"/>
      <c r="W379" s="683">
        <v>49.006</v>
      </c>
      <c r="Y379" s="371"/>
      <c r="Z379" s="97"/>
    </row>
    <row r="380" spans="1:26" s="219" customFormat="1" x14ac:dyDescent="0.25">
      <c r="A380" s="387">
        <v>87</v>
      </c>
      <c r="B380" s="387" t="s">
        <v>2658</v>
      </c>
      <c r="C380" s="392" t="s">
        <v>2659</v>
      </c>
      <c r="D380" s="391" t="s">
        <v>2650</v>
      </c>
      <c r="E380" s="393">
        <v>13.1</v>
      </c>
      <c r="F380" s="391">
        <v>20</v>
      </c>
      <c r="G380" s="391" t="s">
        <v>2660</v>
      </c>
      <c r="H380" s="391" t="s">
        <v>2660</v>
      </c>
      <c r="I380" s="391" t="s">
        <v>426</v>
      </c>
      <c r="J380" s="690">
        <v>1500010461</v>
      </c>
      <c r="K380" s="696">
        <v>44889</v>
      </c>
      <c r="L380" s="690"/>
      <c r="M380" s="696"/>
      <c r="N380" s="794" t="s">
        <v>5056</v>
      </c>
      <c r="O380" s="682"/>
      <c r="P380" s="682"/>
      <c r="Q380" s="682"/>
      <c r="R380" s="680"/>
      <c r="S380" s="680"/>
      <c r="T380" s="680"/>
      <c r="U380" s="682"/>
      <c r="V380" s="682"/>
      <c r="W380" s="683">
        <v>13.1</v>
      </c>
      <c r="Y380" s="371"/>
      <c r="Z380" s="97"/>
    </row>
    <row r="381" spans="1:26" s="219" customFormat="1" x14ac:dyDescent="0.25">
      <c r="A381" s="387">
        <v>88</v>
      </c>
      <c r="B381" s="387" t="s">
        <v>2661</v>
      </c>
      <c r="C381" s="392" t="s">
        <v>2662</v>
      </c>
      <c r="D381" s="391" t="s">
        <v>1246</v>
      </c>
      <c r="E381" s="393">
        <v>1.575</v>
      </c>
      <c r="F381" s="391">
        <v>20</v>
      </c>
      <c r="G381" s="391" t="s">
        <v>2663</v>
      </c>
      <c r="H381" s="391" t="s">
        <v>2663</v>
      </c>
      <c r="I381" s="391" t="s">
        <v>426</v>
      </c>
      <c r="J381" s="690">
        <v>1500011038</v>
      </c>
      <c r="K381" s="696">
        <v>44904</v>
      </c>
      <c r="L381" s="690"/>
      <c r="M381" s="696"/>
      <c r="N381" s="794" t="s">
        <v>5056</v>
      </c>
      <c r="O381" s="682"/>
      <c r="P381" s="682"/>
      <c r="Q381" s="682"/>
      <c r="R381" s="680"/>
      <c r="S381" s="680"/>
      <c r="T381" s="680"/>
      <c r="U381" s="682"/>
      <c r="V381" s="682"/>
      <c r="W381" s="683">
        <v>1.575</v>
      </c>
      <c r="Y381" s="371"/>
      <c r="Z381" s="97"/>
    </row>
    <row r="382" spans="1:26" x14ac:dyDescent="0.25">
      <c r="A382" s="387">
        <v>89</v>
      </c>
      <c r="B382" s="387" t="s">
        <v>2664</v>
      </c>
      <c r="C382" s="392" t="s">
        <v>2665</v>
      </c>
      <c r="D382" s="391" t="s">
        <v>2625</v>
      </c>
      <c r="E382" s="393">
        <v>37</v>
      </c>
      <c r="F382" s="391">
        <v>110</v>
      </c>
      <c r="G382" s="391" t="s">
        <v>2666</v>
      </c>
      <c r="H382" s="391" t="s">
        <v>2666</v>
      </c>
      <c r="I382" s="391" t="s">
        <v>426</v>
      </c>
      <c r="J382" s="690">
        <v>1500011618</v>
      </c>
      <c r="K382" s="696">
        <v>44921</v>
      </c>
      <c r="L382" s="690">
        <v>3200089991</v>
      </c>
      <c r="M382" s="696">
        <v>45014</v>
      </c>
      <c r="N382" s="794"/>
      <c r="O382" s="682"/>
      <c r="P382" s="682"/>
      <c r="Q382" s="682"/>
      <c r="R382" s="680"/>
      <c r="S382" s="681"/>
      <c r="T382" s="680"/>
      <c r="U382" s="682"/>
      <c r="V382" s="682"/>
      <c r="W382" s="683">
        <v>37</v>
      </c>
      <c r="Z382" s="87"/>
    </row>
    <row r="383" spans="1:26" x14ac:dyDescent="0.25">
      <c r="A383" s="387">
        <v>90</v>
      </c>
      <c r="B383" s="387" t="s">
        <v>2667</v>
      </c>
      <c r="C383" s="392" t="s">
        <v>2668</v>
      </c>
      <c r="D383" s="391" t="s">
        <v>1250</v>
      </c>
      <c r="E383" s="393">
        <v>1.9044400000000001</v>
      </c>
      <c r="F383" s="391">
        <v>20</v>
      </c>
      <c r="G383" s="391" t="s">
        <v>2669</v>
      </c>
      <c r="H383" s="391" t="s">
        <v>2669</v>
      </c>
      <c r="I383" s="391" t="s">
        <v>426</v>
      </c>
      <c r="J383" s="690">
        <v>1500011553</v>
      </c>
      <c r="K383" s="696">
        <v>44917</v>
      </c>
      <c r="L383" s="690">
        <v>3200089185</v>
      </c>
      <c r="M383" s="696">
        <v>44986</v>
      </c>
      <c r="N383" s="795">
        <v>45169</v>
      </c>
      <c r="O383" s="682"/>
      <c r="P383" s="682"/>
      <c r="Q383" s="682"/>
      <c r="R383" s="680">
        <v>8700017932</v>
      </c>
      <c r="S383" s="681">
        <v>45169</v>
      </c>
      <c r="T383" s="680"/>
      <c r="U383" s="682"/>
      <c r="V383" s="682"/>
      <c r="W383" s="683">
        <v>1.9044400000000001</v>
      </c>
      <c r="Z383" s="87"/>
    </row>
    <row r="384" spans="1:26" x14ac:dyDescent="0.25">
      <c r="A384" s="387">
        <v>91</v>
      </c>
      <c r="B384" s="387" t="s">
        <v>5062</v>
      </c>
      <c r="C384" s="392" t="s">
        <v>5063</v>
      </c>
      <c r="D384" s="391" t="s">
        <v>2625</v>
      </c>
      <c r="E384" s="393">
        <v>2.2610000000000001</v>
      </c>
      <c r="F384" s="391">
        <v>20</v>
      </c>
      <c r="G384" s="391" t="s">
        <v>5064</v>
      </c>
      <c r="H384" s="391" t="s">
        <v>5064</v>
      </c>
      <c r="I384" s="391" t="s">
        <v>426</v>
      </c>
      <c r="J384" s="702">
        <v>1500017296</v>
      </c>
      <c r="K384" s="704">
        <v>45068</v>
      </c>
      <c r="L384" s="705">
        <v>3200096056</v>
      </c>
      <c r="M384" s="706">
        <v>45216</v>
      </c>
      <c r="N384" s="796" t="s">
        <v>5065</v>
      </c>
      <c r="O384" s="682"/>
      <c r="P384" s="682"/>
      <c r="Q384" s="682"/>
      <c r="R384" s="680"/>
      <c r="S384" s="681"/>
      <c r="T384" s="680"/>
      <c r="U384" s="682"/>
      <c r="V384" s="682"/>
      <c r="W384" s="703">
        <v>2.2610000000000001</v>
      </c>
      <c r="Z384" s="87"/>
    </row>
    <row r="385" spans="1:26" x14ac:dyDescent="0.25">
      <c r="A385" s="387">
        <v>92</v>
      </c>
      <c r="B385" s="387" t="s">
        <v>2648</v>
      </c>
      <c r="C385" s="392" t="s">
        <v>2649</v>
      </c>
      <c r="D385" s="391" t="s">
        <v>2650</v>
      </c>
      <c r="E385" s="393">
        <v>3</v>
      </c>
      <c r="F385" s="391">
        <v>20</v>
      </c>
      <c r="G385" s="391" t="s">
        <v>5066</v>
      </c>
      <c r="H385" s="391" t="s">
        <v>5066</v>
      </c>
      <c r="I385" s="391" t="s">
        <v>426</v>
      </c>
      <c r="J385" s="702">
        <v>1500017669</v>
      </c>
      <c r="K385" s="704">
        <v>45077</v>
      </c>
      <c r="L385" s="702" t="s">
        <v>5067</v>
      </c>
      <c r="M385" s="707">
        <v>45050</v>
      </c>
      <c r="N385" s="705" t="s">
        <v>5068</v>
      </c>
      <c r="O385" s="682"/>
      <c r="P385" s="682"/>
      <c r="Q385" s="682"/>
      <c r="R385" s="680"/>
      <c r="S385" s="681"/>
      <c r="T385" s="680"/>
      <c r="U385" s="682"/>
      <c r="V385" s="682"/>
      <c r="W385" s="703">
        <v>3</v>
      </c>
      <c r="Z385" s="87"/>
    </row>
    <row r="386" spans="1:26" x14ac:dyDescent="0.25">
      <c r="A386" s="387">
        <v>93</v>
      </c>
      <c r="B386" s="387" t="s">
        <v>5069</v>
      </c>
      <c r="C386" s="392" t="s">
        <v>5070</v>
      </c>
      <c r="D386" s="391" t="s">
        <v>1250</v>
      </c>
      <c r="E386" s="393">
        <v>3.48</v>
      </c>
      <c r="F386" s="391">
        <v>20</v>
      </c>
      <c r="G386" s="391" t="s">
        <v>1255</v>
      </c>
      <c r="H386" s="391" t="s">
        <v>1255</v>
      </c>
      <c r="I386" s="391" t="s">
        <v>426</v>
      </c>
      <c r="J386" s="702">
        <v>1500017800</v>
      </c>
      <c r="K386" s="707">
        <v>45082</v>
      </c>
      <c r="L386" s="702">
        <v>3200092677</v>
      </c>
      <c r="M386" s="707">
        <v>45099</v>
      </c>
      <c r="N386" s="796" t="s">
        <v>5071</v>
      </c>
      <c r="O386" s="682"/>
      <c r="P386" s="682"/>
      <c r="Q386" s="682"/>
      <c r="R386" s="680"/>
      <c r="S386" s="681"/>
      <c r="T386" s="680"/>
      <c r="U386" s="682"/>
      <c r="V386" s="682"/>
      <c r="W386" s="708">
        <v>3.48</v>
      </c>
      <c r="Z386" s="87"/>
    </row>
    <row r="387" spans="1:26" ht="30" x14ac:dyDescent="0.25">
      <c r="A387" s="387">
        <v>94</v>
      </c>
      <c r="B387" s="387" t="s">
        <v>703</v>
      </c>
      <c r="C387" s="392" t="s">
        <v>5072</v>
      </c>
      <c r="D387" s="391" t="s">
        <v>2625</v>
      </c>
      <c r="E387" s="719">
        <v>1.71716</v>
      </c>
      <c r="F387" s="391">
        <v>20</v>
      </c>
      <c r="G387" s="391" t="s">
        <v>5073</v>
      </c>
      <c r="H387" s="391" t="s">
        <v>5073</v>
      </c>
      <c r="I387" s="391" t="s">
        <v>426</v>
      </c>
      <c r="J387" s="702">
        <v>1500019509</v>
      </c>
      <c r="K387" s="704">
        <v>45133</v>
      </c>
      <c r="L387" s="690"/>
      <c r="M387" s="696"/>
      <c r="N387" s="797" t="s">
        <v>5074</v>
      </c>
      <c r="O387" s="682"/>
      <c r="P387" s="682"/>
      <c r="Q387" s="682"/>
      <c r="R387" s="680"/>
      <c r="S387" s="680"/>
      <c r="T387" s="680"/>
      <c r="U387" s="682"/>
      <c r="V387" s="682"/>
      <c r="W387" s="709">
        <v>1.71716</v>
      </c>
      <c r="Z387" s="87"/>
    </row>
    <row r="388" spans="1:26" x14ac:dyDescent="0.25">
      <c r="A388" s="387">
        <v>95</v>
      </c>
      <c r="B388" s="387" t="s">
        <v>351</v>
      </c>
      <c r="C388" s="392" t="s">
        <v>5075</v>
      </c>
      <c r="D388" s="391" t="s">
        <v>1246</v>
      </c>
      <c r="E388" s="719">
        <v>6.16</v>
      </c>
      <c r="F388" s="562">
        <v>6</v>
      </c>
      <c r="G388" s="391" t="s">
        <v>5076</v>
      </c>
      <c r="H388" s="391" t="s">
        <v>5076</v>
      </c>
      <c r="I388" s="391" t="s">
        <v>426</v>
      </c>
      <c r="J388" s="702">
        <v>1300000174</v>
      </c>
      <c r="K388" s="704">
        <v>45113</v>
      </c>
      <c r="L388" s="702">
        <v>3200097273</v>
      </c>
      <c r="M388" s="704">
        <v>45258</v>
      </c>
      <c r="N388" s="796" t="s">
        <v>5077</v>
      </c>
      <c r="O388" s="682"/>
      <c r="P388" s="682"/>
      <c r="Q388" s="682"/>
      <c r="R388" s="680"/>
      <c r="S388" s="681"/>
      <c r="T388" s="680"/>
      <c r="U388" s="682"/>
      <c r="V388" s="682"/>
      <c r="W388" s="709">
        <v>6.16</v>
      </c>
      <c r="Z388" s="87"/>
    </row>
    <row r="389" spans="1:26" x14ac:dyDescent="0.25">
      <c r="A389" s="387">
        <v>96</v>
      </c>
      <c r="B389" s="387" t="s">
        <v>826</v>
      </c>
      <c r="C389" s="392" t="s">
        <v>5078</v>
      </c>
      <c r="D389" s="391" t="s">
        <v>94</v>
      </c>
      <c r="E389" s="393">
        <v>9.9600000000000009</v>
      </c>
      <c r="F389" s="391">
        <v>20</v>
      </c>
      <c r="G389" s="391" t="s">
        <v>443</v>
      </c>
      <c r="H389" s="391" t="s">
        <v>5079</v>
      </c>
      <c r="I389" s="391" t="s">
        <v>5080</v>
      </c>
      <c r="J389" s="702">
        <v>1500018092</v>
      </c>
      <c r="K389" s="704">
        <v>45112</v>
      </c>
      <c r="L389" s="701">
        <v>3200093144</v>
      </c>
      <c r="M389" s="692">
        <v>45112</v>
      </c>
      <c r="N389" s="795">
        <v>45183</v>
      </c>
      <c r="O389" s="682"/>
      <c r="P389" s="682"/>
      <c r="Q389" s="682"/>
      <c r="R389" s="685">
        <v>8700018483</v>
      </c>
      <c r="S389" s="686">
        <v>45183</v>
      </c>
      <c r="T389" s="685">
        <v>9.9600000000000009</v>
      </c>
      <c r="U389" s="682"/>
      <c r="V389" s="682"/>
      <c r="W389" s="710">
        <v>9.9600000000000009</v>
      </c>
      <c r="Z389" s="87"/>
    </row>
    <row r="390" spans="1:26" x14ac:dyDescent="0.25">
      <c r="A390" s="387">
        <v>97</v>
      </c>
      <c r="B390" s="387" t="s">
        <v>5081</v>
      </c>
      <c r="C390" s="392" t="s">
        <v>5082</v>
      </c>
      <c r="D390" s="391" t="s">
        <v>41</v>
      </c>
      <c r="E390" s="393">
        <v>2.8690700000000002</v>
      </c>
      <c r="F390" s="391">
        <v>20</v>
      </c>
      <c r="G390" s="391" t="s">
        <v>5083</v>
      </c>
      <c r="H390" s="391" t="s">
        <v>5083</v>
      </c>
      <c r="I390" s="391" t="s">
        <v>426</v>
      </c>
      <c r="J390" s="702">
        <v>1500015420</v>
      </c>
      <c r="K390" s="707">
        <v>45110</v>
      </c>
      <c r="L390" s="702">
        <v>3200086434</v>
      </c>
      <c r="M390" s="707">
        <v>44902</v>
      </c>
      <c r="N390" s="795">
        <v>45056</v>
      </c>
      <c r="O390" s="682"/>
      <c r="P390" s="682"/>
      <c r="Q390" s="682"/>
      <c r="R390" s="680">
        <v>8700016020</v>
      </c>
      <c r="S390" s="681">
        <v>45110</v>
      </c>
      <c r="T390" s="687">
        <v>2.8650000000000002</v>
      </c>
      <c r="U390" s="682"/>
      <c r="V390" s="682"/>
      <c r="W390" s="683"/>
      <c r="Z390" s="87"/>
    </row>
    <row r="391" spans="1:26" x14ac:dyDescent="0.25">
      <c r="A391" s="387">
        <v>98</v>
      </c>
      <c r="B391" s="387" t="s">
        <v>666</v>
      </c>
      <c r="C391" s="392" t="s">
        <v>5084</v>
      </c>
      <c r="D391" s="391" t="s">
        <v>2650</v>
      </c>
      <c r="E391" s="719">
        <v>1.96743</v>
      </c>
      <c r="F391" s="391">
        <v>20</v>
      </c>
      <c r="G391" s="391" t="s">
        <v>5085</v>
      </c>
      <c r="H391" s="391" t="s">
        <v>5085</v>
      </c>
      <c r="I391" s="391" t="s">
        <v>426</v>
      </c>
      <c r="J391" s="712">
        <v>1500020482</v>
      </c>
      <c r="K391" s="713">
        <v>45154</v>
      </c>
      <c r="L391" s="690"/>
      <c r="M391" s="696"/>
      <c r="N391" s="690"/>
      <c r="O391" s="682"/>
      <c r="P391" s="682"/>
      <c r="Q391" s="682"/>
      <c r="R391" s="680"/>
      <c r="S391" s="680"/>
      <c r="T391" s="680"/>
      <c r="U391" s="682"/>
      <c r="V391" s="682"/>
      <c r="W391" s="683"/>
      <c r="Z391" s="87"/>
    </row>
    <row r="392" spans="1:26" x14ac:dyDescent="0.25">
      <c r="A392" s="387">
        <v>99</v>
      </c>
      <c r="B392" s="387" t="s">
        <v>5086</v>
      </c>
      <c r="C392" s="392"/>
      <c r="D392" s="391" t="s">
        <v>2625</v>
      </c>
      <c r="E392" s="393">
        <v>4.9640000000000004</v>
      </c>
      <c r="F392" s="391">
        <v>20</v>
      </c>
      <c r="G392" s="391" t="s">
        <v>5087</v>
      </c>
      <c r="H392" s="391" t="s">
        <v>783</v>
      </c>
      <c r="I392" s="391" t="s">
        <v>426</v>
      </c>
      <c r="J392" s="690">
        <v>1500024125</v>
      </c>
      <c r="K392" s="693">
        <v>45271</v>
      </c>
      <c r="L392" s="690">
        <v>3200097868</v>
      </c>
      <c r="M392" s="693">
        <v>45287</v>
      </c>
      <c r="N392" s="690"/>
      <c r="O392" s="688"/>
      <c r="P392" s="688"/>
      <c r="Q392" s="688"/>
      <c r="R392" s="680"/>
      <c r="S392" s="681"/>
      <c r="T392" s="680"/>
      <c r="U392" s="688"/>
      <c r="V392" s="688"/>
      <c r="W392" s="682"/>
      <c r="Z392" s="87"/>
    </row>
    <row r="393" spans="1:26" x14ac:dyDescent="0.25">
      <c r="A393" s="387">
        <v>100</v>
      </c>
      <c r="B393" s="387" t="s">
        <v>745</v>
      </c>
      <c r="C393" s="392"/>
      <c r="D393" s="391" t="s">
        <v>1246</v>
      </c>
      <c r="E393" s="393">
        <v>2.57</v>
      </c>
      <c r="F393" s="391">
        <v>20</v>
      </c>
      <c r="G393" s="391" t="s">
        <v>1252</v>
      </c>
      <c r="H393" s="391" t="s">
        <v>783</v>
      </c>
      <c r="I393" s="391" t="s">
        <v>426</v>
      </c>
      <c r="J393" s="690">
        <v>1500024216</v>
      </c>
      <c r="K393" s="693">
        <v>45274</v>
      </c>
      <c r="L393" s="690"/>
      <c r="M393" s="690"/>
      <c r="N393" s="690"/>
      <c r="O393" s="688"/>
      <c r="P393" s="688"/>
      <c r="Q393" s="688"/>
      <c r="R393" s="681"/>
      <c r="S393" s="684"/>
      <c r="T393" s="680"/>
      <c r="U393" s="688"/>
      <c r="V393" s="688"/>
      <c r="W393" s="714">
        <v>2.57</v>
      </c>
      <c r="Z393" s="87"/>
    </row>
    <row r="394" spans="1:26" x14ac:dyDescent="0.25">
      <c r="A394" s="387">
        <v>101</v>
      </c>
      <c r="B394" s="387" t="s">
        <v>630</v>
      </c>
      <c r="C394" s="392" t="s">
        <v>5088</v>
      </c>
      <c r="D394" s="391" t="s">
        <v>41</v>
      </c>
      <c r="E394" s="393">
        <v>0.95</v>
      </c>
      <c r="F394" s="391">
        <v>20</v>
      </c>
      <c r="G394" s="391" t="s">
        <v>5089</v>
      </c>
      <c r="H394" s="391" t="s">
        <v>5089</v>
      </c>
      <c r="I394" s="391" t="s">
        <v>426</v>
      </c>
      <c r="J394" s="702">
        <v>1500004210</v>
      </c>
      <c r="K394" s="704">
        <v>44463</v>
      </c>
      <c r="L394" s="715">
        <v>3200014251</v>
      </c>
      <c r="M394" s="716">
        <v>41582</v>
      </c>
      <c r="N394" s="693">
        <v>45364</v>
      </c>
      <c r="O394" s="677"/>
      <c r="P394" s="677"/>
      <c r="Q394" s="677"/>
      <c r="R394" s="680">
        <v>8700022578</v>
      </c>
      <c r="S394" s="681">
        <v>45364</v>
      </c>
      <c r="T394" s="689"/>
      <c r="U394" s="677"/>
      <c r="V394" s="677"/>
      <c r="W394" s="708">
        <v>0.91300000000000003</v>
      </c>
      <c r="Z394" s="87"/>
    </row>
    <row r="395" spans="1:26" x14ac:dyDescent="0.25">
      <c r="A395" s="387">
        <v>102</v>
      </c>
      <c r="B395" s="387" t="s">
        <v>5090</v>
      </c>
      <c r="C395" s="392" t="s">
        <v>5091</v>
      </c>
      <c r="D395" s="391" t="s">
        <v>94</v>
      </c>
      <c r="E395" s="393">
        <v>23.5</v>
      </c>
      <c r="F395" s="391">
        <v>110</v>
      </c>
      <c r="G395" s="391" t="s">
        <v>5092</v>
      </c>
      <c r="H395" s="391" t="s">
        <v>5092</v>
      </c>
      <c r="I395" s="391" t="s">
        <v>426</v>
      </c>
      <c r="J395" s="715">
        <v>1500015695</v>
      </c>
      <c r="K395" s="716">
        <v>45035</v>
      </c>
      <c r="L395" s="715">
        <v>3200100990</v>
      </c>
      <c r="M395" s="716">
        <v>45428</v>
      </c>
      <c r="N395" s="715" t="s">
        <v>5093</v>
      </c>
      <c r="O395" s="677"/>
      <c r="P395" s="677"/>
      <c r="Q395" s="677"/>
      <c r="R395" s="680"/>
      <c r="S395" s="681"/>
      <c r="T395" s="689"/>
      <c r="U395" s="677"/>
      <c r="V395" s="677"/>
      <c r="W395" s="717">
        <v>23.5</v>
      </c>
      <c r="Z395" s="87"/>
    </row>
    <row r="396" spans="1:26" x14ac:dyDescent="0.25">
      <c r="A396" s="387">
        <v>103</v>
      </c>
      <c r="B396" s="387" t="s">
        <v>5094</v>
      </c>
      <c r="C396" s="392" t="s">
        <v>5095</v>
      </c>
      <c r="D396" s="391" t="s">
        <v>438</v>
      </c>
      <c r="E396" s="393">
        <v>2.88</v>
      </c>
      <c r="F396" s="391">
        <v>20</v>
      </c>
      <c r="G396" s="391" t="s">
        <v>5096</v>
      </c>
      <c r="H396" s="391" t="s">
        <v>5096</v>
      </c>
      <c r="I396" s="391" t="s">
        <v>426</v>
      </c>
      <c r="J396" s="715">
        <v>1500015387</v>
      </c>
      <c r="K396" s="716">
        <v>45023</v>
      </c>
      <c r="L396" s="715">
        <v>3200100805</v>
      </c>
      <c r="M396" s="716">
        <v>45394</v>
      </c>
      <c r="N396" s="715" t="s">
        <v>5097</v>
      </c>
      <c r="O396" s="677"/>
      <c r="P396" s="677"/>
      <c r="Q396" s="677"/>
      <c r="R396" s="680"/>
      <c r="S396" s="681"/>
      <c r="T396" s="689"/>
      <c r="U396" s="677" t="s">
        <v>5059</v>
      </c>
      <c r="V396" s="677"/>
      <c r="W396" s="717">
        <v>2.88</v>
      </c>
      <c r="Z396" s="87"/>
    </row>
    <row r="397" spans="1:26" x14ac:dyDescent="0.25">
      <c r="A397" s="387">
        <v>104</v>
      </c>
      <c r="B397" s="387" t="s">
        <v>5098</v>
      </c>
      <c r="C397" s="392" t="s">
        <v>5099</v>
      </c>
      <c r="D397" s="391" t="s">
        <v>94</v>
      </c>
      <c r="E397" s="393">
        <v>49.524999999999999</v>
      </c>
      <c r="F397" s="391">
        <v>110</v>
      </c>
      <c r="G397" s="391" t="s">
        <v>5100</v>
      </c>
      <c r="H397" s="391" t="s">
        <v>5100</v>
      </c>
      <c r="I397" s="391" t="s">
        <v>426</v>
      </c>
      <c r="J397" s="715">
        <v>1500019804</v>
      </c>
      <c r="K397" s="716">
        <v>45135</v>
      </c>
      <c r="L397" s="715">
        <v>3200101847</v>
      </c>
      <c r="M397" s="716">
        <v>45434</v>
      </c>
      <c r="N397" s="690" t="s">
        <v>5101</v>
      </c>
      <c r="O397" s="677"/>
      <c r="P397" s="677"/>
      <c r="Q397" s="677"/>
      <c r="R397" s="680"/>
      <c r="S397" s="681"/>
      <c r="T397" s="689"/>
      <c r="U397" s="677"/>
      <c r="V397" s="677"/>
      <c r="W397" s="717">
        <v>49.524999999999999</v>
      </c>
      <c r="Z397" s="87"/>
    </row>
    <row r="398" spans="1:26" x14ac:dyDescent="0.25">
      <c r="A398" s="387">
        <v>105</v>
      </c>
      <c r="B398" s="387" t="s">
        <v>5102</v>
      </c>
      <c r="C398" s="392" t="s">
        <v>5103</v>
      </c>
      <c r="D398" s="391" t="s">
        <v>416</v>
      </c>
      <c r="E398" s="393">
        <v>3</v>
      </c>
      <c r="F398" s="391">
        <v>20</v>
      </c>
      <c r="G398" s="391" t="s">
        <v>5104</v>
      </c>
      <c r="H398" s="391" t="s">
        <v>5104</v>
      </c>
      <c r="I398" s="391" t="s">
        <v>426</v>
      </c>
      <c r="J398" s="715">
        <v>1500031050</v>
      </c>
      <c r="K398" s="716">
        <v>45449</v>
      </c>
      <c r="L398" s="715">
        <v>3200094487</v>
      </c>
      <c r="M398" s="716">
        <v>45268</v>
      </c>
      <c r="N398" s="690" t="s">
        <v>5105</v>
      </c>
      <c r="O398" s="677"/>
      <c r="P398" s="677"/>
      <c r="Q398" s="677"/>
      <c r="R398" s="689"/>
      <c r="S398" s="718"/>
      <c r="T398" s="689"/>
      <c r="U398" s="677"/>
      <c r="V398" s="677"/>
      <c r="W398" s="717">
        <v>3</v>
      </c>
      <c r="Z398" s="87"/>
    </row>
    <row r="399" spans="1:26" x14ac:dyDescent="0.25">
      <c r="A399" s="391">
        <v>106</v>
      </c>
      <c r="B399" s="387" t="s">
        <v>5238</v>
      </c>
      <c r="C399" s="392" t="s">
        <v>5239</v>
      </c>
      <c r="D399" s="391" t="s">
        <v>416</v>
      </c>
      <c r="E399" s="393">
        <v>2.242</v>
      </c>
      <c r="F399" s="391">
        <v>20</v>
      </c>
      <c r="G399" s="391" t="s">
        <v>5240</v>
      </c>
      <c r="H399" s="391" t="s">
        <v>5240</v>
      </c>
      <c r="I399" s="391" t="s">
        <v>426</v>
      </c>
      <c r="J399" s="715">
        <v>1500033127</v>
      </c>
      <c r="K399" s="716">
        <v>45478</v>
      </c>
      <c r="L399" s="715"/>
      <c r="M399" s="715"/>
      <c r="N399" s="690" t="s">
        <v>5241</v>
      </c>
      <c r="O399" s="677"/>
      <c r="P399" s="677"/>
      <c r="Q399" s="677"/>
      <c r="R399" s="689"/>
      <c r="S399" s="718"/>
      <c r="T399" s="689"/>
      <c r="U399" s="677"/>
      <c r="V399" s="677"/>
      <c r="W399" s="717">
        <v>2.242</v>
      </c>
      <c r="Z399" s="87"/>
    </row>
    <row r="400" spans="1:26" x14ac:dyDescent="0.25">
      <c r="A400" s="391">
        <v>107</v>
      </c>
      <c r="B400" s="387" t="s">
        <v>5817</v>
      </c>
      <c r="C400" s="392" t="s">
        <v>579</v>
      </c>
      <c r="D400" s="391" t="s">
        <v>416</v>
      </c>
      <c r="E400" s="393">
        <v>3.165</v>
      </c>
      <c r="F400" s="391">
        <v>20</v>
      </c>
      <c r="G400" s="391" t="s">
        <v>1247</v>
      </c>
      <c r="H400" s="391" t="s">
        <v>1247</v>
      </c>
      <c r="I400" s="391" t="s">
        <v>426</v>
      </c>
      <c r="J400" s="715">
        <v>1500037108</v>
      </c>
      <c r="K400" s="716">
        <v>45547</v>
      </c>
      <c r="L400" s="715">
        <v>3200086783</v>
      </c>
      <c r="M400" s="817">
        <v>44901</v>
      </c>
      <c r="N400" s="690" t="s">
        <v>5818</v>
      </c>
      <c r="O400" s="677"/>
      <c r="P400" s="677"/>
      <c r="Q400" s="677"/>
      <c r="R400" s="689"/>
      <c r="S400" s="718"/>
      <c r="T400" s="689"/>
      <c r="U400" s="677"/>
      <c r="V400" s="677"/>
      <c r="W400" s="717">
        <v>3.165</v>
      </c>
      <c r="Z400" s="87"/>
    </row>
    <row r="401" spans="1:26" x14ac:dyDescent="0.25">
      <c r="A401" s="391">
        <v>108</v>
      </c>
      <c r="B401" s="387" t="s">
        <v>5819</v>
      </c>
      <c r="C401" s="392" t="s">
        <v>5820</v>
      </c>
      <c r="D401" s="391" t="s">
        <v>416</v>
      </c>
      <c r="E401" s="393">
        <v>2.57</v>
      </c>
      <c r="F401" s="391">
        <v>20</v>
      </c>
      <c r="G401" s="391" t="s">
        <v>1252</v>
      </c>
      <c r="H401" s="391" t="s">
        <v>1252</v>
      </c>
      <c r="I401" s="391" t="s">
        <v>426</v>
      </c>
      <c r="J401" s="715">
        <v>1500036948</v>
      </c>
      <c r="K401" s="716">
        <v>45544</v>
      </c>
      <c r="L401" s="715">
        <v>3200086785</v>
      </c>
      <c r="M401" s="716">
        <v>44902</v>
      </c>
      <c r="N401" s="690" t="s">
        <v>5818</v>
      </c>
      <c r="O401" s="677"/>
      <c r="P401" s="677"/>
      <c r="Q401" s="677"/>
      <c r="R401" s="689"/>
      <c r="S401" s="718"/>
      <c r="T401" s="689"/>
      <c r="U401" s="677"/>
      <c r="V401" s="677"/>
      <c r="W401" s="717">
        <v>2.57</v>
      </c>
      <c r="Z401" s="87"/>
    </row>
    <row r="402" spans="1:26" x14ac:dyDescent="0.25">
      <c r="A402" s="391">
        <v>109</v>
      </c>
      <c r="B402" s="387" t="s">
        <v>5821</v>
      </c>
      <c r="C402" s="392" t="s">
        <v>903</v>
      </c>
      <c r="D402" s="391" t="s">
        <v>84</v>
      </c>
      <c r="E402" s="391">
        <v>2.879</v>
      </c>
      <c r="F402" s="391">
        <v>20</v>
      </c>
      <c r="G402" s="391" t="s">
        <v>5822</v>
      </c>
      <c r="H402" s="391" t="s">
        <v>5822</v>
      </c>
      <c r="I402" s="391" t="s">
        <v>426</v>
      </c>
      <c r="J402" s="715">
        <v>1500038390</v>
      </c>
      <c r="K402" s="716">
        <v>45582</v>
      </c>
      <c r="L402" s="715"/>
      <c r="M402" s="715"/>
      <c r="N402" s="690" t="s">
        <v>5823</v>
      </c>
      <c r="O402" s="677"/>
      <c r="P402" s="677"/>
      <c r="Q402" s="677"/>
      <c r="R402" s="689"/>
      <c r="S402" s="689"/>
      <c r="T402" s="689"/>
      <c r="U402" s="677"/>
      <c r="V402" s="677"/>
      <c r="W402" s="677">
        <v>2.879</v>
      </c>
      <c r="Z402" s="87"/>
    </row>
    <row r="403" spans="1:26" x14ac:dyDescent="0.25">
      <c r="A403" s="391">
        <v>110</v>
      </c>
      <c r="B403" s="387" t="s">
        <v>5824</v>
      </c>
      <c r="C403" s="392" t="s">
        <v>5825</v>
      </c>
      <c r="D403" s="391" t="s">
        <v>41</v>
      </c>
      <c r="E403" s="393">
        <v>2.9769999999999999</v>
      </c>
      <c r="F403" s="391">
        <v>20</v>
      </c>
      <c r="G403" s="391" t="s">
        <v>5826</v>
      </c>
      <c r="H403" s="391" t="s">
        <v>5826</v>
      </c>
      <c r="I403" s="391" t="s">
        <v>426</v>
      </c>
      <c r="J403" s="715">
        <v>1500038271</v>
      </c>
      <c r="K403" s="716">
        <v>45583</v>
      </c>
      <c r="L403" s="715"/>
      <c r="M403" s="715"/>
      <c r="N403" s="690" t="s">
        <v>5827</v>
      </c>
      <c r="O403" s="677"/>
      <c r="P403" s="677"/>
      <c r="Q403" s="677"/>
      <c r="R403" s="689"/>
      <c r="S403" s="718"/>
      <c r="T403" s="689"/>
      <c r="U403" s="677"/>
      <c r="V403" s="677"/>
      <c r="W403" s="717">
        <v>2.9769999999999999</v>
      </c>
      <c r="Z403" s="87"/>
    </row>
    <row r="404" spans="1:26" x14ac:dyDescent="0.25">
      <c r="M404" s="209"/>
      <c r="N404" s="71"/>
      <c r="O404" s="70"/>
      <c r="P404" s="70"/>
      <c r="Z404" s="87"/>
    </row>
    <row r="405" spans="1:26" x14ac:dyDescent="0.25">
      <c r="A405" s="29">
        <v>1</v>
      </c>
      <c r="B405" s="375" t="s">
        <v>902</v>
      </c>
      <c r="C405" s="29" t="s">
        <v>903</v>
      </c>
      <c r="D405" s="29" t="s">
        <v>886</v>
      </c>
      <c r="E405" s="235">
        <v>2.2749999999999999</v>
      </c>
      <c r="F405" s="29">
        <v>20</v>
      </c>
      <c r="G405" s="29" t="s">
        <v>904</v>
      </c>
      <c r="H405" s="29" t="s">
        <v>905</v>
      </c>
      <c r="I405" s="29" t="s">
        <v>899</v>
      </c>
      <c r="J405" s="431">
        <v>3030210803505</v>
      </c>
      <c r="K405" s="185" t="s">
        <v>906</v>
      </c>
      <c r="L405" s="375" t="s">
        <v>3625</v>
      </c>
      <c r="M405" s="375" t="s">
        <v>3626</v>
      </c>
      <c r="N405" s="29"/>
      <c r="O405" s="29" t="s">
        <v>25</v>
      </c>
      <c r="P405" s="29" t="s">
        <v>25</v>
      </c>
      <c r="Q405" s="29" t="s">
        <v>25</v>
      </c>
      <c r="R405" s="29" t="s">
        <v>25</v>
      </c>
      <c r="S405" s="29"/>
      <c r="T405" s="29"/>
      <c r="U405" s="29"/>
      <c r="V405" s="29"/>
      <c r="W405" s="29"/>
      <c r="Z405" s="87"/>
    </row>
    <row r="406" spans="1:26" x14ac:dyDescent="0.25">
      <c r="A406" s="29">
        <v>2</v>
      </c>
      <c r="B406" s="375" t="s">
        <v>907</v>
      </c>
      <c r="C406" s="29" t="s">
        <v>903</v>
      </c>
      <c r="D406" s="29" t="s">
        <v>900</v>
      </c>
      <c r="E406" s="235">
        <v>2.8</v>
      </c>
      <c r="F406" s="29">
        <v>20</v>
      </c>
      <c r="G406" s="29" t="s">
        <v>908</v>
      </c>
      <c r="H406" s="29" t="s">
        <v>901</v>
      </c>
      <c r="I406" s="29" t="s">
        <v>899</v>
      </c>
      <c r="J406" s="431">
        <v>3060210804598</v>
      </c>
      <c r="K406" s="185" t="s">
        <v>906</v>
      </c>
      <c r="L406" s="375" t="s">
        <v>3627</v>
      </c>
      <c r="M406" s="455" t="s">
        <v>1939</v>
      </c>
      <c r="N406" s="29"/>
      <c r="O406" s="29" t="s">
        <v>25</v>
      </c>
      <c r="P406" s="29" t="s">
        <v>25</v>
      </c>
      <c r="Q406" s="29" t="s">
        <v>25</v>
      </c>
      <c r="R406" s="29" t="s">
        <v>25</v>
      </c>
      <c r="S406" s="29"/>
      <c r="T406" s="29"/>
      <c r="U406" s="29"/>
      <c r="V406" s="29"/>
      <c r="W406" s="29"/>
      <c r="Z406" s="87"/>
    </row>
    <row r="407" spans="1:26" x14ac:dyDescent="0.25">
      <c r="A407" s="29">
        <v>3</v>
      </c>
      <c r="B407" s="29" t="s">
        <v>909</v>
      </c>
      <c r="C407" s="29" t="s">
        <v>910</v>
      </c>
      <c r="D407" s="29" t="s">
        <v>859</v>
      </c>
      <c r="E407" s="235">
        <v>2.9</v>
      </c>
      <c r="F407" s="29">
        <v>20</v>
      </c>
      <c r="G407" s="29" t="s">
        <v>911</v>
      </c>
      <c r="H407" s="29" t="s">
        <v>912</v>
      </c>
      <c r="I407" s="29" t="s">
        <v>899</v>
      </c>
      <c r="J407" s="431">
        <v>3020210903532</v>
      </c>
      <c r="K407" s="185" t="s">
        <v>913</v>
      </c>
      <c r="L407" s="94" t="s">
        <v>116</v>
      </c>
      <c r="M407" s="185" t="s">
        <v>116</v>
      </c>
      <c r="N407" s="29"/>
      <c r="O407" s="29" t="s">
        <v>25</v>
      </c>
      <c r="P407" s="29" t="s">
        <v>25</v>
      </c>
      <c r="Q407" s="29" t="s">
        <v>25</v>
      </c>
      <c r="R407" s="29" t="s">
        <v>25</v>
      </c>
      <c r="S407" s="29"/>
      <c r="T407" s="29"/>
      <c r="U407" s="29"/>
      <c r="V407" s="29"/>
      <c r="W407" s="29"/>
      <c r="Z407" s="87"/>
    </row>
    <row r="408" spans="1:26" x14ac:dyDescent="0.25">
      <c r="A408" s="29">
        <v>4</v>
      </c>
      <c r="B408" s="29" t="s">
        <v>914</v>
      </c>
      <c r="C408" s="29" t="s">
        <v>583</v>
      </c>
      <c r="D408" s="29" t="s">
        <v>859</v>
      </c>
      <c r="E408" s="235">
        <v>2.9</v>
      </c>
      <c r="F408" s="29">
        <v>20</v>
      </c>
      <c r="G408" s="29" t="s">
        <v>915</v>
      </c>
      <c r="H408" s="29" t="s">
        <v>916</v>
      </c>
      <c r="I408" s="29" t="s">
        <v>899</v>
      </c>
      <c r="J408" s="431">
        <v>3020210903533</v>
      </c>
      <c r="K408" s="185" t="s">
        <v>913</v>
      </c>
      <c r="L408" s="94" t="s">
        <v>116</v>
      </c>
      <c r="M408" s="185" t="s">
        <v>116</v>
      </c>
      <c r="N408" s="29"/>
      <c r="O408" s="29" t="s">
        <v>25</v>
      </c>
      <c r="P408" s="29" t="s">
        <v>25</v>
      </c>
      <c r="Q408" s="29" t="s">
        <v>25</v>
      </c>
      <c r="R408" s="29" t="s">
        <v>25</v>
      </c>
      <c r="S408" s="29"/>
      <c r="T408" s="29"/>
      <c r="U408" s="29"/>
      <c r="V408" s="29"/>
      <c r="W408" s="29"/>
      <c r="Z408" s="87"/>
    </row>
    <row r="409" spans="1:26" x14ac:dyDescent="0.25">
      <c r="A409" s="29">
        <v>5</v>
      </c>
      <c r="B409" s="375" t="s">
        <v>924</v>
      </c>
      <c r="C409" s="29" t="s">
        <v>579</v>
      </c>
      <c r="D409" s="29" t="s">
        <v>925</v>
      </c>
      <c r="E409" s="235">
        <v>9.75</v>
      </c>
      <c r="F409" s="29">
        <v>20</v>
      </c>
      <c r="G409" s="29" t="s">
        <v>926</v>
      </c>
      <c r="H409" s="29" t="s">
        <v>927</v>
      </c>
      <c r="I409" s="29" t="s">
        <v>899</v>
      </c>
      <c r="J409" s="431">
        <v>3040211003715</v>
      </c>
      <c r="K409" s="185" t="s">
        <v>928</v>
      </c>
      <c r="L409" s="94" t="s">
        <v>116</v>
      </c>
      <c r="M409" s="185" t="s">
        <v>116</v>
      </c>
      <c r="N409" s="29"/>
      <c r="O409" s="29" t="s">
        <v>25</v>
      </c>
      <c r="P409" s="29" t="s">
        <v>25</v>
      </c>
      <c r="Q409" s="29" t="s">
        <v>25</v>
      </c>
      <c r="R409" s="29" t="s">
        <v>25</v>
      </c>
      <c r="S409" s="29"/>
      <c r="T409" s="29"/>
      <c r="U409" s="29"/>
      <c r="V409" s="29"/>
      <c r="W409" s="29"/>
      <c r="Z409" s="87"/>
    </row>
    <row r="410" spans="1:26" x14ac:dyDescent="0.25">
      <c r="A410" s="29">
        <v>6</v>
      </c>
      <c r="B410" s="375" t="s">
        <v>929</v>
      </c>
      <c r="C410" s="29" t="s">
        <v>930</v>
      </c>
      <c r="D410" s="29" t="s">
        <v>886</v>
      </c>
      <c r="E410" s="235">
        <v>4.95</v>
      </c>
      <c r="F410" s="29">
        <v>20</v>
      </c>
      <c r="G410" s="29" t="s">
        <v>931</v>
      </c>
      <c r="H410" s="29" t="s">
        <v>932</v>
      </c>
      <c r="I410" s="29" t="s">
        <v>899</v>
      </c>
      <c r="J410" s="431">
        <v>3030211104998</v>
      </c>
      <c r="K410" s="185" t="s">
        <v>933</v>
      </c>
      <c r="L410" s="375" t="s">
        <v>3629</v>
      </c>
      <c r="M410" s="375" t="s">
        <v>3630</v>
      </c>
      <c r="N410" s="29"/>
      <c r="O410" s="29" t="s">
        <v>25</v>
      </c>
      <c r="P410" s="29" t="s">
        <v>25</v>
      </c>
      <c r="Q410" s="29" t="s">
        <v>25</v>
      </c>
      <c r="R410" s="29" t="s">
        <v>25</v>
      </c>
      <c r="S410" s="29"/>
      <c r="T410" s="29"/>
      <c r="U410" s="29"/>
      <c r="V410" s="29"/>
      <c r="W410" s="29"/>
      <c r="Y410"/>
      <c r="Z410" s="87"/>
    </row>
    <row r="411" spans="1:26" x14ac:dyDescent="0.25">
      <c r="A411" s="29">
        <v>7</v>
      </c>
      <c r="B411" s="375" t="s">
        <v>937</v>
      </c>
      <c r="C411" s="29" t="s">
        <v>938</v>
      </c>
      <c r="D411" s="29" t="s">
        <v>886</v>
      </c>
      <c r="E411" s="235">
        <v>9.6199999999999992</v>
      </c>
      <c r="F411" s="29">
        <v>20</v>
      </c>
      <c r="G411" s="29" t="s">
        <v>939</v>
      </c>
      <c r="H411" s="29" t="s">
        <v>940</v>
      </c>
      <c r="I411" s="29" t="s">
        <v>899</v>
      </c>
      <c r="J411" s="431">
        <v>3030211205462</v>
      </c>
      <c r="K411" s="185" t="s">
        <v>941</v>
      </c>
      <c r="L411" s="375" t="s">
        <v>3632</v>
      </c>
      <c r="M411" s="375" t="s">
        <v>3633</v>
      </c>
      <c r="N411" s="29"/>
      <c r="O411" s="29" t="s">
        <v>25</v>
      </c>
      <c r="P411" s="29" t="s">
        <v>25</v>
      </c>
      <c r="Q411" s="29" t="s">
        <v>25</v>
      </c>
      <c r="R411" s="29" t="s">
        <v>25</v>
      </c>
      <c r="S411" s="29"/>
      <c r="T411" s="29"/>
      <c r="U411" s="29"/>
      <c r="V411" s="29"/>
      <c r="W411" s="29"/>
      <c r="Y411"/>
      <c r="Z411" s="87"/>
    </row>
    <row r="412" spans="1:26" x14ac:dyDescent="0.25">
      <c r="A412" s="29">
        <v>8</v>
      </c>
      <c r="B412" s="29" t="s">
        <v>942</v>
      </c>
      <c r="C412" s="29" t="s">
        <v>943</v>
      </c>
      <c r="D412" s="29" t="s">
        <v>886</v>
      </c>
      <c r="E412" s="235">
        <v>4.68</v>
      </c>
      <c r="F412" s="29">
        <v>20</v>
      </c>
      <c r="G412" s="29" t="s">
        <v>944</v>
      </c>
      <c r="H412" s="29" t="s">
        <v>932</v>
      </c>
      <c r="I412" s="29" t="s">
        <v>899</v>
      </c>
      <c r="J412" s="431">
        <v>3030220105863</v>
      </c>
      <c r="K412" s="185" t="s">
        <v>945</v>
      </c>
      <c r="L412" s="375" t="s">
        <v>116</v>
      </c>
      <c r="M412" s="375" t="s">
        <v>116</v>
      </c>
      <c r="N412" s="29"/>
      <c r="O412" s="29" t="s">
        <v>25</v>
      </c>
      <c r="P412" s="29" t="s">
        <v>25</v>
      </c>
      <c r="Q412" s="29" t="s">
        <v>25</v>
      </c>
      <c r="R412" s="29" t="s">
        <v>25</v>
      </c>
      <c r="S412" s="29"/>
      <c r="T412" s="29"/>
      <c r="U412" s="29"/>
      <c r="V412" s="29"/>
      <c r="W412" s="29"/>
      <c r="Y412"/>
      <c r="Z412" s="87"/>
    </row>
    <row r="413" spans="1:26" x14ac:dyDescent="0.25">
      <c r="A413" s="29">
        <v>9</v>
      </c>
      <c r="B413" s="375" t="s">
        <v>946</v>
      </c>
      <c r="C413" s="29" t="s">
        <v>947</v>
      </c>
      <c r="D413" s="29" t="s">
        <v>886</v>
      </c>
      <c r="E413" s="235">
        <v>3</v>
      </c>
      <c r="F413" s="29">
        <v>20</v>
      </c>
      <c r="G413" s="29" t="s">
        <v>948</v>
      </c>
      <c r="H413" s="29" t="s">
        <v>932</v>
      </c>
      <c r="I413" s="29" t="s">
        <v>899</v>
      </c>
      <c r="J413" s="431">
        <v>3030220105986</v>
      </c>
      <c r="K413" s="185" t="s">
        <v>949</v>
      </c>
      <c r="L413" s="375" t="s">
        <v>3634</v>
      </c>
      <c r="M413" s="375" t="s">
        <v>3630</v>
      </c>
      <c r="N413" s="29"/>
      <c r="O413" s="29" t="s">
        <v>25</v>
      </c>
      <c r="P413" s="29" t="s">
        <v>25</v>
      </c>
      <c r="Q413" s="29" t="s">
        <v>25</v>
      </c>
      <c r="R413" s="29" t="s">
        <v>25</v>
      </c>
      <c r="S413" s="29"/>
      <c r="T413" s="29"/>
      <c r="U413" s="29"/>
      <c r="V413" s="29"/>
      <c r="W413" s="29"/>
      <c r="Y413"/>
      <c r="Z413" s="87"/>
    </row>
    <row r="414" spans="1:26" x14ac:dyDescent="0.25">
      <c r="A414" s="29">
        <v>10</v>
      </c>
      <c r="B414" s="29" t="s">
        <v>950</v>
      </c>
      <c r="C414" s="29" t="s">
        <v>951</v>
      </c>
      <c r="D414" s="29" t="s">
        <v>921</v>
      </c>
      <c r="E414" s="235">
        <v>4.9995000000000003</v>
      </c>
      <c r="F414" s="29">
        <v>20</v>
      </c>
      <c r="G414" s="29" t="s">
        <v>952</v>
      </c>
      <c r="H414" s="29" t="s">
        <v>932</v>
      </c>
      <c r="I414" s="29" t="s">
        <v>899</v>
      </c>
      <c r="J414" s="431">
        <v>3010220311589</v>
      </c>
      <c r="K414" s="185" t="s">
        <v>953</v>
      </c>
      <c r="L414" s="94" t="s">
        <v>116</v>
      </c>
      <c r="M414" s="185" t="s">
        <v>116</v>
      </c>
      <c r="N414" s="29"/>
      <c r="O414" s="29" t="s">
        <v>25</v>
      </c>
      <c r="P414" s="29" t="s">
        <v>25</v>
      </c>
      <c r="Q414" s="29" t="s">
        <v>25</v>
      </c>
      <c r="R414" s="29" t="s">
        <v>25</v>
      </c>
      <c r="S414" s="29"/>
      <c r="T414" s="29"/>
      <c r="U414" s="29"/>
      <c r="V414" s="29"/>
      <c r="W414" s="29"/>
      <c r="Y414"/>
      <c r="Z414" s="87"/>
    </row>
    <row r="415" spans="1:26" x14ac:dyDescent="0.25">
      <c r="A415" s="29">
        <v>11</v>
      </c>
      <c r="B415" s="29" t="s">
        <v>954</v>
      </c>
      <c r="C415" s="29" t="s">
        <v>951</v>
      </c>
      <c r="D415" s="29" t="s">
        <v>874</v>
      </c>
      <c r="E415" s="235">
        <v>66</v>
      </c>
      <c r="F415" s="29">
        <v>110</v>
      </c>
      <c r="G415" s="29" t="s">
        <v>955</v>
      </c>
      <c r="H415" s="29" t="s">
        <v>956</v>
      </c>
      <c r="I415" s="29" t="s">
        <v>899</v>
      </c>
      <c r="J415" s="431">
        <v>3050210201135</v>
      </c>
      <c r="K415" s="185" t="s">
        <v>957</v>
      </c>
      <c r="L415" s="73">
        <v>362</v>
      </c>
      <c r="M415" s="185" t="s">
        <v>595</v>
      </c>
      <c r="N415" s="29"/>
      <c r="O415" s="29" t="s">
        <v>25</v>
      </c>
      <c r="P415" s="29" t="s">
        <v>25</v>
      </c>
      <c r="Q415" s="29" t="s">
        <v>25</v>
      </c>
      <c r="R415" s="29" t="s">
        <v>25</v>
      </c>
      <c r="S415" s="29"/>
      <c r="T415" s="29"/>
      <c r="U415" s="29"/>
      <c r="V415" s="29"/>
      <c r="W415" s="29"/>
      <c r="Y415"/>
      <c r="Z415" s="87"/>
    </row>
    <row r="416" spans="1:26" x14ac:dyDescent="0.25">
      <c r="A416" s="29">
        <v>12</v>
      </c>
      <c r="B416" s="375" t="s">
        <v>1176</v>
      </c>
      <c r="C416" s="29" t="s">
        <v>951</v>
      </c>
      <c r="D416" s="29" t="s">
        <v>900</v>
      </c>
      <c r="E416" s="235">
        <v>44.953479999999999</v>
      </c>
      <c r="F416" s="29">
        <v>110</v>
      </c>
      <c r="G416" s="29" t="s">
        <v>1312</v>
      </c>
      <c r="H416" s="29" t="s">
        <v>1313</v>
      </c>
      <c r="I416" s="29" t="s">
        <v>899</v>
      </c>
      <c r="J416" s="431" t="s">
        <v>1177</v>
      </c>
      <c r="K416" s="185" t="s">
        <v>1178</v>
      </c>
      <c r="L416" s="375" t="s">
        <v>3636</v>
      </c>
      <c r="M416" s="427">
        <v>45055</v>
      </c>
      <c r="N416" s="29"/>
      <c r="O416" s="29" t="s">
        <v>25</v>
      </c>
      <c r="P416" s="29" t="s">
        <v>25</v>
      </c>
      <c r="Q416" s="29" t="s">
        <v>25</v>
      </c>
      <c r="R416" s="29" t="s">
        <v>25</v>
      </c>
      <c r="S416" s="29"/>
      <c r="T416" s="29"/>
      <c r="U416" s="29"/>
      <c r="V416" s="29"/>
      <c r="W416" s="29"/>
      <c r="Y416"/>
      <c r="Z416" s="87"/>
    </row>
    <row r="417" spans="1:26" x14ac:dyDescent="0.25">
      <c r="A417" s="29">
        <v>13</v>
      </c>
      <c r="B417" s="411" t="s">
        <v>1320</v>
      </c>
      <c r="C417" s="29" t="s">
        <v>951</v>
      </c>
      <c r="D417" s="29" t="s">
        <v>886</v>
      </c>
      <c r="E417" s="235">
        <v>9.75</v>
      </c>
      <c r="F417" s="29">
        <v>20</v>
      </c>
      <c r="G417" s="29" t="s">
        <v>958</v>
      </c>
      <c r="H417" s="29" t="s">
        <v>1321</v>
      </c>
      <c r="I417" s="29" t="s">
        <v>899</v>
      </c>
      <c r="J417" s="431">
        <v>3030220206365</v>
      </c>
      <c r="K417" s="185" t="s">
        <v>998</v>
      </c>
      <c r="L417" s="375" t="s">
        <v>3637</v>
      </c>
      <c r="M417" s="427">
        <v>45069</v>
      </c>
      <c r="N417" s="29"/>
      <c r="O417" s="29" t="s">
        <v>25</v>
      </c>
      <c r="P417" s="29" t="s">
        <v>25</v>
      </c>
      <c r="Q417" s="29" t="s">
        <v>25</v>
      </c>
      <c r="R417" s="29" t="s">
        <v>25</v>
      </c>
      <c r="S417" s="29"/>
      <c r="T417" s="29"/>
      <c r="U417" s="29"/>
      <c r="V417" s="29"/>
      <c r="W417" s="29"/>
      <c r="Y417"/>
      <c r="Z417" s="87"/>
    </row>
    <row r="418" spans="1:26" x14ac:dyDescent="0.25">
      <c r="A418" s="29">
        <v>14</v>
      </c>
      <c r="B418" s="411" t="s">
        <v>1694</v>
      </c>
      <c r="C418" s="177" t="s">
        <v>951</v>
      </c>
      <c r="D418" s="177" t="s">
        <v>900</v>
      </c>
      <c r="E418" s="236">
        <v>14</v>
      </c>
      <c r="F418" s="177">
        <v>110</v>
      </c>
      <c r="G418" s="177" t="s">
        <v>1695</v>
      </c>
      <c r="H418" s="177" t="s">
        <v>1696</v>
      </c>
      <c r="I418" s="29" t="s">
        <v>899</v>
      </c>
      <c r="J418" s="432" t="s">
        <v>1697</v>
      </c>
      <c r="K418" s="186" t="s">
        <v>1698</v>
      </c>
      <c r="L418" s="411" t="s">
        <v>3638</v>
      </c>
      <c r="M418" s="411" t="s">
        <v>3639</v>
      </c>
      <c r="N418" s="177"/>
      <c r="O418" s="177" t="s">
        <v>25</v>
      </c>
      <c r="P418" s="177" t="s">
        <v>25</v>
      </c>
      <c r="Q418" s="177" t="s">
        <v>25</v>
      </c>
      <c r="R418" s="177" t="s">
        <v>25</v>
      </c>
      <c r="S418" s="177"/>
      <c r="T418" s="177"/>
      <c r="U418" s="177"/>
      <c r="V418" s="177"/>
      <c r="W418" s="29"/>
      <c r="Y418"/>
      <c r="Z418" s="87"/>
    </row>
    <row r="419" spans="1:26" x14ac:dyDescent="0.25">
      <c r="A419" s="29">
        <v>15</v>
      </c>
      <c r="B419" s="411" t="s">
        <v>1798</v>
      </c>
      <c r="C419" s="177" t="s">
        <v>951</v>
      </c>
      <c r="D419" s="177" t="s">
        <v>921</v>
      </c>
      <c r="E419" s="236" t="s">
        <v>1799</v>
      </c>
      <c r="F419" s="177">
        <v>20</v>
      </c>
      <c r="G419" s="177" t="s">
        <v>1800</v>
      </c>
      <c r="H419" s="177" t="s">
        <v>1801</v>
      </c>
      <c r="I419" s="29" t="s">
        <v>899</v>
      </c>
      <c r="J419" s="432">
        <v>3010220311658</v>
      </c>
      <c r="K419" s="186" t="s">
        <v>1329</v>
      </c>
      <c r="L419" s="411" t="s">
        <v>3635</v>
      </c>
      <c r="M419" s="412">
        <v>44959</v>
      </c>
      <c r="N419" s="177"/>
      <c r="O419" s="177" t="s">
        <v>25</v>
      </c>
      <c r="P419" s="177" t="s">
        <v>25</v>
      </c>
      <c r="Q419" s="177" t="s">
        <v>25</v>
      </c>
      <c r="R419" s="177" t="s">
        <v>25</v>
      </c>
      <c r="S419" s="177"/>
      <c r="T419" s="177"/>
      <c r="U419" s="177"/>
      <c r="V419" s="177"/>
      <c r="W419" s="29"/>
      <c r="Y419"/>
      <c r="Z419" s="87"/>
    </row>
    <row r="420" spans="1:26" x14ac:dyDescent="0.25">
      <c r="A420" s="29">
        <v>16</v>
      </c>
      <c r="B420" s="411" t="s">
        <v>1818</v>
      </c>
      <c r="C420" s="177" t="s">
        <v>951</v>
      </c>
      <c r="D420" s="177" t="s">
        <v>874</v>
      </c>
      <c r="E420" s="236">
        <v>6.7</v>
      </c>
      <c r="F420" s="177">
        <v>20</v>
      </c>
      <c r="G420" s="177" t="s">
        <v>1819</v>
      </c>
      <c r="H420" s="177" t="s">
        <v>1820</v>
      </c>
      <c r="I420" s="29" t="s">
        <v>899</v>
      </c>
      <c r="J420" s="433">
        <v>3050220812711</v>
      </c>
      <c r="K420" s="186" t="s">
        <v>1802</v>
      </c>
      <c r="L420" s="411" t="s">
        <v>3554</v>
      </c>
      <c r="M420" s="412">
        <v>45181</v>
      </c>
      <c r="N420" s="177"/>
      <c r="O420" s="177" t="s">
        <v>25</v>
      </c>
      <c r="P420" s="177" t="s">
        <v>25</v>
      </c>
      <c r="Q420" s="177" t="s">
        <v>25</v>
      </c>
      <c r="R420" s="177" t="s">
        <v>25</v>
      </c>
      <c r="S420" s="177"/>
      <c r="T420" s="177"/>
      <c r="U420" s="177"/>
      <c r="V420" s="177"/>
      <c r="W420" s="177"/>
      <c r="Y420"/>
      <c r="Z420" s="87"/>
    </row>
    <row r="421" spans="1:26" x14ac:dyDescent="0.25">
      <c r="A421" s="29">
        <v>17</v>
      </c>
      <c r="B421" s="249" t="s">
        <v>2327</v>
      </c>
      <c r="C421" s="136" t="s">
        <v>951</v>
      </c>
      <c r="D421" s="136"/>
      <c r="E421" s="136">
        <v>4.5</v>
      </c>
      <c r="F421" s="136">
        <v>20</v>
      </c>
      <c r="G421" s="136" t="s">
        <v>2328</v>
      </c>
      <c r="H421" s="136" t="s">
        <v>916</v>
      </c>
      <c r="I421" s="29" t="s">
        <v>899</v>
      </c>
      <c r="J421" s="308">
        <v>3020221008507</v>
      </c>
      <c r="K421" s="187">
        <v>44959</v>
      </c>
      <c r="L421" s="136"/>
      <c r="M421" s="136"/>
      <c r="N421" s="136"/>
      <c r="O421" s="136" t="s">
        <v>25</v>
      </c>
      <c r="P421" s="136" t="s">
        <v>25</v>
      </c>
      <c r="Q421" s="136" t="s">
        <v>25</v>
      </c>
      <c r="R421" s="136" t="s">
        <v>25</v>
      </c>
      <c r="S421" s="237"/>
      <c r="T421" s="136"/>
      <c r="U421" s="136"/>
      <c r="V421" s="136"/>
      <c r="W421" s="136"/>
      <c r="Y421"/>
      <c r="Z421" s="87"/>
    </row>
    <row r="422" spans="1:26" x14ac:dyDescent="0.25">
      <c r="A422" s="29">
        <v>18</v>
      </c>
      <c r="B422" s="249" t="s">
        <v>2408</v>
      </c>
      <c r="C422" s="136" t="s">
        <v>2409</v>
      </c>
      <c r="D422" s="136" t="s">
        <v>859</v>
      </c>
      <c r="E422" s="136">
        <v>2.95</v>
      </c>
      <c r="F422" s="136">
        <v>20</v>
      </c>
      <c r="G422" s="136" t="s">
        <v>2410</v>
      </c>
      <c r="H422" s="136" t="s">
        <v>963</v>
      </c>
      <c r="I422" s="136" t="s">
        <v>2411</v>
      </c>
      <c r="J422" s="308">
        <v>3020211008647</v>
      </c>
      <c r="K422" s="187">
        <v>44858</v>
      </c>
      <c r="L422" s="136" t="s">
        <v>2412</v>
      </c>
      <c r="M422" s="187">
        <v>44986</v>
      </c>
      <c r="N422" s="136"/>
      <c r="O422" s="136" t="s">
        <v>25</v>
      </c>
      <c r="P422" s="136" t="s">
        <v>25</v>
      </c>
      <c r="Q422" s="136" t="s">
        <v>25</v>
      </c>
      <c r="R422" s="136" t="s">
        <v>25</v>
      </c>
      <c r="S422" s="237"/>
      <c r="T422" s="136"/>
      <c r="U422" s="136"/>
      <c r="V422" s="136"/>
      <c r="W422" s="136"/>
      <c r="Y422"/>
      <c r="Z422" s="87"/>
    </row>
    <row r="423" spans="1:26" x14ac:dyDescent="0.25">
      <c r="A423" s="29">
        <v>19</v>
      </c>
      <c r="B423" s="249" t="s">
        <v>2408</v>
      </c>
      <c r="C423" s="136" t="s">
        <v>2413</v>
      </c>
      <c r="D423" s="136" t="s">
        <v>859</v>
      </c>
      <c r="E423" s="136">
        <v>1.3</v>
      </c>
      <c r="F423" s="136">
        <v>20</v>
      </c>
      <c r="G423" s="136" t="s">
        <v>2414</v>
      </c>
      <c r="H423" s="136" t="s">
        <v>963</v>
      </c>
      <c r="I423" s="136" t="s">
        <v>2411</v>
      </c>
      <c r="J423" s="308">
        <v>3020211008648</v>
      </c>
      <c r="K423" s="187">
        <v>44858</v>
      </c>
      <c r="L423" s="136" t="s">
        <v>2415</v>
      </c>
      <c r="M423" s="187">
        <v>44986</v>
      </c>
      <c r="N423" s="136"/>
      <c r="O423" s="136" t="s">
        <v>25</v>
      </c>
      <c r="P423" s="136" t="s">
        <v>25</v>
      </c>
      <c r="Q423" s="136" t="s">
        <v>25</v>
      </c>
      <c r="R423" s="136" t="s">
        <v>25</v>
      </c>
      <c r="S423" s="136"/>
      <c r="T423" s="136"/>
      <c r="U423" s="136"/>
      <c r="V423" s="136"/>
      <c r="W423" s="136"/>
      <c r="Y423"/>
      <c r="Z423" s="87"/>
    </row>
    <row r="424" spans="1:26" x14ac:dyDescent="0.25">
      <c r="A424" s="29">
        <v>20</v>
      </c>
      <c r="B424" s="249" t="s">
        <v>2453</v>
      </c>
      <c r="C424" s="136" t="s">
        <v>2454</v>
      </c>
      <c r="D424" s="136" t="s">
        <v>925</v>
      </c>
      <c r="E424" s="136">
        <v>3</v>
      </c>
      <c r="F424" s="136">
        <v>20</v>
      </c>
      <c r="G424" s="136" t="s">
        <v>2455</v>
      </c>
      <c r="H424" s="136" t="s">
        <v>963</v>
      </c>
      <c r="I424" s="136" t="s">
        <v>2411</v>
      </c>
      <c r="J424" s="308">
        <v>3040221007909</v>
      </c>
      <c r="K424" s="187">
        <v>44995</v>
      </c>
      <c r="L424" s="136"/>
      <c r="M424" s="136"/>
      <c r="N424" s="136"/>
      <c r="O424" s="136" t="s">
        <v>25</v>
      </c>
      <c r="P424" s="136" t="s">
        <v>25</v>
      </c>
      <c r="Q424" s="136" t="s">
        <v>25</v>
      </c>
      <c r="R424" s="136" t="s">
        <v>25</v>
      </c>
      <c r="S424" s="136"/>
      <c r="T424" s="136"/>
      <c r="U424" s="136"/>
      <c r="V424" s="136"/>
      <c r="W424" s="136"/>
      <c r="Y424"/>
      <c r="Z424" s="87"/>
    </row>
    <row r="425" spans="1:26" x14ac:dyDescent="0.25">
      <c r="A425" s="29">
        <v>21</v>
      </c>
      <c r="B425" s="249" t="s">
        <v>2456</v>
      </c>
      <c r="C425" s="136" t="s">
        <v>2457</v>
      </c>
      <c r="D425" s="136" t="s">
        <v>921</v>
      </c>
      <c r="E425" s="136">
        <v>9.74</v>
      </c>
      <c r="F425" s="136">
        <v>20</v>
      </c>
      <c r="G425" s="136" t="s">
        <v>2458</v>
      </c>
      <c r="H425" s="136" t="s">
        <v>963</v>
      </c>
      <c r="I425" s="136" t="s">
        <v>2411</v>
      </c>
      <c r="J425" s="308">
        <v>3010220311687</v>
      </c>
      <c r="K425" s="187">
        <v>44727</v>
      </c>
      <c r="L425" s="136" t="s">
        <v>2459</v>
      </c>
      <c r="M425" s="187">
        <v>44998</v>
      </c>
      <c r="N425" s="136"/>
      <c r="O425" s="136" t="s">
        <v>25</v>
      </c>
      <c r="P425" s="136" t="s">
        <v>25</v>
      </c>
      <c r="Q425" s="136" t="s">
        <v>25</v>
      </c>
      <c r="R425" s="136" t="s">
        <v>25</v>
      </c>
      <c r="S425" s="136"/>
      <c r="T425" s="136"/>
      <c r="U425" s="136"/>
      <c r="V425" s="136"/>
      <c r="W425" s="136"/>
      <c r="Y425"/>
      <c r="Z425" s="87"/>
    </row>
    <row r="426" spans="1:26" x14ac:dyDescent="0.25">
      <c r="A426" s="29">
        <v>22</v>
      </c>
      <c r="B426" s="249" t="s">
        <v>2476</v>
      </c>
      <c r="C426" s="136" t="s">
        <v>2477</v>
      </c>
      <c r="D426" s="136" t="s">
        <v>900</v>
      </c>
      <c r="E426" s="136">
        <v>2.625</v>
      </c>
      <c r="F426" s="136">
        <v>20</v>
      </c>
      <c r="G426" s="136" t="s">
        <v>2478</v>
      </c>
      <c r="H426" s="136" t="s">
        <v>2479</v>
      </c>
      <c r="I426" s="136" t="s">
        <v>2411</v>
      </c>
      <c r="J426" s="308">
        <v>3060220107380</v>
      </c>
      <c r="K426" s="187">
        <v>44907</v>
      </c>
      <c r="L426" s="136" t="s">
        <v>4132</v>
      </c>
      <c r="M426" s="187">
        <v>45044</v>
      </c>
      <c r="N426" s="136"/>
      <c r="O426" s="136" t="s">
        <v>25</v>
      </c>
      <c r="P426" s="136" t="s">
        <v>25</v>
      </c>
      <c r="Q426" s="136" t="s">
        <v>25</v>
      </c>
      <c r="R426" s="136" t="s">
        <v>25</v>
      </c>
      <c r="S426" s="136"/>
      <c r="T426" s="136"/>
      <c r="U426" s="136"/>
      <c r="V426" s="136"/>
      <c r="W426" s="136"/>
      <c r="Y426"/>
      <c r="Z426" s="87"/>
    </row>
    <row r="427" spans="1:26" x14ac:dyDescent="0.25">
      <c r="A427" s="29">
        <v>23</v>
      </c>
      <c r="B427" s="249" t="s">
        <v>2538</v>
      </c>
      <c r="C427" s="136" t="s">
        <v>1426</v>
      </c>
      <c r="D427" s="136" t="s">
        <v>900</v>
      </c>
      <c r="E427" s="136">
        <v>5.7915000000000001</v>
      </c>
      <c r="F427" s="136">
        <v>20</v>
      </c>
      <c r="G427" s="136" t="s">
        <v>2539</v>
      </c>
      <c r="H427" s="136" t="s">
        <v>2540</v>
      </c>
      <c r="I427" s="136" t="s">
        <v>2411</v>
      </c>
      <c r="J427" s="308">
        <v>3060220308804</v>
      </c>
      <c r="K427" s="187">
        <v>44994</v>
      </c>
      <c r="L427" s="136"/>
      <c r="M427" s="136"/>
      <c r="N427" s="136"/>
      <c r="O427" s="136" t="s">
        <v>25</v>
      </c>
      <c r="P427" s="136" t="s">
        <v>25</v>
      </c>
      <c r="Q427" s="136" t="s">
        <v>25</v>
      </c>
      <c r="R427" s="136"/>
      <c r="S427" s="136"/>
      <c r="T427" s="136"/>
      <c r="U427" s="136"/>
      <c r="V427" s="136"/>
      <c r="W427" s="136"/>
      <c r="Y427"/>
      <c r="Z427" s="87"/>
    </row>
    <row r="428" spans="1:26" x14ac:dyDescent="0.25">
      <c r="A428" s="29">
        <v>24</v>
      </c>
      <c r="B428" s="249" t="s">
        <v>2541</v>
      </c>
      <c r="C428" s="136" t="s">
        <v>2542</v>
      </c>
      <c r="D428" s="136" t="s">
        <v>925</v>
      </c>
      <c r="E428" s="136">
        <v>2</v>
      </c>
      <c r="F428" s="136">
        <v>20</v>
      </c>
      <c r="G428" s="136" t="s">
        <v>2543</v>
      </c>
      <c r="H428" s="136"/>
      <c r="I428" s="136" t="s">
        <v>2411</v>
      </c>
      <c r="J428" s="308">
        <v>3040220506163</v>
      </c>
      <c r="K428" s="187">
        <v>45009</v>
      </c>
      <c r="L428" s="136"/>
      <c r="M428" s="136"/>
      <c r="N428" s="136"/>
      <c r="O428" s="136" t="s">
        <v>25</v>
      </c>
      <c r="P428" s="136" t="s">
        <v>25</v>
      </c>
      <c r="Q428" s="136" t="s">
        <v>25</v>
      </c>
      <c r="R428" s="136"/>
      <c r="S428" s="136"/>
      <c r="T428" s="136"/>
      <c r="U428" s="136"/>
      <c r="V428" s="136"/>
      <c r="W428" s="136"/>
      <c r="Y428"/>
      <c r="Z428" s="87"/>
    </row>
    <row r="429" spans="1:26" x14ac:dyDescent="0.25">
      <c r="A429" s="29">
        <v>25</v>
      </c>
      <c r="B429" s="249" t="s">
        <v>2544</v>
      </c>
      <c r="C429" s="136" t="s">
        <v>2545</v>
      </c>
      <c r="D429" s="136" t="s">
        <v>2546</v>
      </c>
      <c r="E429" s="136">
        <v>27</v>
      </c>
      <c r="F429" s="136">
        <v>110</v>
      </c>
      <c r="G429" s="136" t="s">
        <v>2547</v>
      </c>
      <c r="H429" s="136" t="s">
        <v>2548</v>
      </c>
      <c r="I429" s="136" t="s">
        <v>2411</v>
      </c>
      <c r="J429" s="308">
        <v>3010220614919</v>
      </c>
      <c r="K429" s="187">
        <v>45012</v>
      </c>
      <c r="L429" s="136"/>
      <c r="M429" s="136"/>
      <c r="N429" s="136"/>
      <c r="O429" s="136" t="s">
        <v>25</v>
      </c>
      <c r="P429" s="136" t="s">
        <v>25</v>
      </c>
      <c r="Q429" s="136" t="s">
        <v>25</v>
      </c>
      <c r="R429" s="136"/>
      <c r="S429" s="136"/>
      <c r="T429" s="136"/>
      <c r="U429" s="136"/>
      <c r="V429" s="136"/>
      <c r="W429" s="136"/>
      <c r="Y429"/>
      <c r="Z429" s="87"/>
    </row>
    <row r="430" spans="1:26" x14ac:dyDescent="0.25">
      <c r="A430" s="29">
        <v>26</v>
      </c>
      <c r="B430" s="249" t="s">
        <v>2549</v>
      </c>
      <c r="C430" s="136" t="s">
        <v>2550</v>
      </c>
      <c r="D430" s="136" t="s">
        <v>859</v>
      </c>
      <c r="E430" s="136">
        <v>7.25</v>
      </c>
      <c r="F430" s="136">
        <v>20</v>
      </c>
      <c r="G430" s="136" t="s">
        <v>2551</v>
      </c>
      <c r="H430" s="136"/>
      <c r="I430" s="136" t="s">
        <v>2411</v>
      </c>
      <c r="J430" s="308">
        <v>3020220807659</v>
      </c>
      <c r="K430" s="187">
        <v>45001</v>
      </c>
      <c r="L430" s="136"/>
      <c r="M430" s="136"/>
      <c r="N430" s="136"/>
      <c r="O430" s="136" t="s">
        <v>25</v>
      </c>
      <c r="P430" s="136" t="s">
        <v>25</v>
      </c>
      <c r="Q430" s="136" t="s">
        <v>25</v>
      </c>
      <c r="R430" s="136"/>
      <c r="S430" s="136"/>
      <c r="T430" s="136"/>
      <c r="U430" s="136"/>
      <c r="V430" s="136"/>
      <c r="W430" s="136"/>
      <c r="Y430"/>
      <c r="Z430" s="87"/>
    </row>
    <row r="431" spans="1:26" x14ac:dyDescent="0.25">
      <c r="A431" s="29">
        <v>27</v>
      </c>
      <c r="B431" s="249" t="s">
        <v>2552</v>
      </c>
      <c r="C431" s="136" t="s">
        <v>2409</v>
      </c>
      <c r="D431" s="136" t="s">
        <v>2460</v>
      </c>
      <c r="E431" s="136">
        <v>9.9</v>
      </c>
      <c r="F431" s="136">
        <v>20</v>
      </c>
      <c r="G431" s="136" t="s">
        <v>2553</v>
      </c>
      <c r="H431" s="136" t="s">
        <v>2554</v>
      </c>
      <c r="I431" s="136" t="s">
        <v>2411</v>
      </c>
      <c r="J431" s="308">
        <v>3020221108995</v>
      </c>
      <c r="K431" s="187">
        <v>45006</v>
      </c>
      <c r="L431" s="136"/>
      <c r="M431" s="136"/>
      <c r="N431" s="136"/>
      <c r="O431" s="136" t="s">
        <v>25</v>
      </c>
      <c r="P431" s="136" t="s">
        <v>25</v>
      </c>
      <c r="Q431" s="136" t="s">
        <v>25</v>
      </c>
      <c r="R431" s="136"/>
      <c r="S431" s="136"/>
      <c r="T431" s="136"/>
      <c r="U431" s="136"/>
      <c r="V431" s="136"/>
      <c r="W431" s="136"/>
      <c r="Y431"/>
      <c r="Z431" s="87"/>
    </row>
    <row r="432" spans="1:26" x14ac:dyDescent="0.25">
      <c r="A432" s="29">
        <v>28</v>
      </c>
      <c r="B432" s="249" t="s">
        <v>2590</v>
      </c>
      <c r="C432" s="136" t="s">
        <v>886</v>
      </c>
      <c r="D432" s="136" t="s">
        <v>886</v>
      </c>
      <c r="E432" s="136">
        <v>1</v>
      </c>
      <c r="F432" s="136">
        <v>20</v>
      </c>
      <c r="G432" s="136" t="s">
        <v>2591</v>
      </c>
      <c r="H432" s="136" t="s">
        <v>964</v>
      </c>
      <c r="I432" s="136" t="s">
        <v>2411</v>
      </c>
      <c r="J432" s="308">
        <v>3030230413818</v>
      </c>
      <c r="K432" s="187">
        <v>45035</v>
      </c>
      <c r="L432" s="136" t="s">
        <v>3899</v>
      </c>
      <c r="M432" s="187">
        <v>45233</v>
      </c>
      <c r="N432" s="136"/>
      <c r="O432" s="136" t="s">
        <v>25</v>
      </c>
      <c r="P432" s="136" t="s">
        <v>25</v>
      </c>
      <c r="Q432" s="136" t="s">
        <v>25</v>
      </c>
      <c r="R432" s="136"/>
      <c r="S432" s="136"/>
      <c r="T432" s="136"/>
      <c r="U432" s="136"/>
      <c r="V432" s="136"/>
      <c r="W432" s="136"/>
      <c r="Y432"/>
      <c r="Z432" s="87"/>
    </row>
    <row r="433" spans="1:26" x14ac:dyDescent="0.25">
      <c r="A433" s="29">
        <v>29</v>
      </c>
      <c r="B433" s="249" t="s">
        <v>2592</v>
      </c>
      <c r="C433" s="136" t="s">
        <v>2593</v>
      </c>
      <c r="D433" s="136" t="s">
        <v>2546</v>
      </c>
      <c r="E433" s="136">
        <v>1.25</v>
      </c>
      <c r="F433" s="136">
        <v>20</v>
      </c>
      <c r="G433" s="136" t="s">
        <v>2594</v>
      </c>
      <c r="H433" s="136" t="s">
        <v>964</v>
      </c>
      <c r="I433" s="136" t="s">
        <v>2411</v>
      </c>
      <c r="J433" s="308">
        <v>3010230425674</v>
      </c>
      <c r="K433" s="187">
        <v>45026</v>
      </c>
      <c r="L433" s="136"/>
      <c r="M433" s="136"/>
      <c r="N433" s="136"/>
      <c r="O433" s="136" t="s">
        <v>25</v>
      </c>
      <c r="P433" s="136" t="s">
        <v>25</v>
      </c>
      <c r="Q433" s="136" t="s">
        <v>25</v>
      </c>
      <c r="R433" s="136"/>
      <c r="S433" s="136"/>
      <c r="T433" s="136"/>
      <c r="U433" s="136"/>
      <c r="V433" s="136"/>
      <c r="W433" s="136"/>
      <c r="Y433"/>
      <c r="Z433" s="87"/>
    </row>
    <row r="434" spans="1:26" x14ac:dyDescent="0.25">
      <c r="A434" s="29">
        <v>30</v>
      </c>
      <c r="B434" s="249" t="s">
        <v>2824</v>
      </c>
      <c r="C434" s="136" t="s">
        <v>2825</v>
      </c>
      <c r="D434" s="136" t="s">
        <v>874</v>
      </c>
      <c r="E434" s="215">
        <v>2.625</v>
      </c>
      <c r="F434" s="136">
        <v>20</v>
      </c>
      <c r="G434" s="136" t="s">
        <v>2826</v>
      </c>
      <c r="H434" s="136" t="s">
        <v>963</v>
      </c>
      <c r="I434" s="136" t="s">
        <v>2411</v>
      </c>
      <c r="J434" s="308">
        <v>3050211006877</v>
      </c>
      <c r="K434" s="187">
        <v>45035</v>
      </c>
      <c r="L434" s="136"/>
      <c r="M434" s="136"/>
      <c r="N434" s="136"/>
      <c r="O434" s="136" t="s">
        <v>25</v>
      </c>
      <c r="P434" s="136" t="s">
        <v>25</v>
      </c>
      <c r="Q434" s="136" t="s">
        <v>25</v>
      </c>
      <c r="R434" s="136"/>
      <c r="S434" s="136"/>
      <c r="T434" s="136"/>
      <c r="U434" s="136"/>
      <c r="V434" s="136"/>
      <c r="W434" s="136"/>
      <c r="Y434"/>
      <c r="Z434" s="87"/>
    </row>
    <row r="435" spans="1:26" x14ac:dyDescent="0.25">
      <c r="A435" s="29">
        <v>31</v>
      </c>
      <c r="B435" s="249" t="s">
        <v>2828</v>
      </c>
      <c r="C435" s="136" t="s">
        <v>2829</v>
      </c>
      <c r="D435" s="136" t="s">
        <v>917</v>
      </c>
      <c r="E435" s="215">
        <v>16</v>
      </c>
      <c r="F435" s="136">
        <v>20</v>
      </c>
      <c r="G435" s="136" t="s">
        <v>2830</v>
      </c>
      <c r="H435" s="136" t="s">
        <v>963</v>
      </c>
      <c r="I435" s="136" t="s">
        <v>2411</v>
      </c>
      <c r="J435" s="308">
        <v>3060220811954</v>
      </c>
      <c r="K435" s="187">
        <v>45042</v>
      </c>
      <c r="L435" s="249"/>
      <c r="M435" s="249"/>
      <c r="N435" s="136"/>
      <c r="O435" s="136" t="s">
        <v>25</v>
      </c>
      <c r="P435" s="136" t="s">
        <v>25</v>
      </c>
      <c r="Q435" s="136" t="s">
        <v>25</v>
      </c>
      <c r="R435" s="136"/>
      <c r="S435" s="136"/>
      <c r="T435" s="136"/>
      <c r="U435" s="136"/>
      <c r="V435" s="136"/>
      <c r="W435" s="136"/>
      <c r="Y435"/>
      <c r="Z435" s="87"/>
    </row>
    <row r="436" spans="1:26" x14ac:dyDescent="0.25">
      <c r="A436" s="29">
        <v>32</v>
      </c>
      <c r="B436" s="249" t="s">
        <v>2831</v>
      </c>
      <c r="C436" s="136" t="s">
        <v>2832</v>
      </c>
      <c r="D436" s="136" t="s">
        <v>900</v>
      </c>
      <c r="E436" s="215">
        <v>4.5999999999999996</v>
      </c>
      <c r="F436" s="136">
        <v>20</v>
      </c>
      <c r="G436" s="136" t="s">
        <v>2833</v>
      </c>
      <c r="H436" s="136" t="s">
        <v>963</v>
      </c>
      <c r="I436" s="136" t="s">
        <v>2411</v>
      </c>
      <c r="J436" s="308">
        <v>3060220912298</v>
      </c>
      <c r="K436" s="187">
        <v>45043</v>
      </c>
      <c r="L436" s="249" t="s">
        <v>3640</v>
      </c>
      <c r="M436" s="430">
        <v>45188</v>
      </c>
      <c r="N436" s="136"/>
      <c r="O436" s="136" t="s">
        <v>25</v>
      </c>
      <c r="P436" s="136" t="s">
        <v>25</v>
      </c>
      <c r="Q436" s="136" t="s">
        <v>25</v>
      </c>
      <c r="R436" s="136"/>
      <c r="S436" s="136"/>
      <c r="T436" s="136"/>
      <c r="U436" s="136"/>
      <c r="V436" s="136"/>
      <c r="W436" s="136"/>
      <c r="Y436"/>
      <c r="Z436" s="87"/>
    </row>
    <row r="437" spans="1:26" x14ac:dyDescent="0.25">
      <c r="A437" s="29">
        <v>33</v>
      </c>
      <c r="B437" s="249" t="s">
        <v>2834</v>
      </c>
      <c r="C437" s="136" t="s">
        <v>2835</v>
      </c>
      <c r="D437" s="136" t="s">
        <v>859</v>
      </c>
      <c r="E437" s="215">
        <v>4</v>
      </c>
      <c r="F437" s="136">
        <v>20</v>
      </c>
      <c r="G437" s="136" t="s">
        <v>2836</v>
      </c>
      <c r="H437" s="136" t="s">
        <v>963</v>
      </c>
      <c r="I437" s="136" t="s">
        <v>2411</v>
      </c>
      <c r="J437" s="308">
        <v>3020221108967</v>
      </c>
      <c r="K437" s="187">
        <v>45037</v>
      </c>
      <c r="L437" s="249" t="s">
        <v>4131</v>
      </c>
      <c r="M437" s="430">
        <v>45274</v>
      </c>
      <c r="N437" s="136"/>
      <c r="O437" s="136" t="s">
        <v>25</v>
      </c>
      <c r="P437" s="136" t="s">
        <v>25</v>
      </c>
      <c r="Q437" s="136" t="s">
        <v>25</v>
      </c>
      <c r="R437" s="136"/>
      <c r="S437" s="136"/>
      <c r="T437" s="136"/>
      <c r="U437" s="136"/>
      <c r="V437" s="136"/>
      <c r="W437" s="136"/>
      <c r="Y437"/>
      <c r="Z437" s="87"/>
    </row>
    <row r="438" spans="1:26" x14ac:dyDescent="0.25">
      <c r="A438" s="29">
        <v>34</v>
      </c>
      <c r="B438" s="249" t="s">
        <v>2838</v>
      </c>
      <c r="C438" s="136" t="s">
        <v>2550</v>
      </c>
      <c r="D438" s="136" t="s">
        <v>859</v>
      </c>
      <c r="E438" s="215">
        <v>1.85</v>
      </c>
      <c r="F438" s="136">
        <v>20</v>
      </c>
      <c r="G438" s="136" t="s">
        <v>2839</v>
      </c>
      <c r="H438" s="136" t="s">
        <v>963</v>
      </c>
      <c r="I438" s="136" t="s">
        <v>2411</v>
      </c>
      <c r="J438" s="308">
        <v>3020220105396</v>
      </c>
      <c r="K438" s="187">
        <v>44825</v>
      </c>
      <c r="L438" s="249" t="s">
        <v>2840</v>
      </c>
      <c r="M438" s="430">
        <v>45050</v>
      </c>
      <c r="N438" s="136"/>
      <c r="O438" s="136" t="s">
        <v>25</v>
      </c>
      <c r="P438" s="136" t="s">
        <v>25</v>
      </c>
      <c r="Q438" s="136" t="s">
        <v>25</v>
      </c>
      <c r="R438" s="136"/>
      <c r="S438" s="136"/>
      <c r="T438" s="136"/>
      <c r="U438" s="136"/>
      <c r="V438" s="136"/>
      <c r="W438" s="136"/>
      <c r="Y438"/>
      <c r="Z438" s="87"/>
    </row>
    <row r="439" spans="1:26" x14ac:dyDescent="0.25">
      <c r="A439" s="29">
        <v>35</v>
      </c>
      <c r="B439" s="249" t="s">
        <v>2841</v>
      </c>
      <c r="C439" s="136" t="s">
        <v>2842</v>
      </c>
      <c r="D439" s="136" t="s">
        <v>886</v>
      </c>
      <c r="E439" s="215">
        <v>4.45</v>
      </c>
      <c r="F439" s="136">
        <v>20</v>
      </c>
      <c r="G439" s="136" t="s">
        <v>939</v>
      </c>
      <c r="H439" s="136" t="s">
        <v>963</v>
      </c>
      <c r="I439" s="136" t="s">
        <v>2411</v>
      </c>
      <c r="J439" s="308">
        <v>3030220608452</v>
      </c>
      <c r="K439" s="187">
        <v>45049</v>
      </c>
      <c r="L439" s="249"/>
      <c r="M439" s="430"/>
      <c r="N439" s="136"/>
      <c r="O439" s="136" t="s">
        <v>25</v>
      </c>
      <c r="P439" s="136" t="s">
        <v>25</v>
      </c>
      <c r="Q439" s="136" t="s">
        <v>25</v>
      </c>
      <c r="R439" s="136"/>
      <c r="S439" s="136"/>
      <c r="T439" s="136"/>
      <c r="U439" s="136"/>
      <c r="V439" s="136"/>
      <c r="W439" s="136"/>
      <c r="Y439"/>
      <c r="Z439" s="87"/>
    </row>
    <row r="440" spans="1:26" x14ac:dyDescent="0.25">
      <c r="A440" s="29">
        <v>36</v>
      </c>
      <c r="B440" s="249" t="s">
        <v>3023</v>
      </c>
      <c r="C440" s="136" t="s">
        <v>3024</v>
      </c>
      <c r="D440" s="136" t="s">
        <v>925</v>
      </c>
      <c r="E440" s="215">
        <v>4.5149999999999997</v>
      </c>
      <c r="F440" s="136">
        <v>20</v>
      </c>
      <c r="G440" s="136" t="s">
        <v>3025</v>
      </c>
      <c r="H440" s="136" t="s">
        <v>963</v>
      </c>
      <c r="I440" s="136" t="s">
        <v>2411</v>
      </c>
      <c r="J440" s="308">
        <v>3040220405554</v>
      </c>
      <c r="K440" s="187">
        <v>45058</v>
      </c>
      <c r="L440" s="249"/>
      <c r="M440" s="430"/>
      <c r="N440" s="136"/>
      <c r="O440" s="136" t="s">
        <v>25</v>
      </c>
      <c r="P440" s="136" t="s">
        <v>25</v>
      </c>
      <c r="Q440" s="136" t="s">
        <v>25</v>
      </c>
      <c r="R440" s="136"/>
      <c r="S440" s="136"/>
      <c r="T440" s="136"/>
      <c r="U440" s="136"/>
      <c r="V440" s="136"/>
      <c r="W440" s="136"/>
      <c r="Y440"/>
      <c r="Z440" s="87"/>
    </row>
    <row r="441" spans="1:26" x14ac:dyDescent="0.25">
      <c r="A441" s="29">
        <v>37</v>
      </c>
      <c r="B441" s="249" t="s">
        <v>3026</v>
      </c>
      <c r="C441" s="136" t="s">
        <v>3027</v>
      </c>
      <c r="D441" s="136" t="s">
        <v>859</v>
      </c>
      <c r="E441" s="215">
        <v>2.5350000000000001</v>
      </c>
      <c r="F441" s="136">
        <v>20</v>
      </c>
      <c r="G441" s="136" t="s">
        <v>3028</v>
      </c>
      <c r="H441" s="136" t="s">
        <v>963</v>
      </c>
      <c r="I441" s="136" t="s">
        <v>2411</v>
      </c>
      <c r="J441" s="308">
        <v>3020230310545</v>
      </c>
      <c r="K441" s="187">
        <v>45068</v>
      </c>
      <c r="L441" s="249" t="s">
        <v>4260</v>
      </c>
      <c r="M441" s="430">
        <v>45278</v>
      </c>
      <c r="N441" s="136"/>
      <c r="O441" s="136" t="s">
        <v>25</v>
      </c>
      <c r="P441" s="136" t="s">
        <v>25</v>
      </c>
      <c r="Q441" s="136" t="s">
        <v>25</v>
      </c>
      <c r="R441" s="136"/>
      <c r="S441" s="136"/>
      <c r="T441" s="136"/>
      <c r="U441" s="136"/>
      <c r="V441" s="136"/>
      <c r="W441" s="136"/>
      <c r="Y441"/>
      <c r="Z441" s="87"/>
    </row>
    <row r="442" spans="1:26" x14ac:dyDescent="0.25">
      <c r="A442" s="29">
        <v>38</v>
      </c>
      <c r="B442" s="249" t="s">
        <v>3029</v>
      </c>
      <c r="C442" s="136" t="s">
        <v>3030</v>
      </c>
      <c r="D442" s="136" t="s">
        <v>925</v>
      </c>
      <c r="E442" s="215">
        <v>3.57</v>
      </c>
      <c r="F442" s="136">
        <v>20</v>
      </c>
      <c r="G442" s="136" t="s">
        <v>3031</v>
      </c>
      <c r="H442" s="136" t="s">
        <v>963</v>
      </c>
      <c r="I442" s="136" t="s">
        <v>2411</v>
      </c>
      <c r="J442" s="308">
        <v>3040211204343</v>
      </c>
      <c r="K442" s="187">
        <v>45056</v>
      </c>
      <c r="L442" s="249"/>
      <c r="M442" s="430"/>
      <c r="N442" s="136"/>
      <c r="O442" s="136" t="s">
        <v>25</v>
      </c>
      <c r="P442" s="136" t="s">
        <v>25</v>
      </c>
      <c r="Q442" s="136" t="s">
        <v>25</v>
      </c>
      <c r="R442" s="136"/>
      <c r="S442" s="136"/>
      <c r="T442" s="136"/>
      <c r="U442" s="136"/>
      <c r="V442" s="136"/>
      <c r="W442" s="136"/>
      <c r="Y442"/>
      <c r="Z442" s="87"/>
    </row>
    <row r="443" spans="1:26" x14ac:dyDescent="0.25">
      <c r="A443" s="29">
        <v>39</v>
      </c>
      <c r="B443" s="249" t="s">
        <v>3032</v>
      </c>
      <c r="C443" s="136" t="s">
        <v>3030</v>
      </c>
      <c r="D443" s="136" t="s">
        <v>925</v>
      </c>
      <c r="E443" s="215">
        <v>3.99</v>
      </c>
      <c r="F443" s="136">
        <v>20</v>
      </c>
      <c r="G443" s="136" t="s">
        <v>3033</v>
      </c>
      <c r="H443" s="136" t="s">
        <v>963</v>
      </c>
      <c r="I443" s="136" t="s">
        <v>2411</v>
      </c>
      <c r="J443" s="308">
        <v>3040211204346</v>
      </c>
      <c r="K443" s="187">
        <v>45057</v>
      </c>
      <c r="L443" s="249"/>
      <c r="M443" s="430"/>
      <c r="N443" s="136"/>
      <c r="O443" s="136" t="s">
        <v>25</v>
      </c>
      <c r="P443" s="136" t="s">
        <v>25</v>
      </c>
      <c r="Q443" s="136" t="s">
        <v>25</v>
      </c>
      <c r="R443" s="136"/>
      <c r="S443" s="136"/>
      <c r="T443" s="136"/>
      <c r="U443" s="136"/>
      <c r="V443" s="136"/>
      <c r="W443" s="136"/>
      <c r="Y443"/>
      <c r="Z443" s="87"/>
    </row>
    <row r="444" spans="1:26" x14ac:dyDescent="0.25">
      <c r="A444" s="29">
        <v>40</v>
      </c>
      <c r="B444" s="249" t="s">
        <v>3034</v>
      </c>
      <c r="C444" s="136" t="s">
        <v>3035</v>
      </c>
      <c r="D444" s="136" t="s">
        <v>859</v>
      </c>
      <c r="E444" s="215">
        <v>30</v>
      </c>
      <c r="F444" s="136">
        <v>110</v>
      </c>
      <c r="G444" s="136" t="s">
        <v>3036</v>
      </c>
      <c r="H444" s="136" t="s">
        <v>963</v>
      </c>
      <c r="I444" s="136" t="s">
        <v>2411</v>
      </c>
      <c r="J444" s="308">
        <v>3020220105425</v>
      </c>
      <c r="K444" s="187">
        <v>45061</v>
      </c>
      <c r="L444" s="249"/>
      <c r="M444" s="430"/>
      <c r="N444" s="136"/>
      <c r="O444" s="136" t="s">
        <v>25</v>
      </c>
      <c r="P444" s="136" t="s">
        <v>25</v>
      </c>
      <c r="Q444" s="136" t="s">
        <v>25</v>
      </c>
      <c r="R444" s="136"/>
      <c r="S444" s="136"/>
      <c r="T444" s="136"/>
      <c r="U444" s="136"/>
      <c r="V444" s="136"/>
      <c r="W444" s="136"/>
      <c r="Y444"/>
      <c r="Z444" s="87"/>
    </row>
    <row r="445" spans="1:26" x14ac:dyDescent="0.25">
      <c r="A445" s="29">
        <v>41</v>
      </c>
      <c r="B445" s="249" t="s">
        <v>3034</v>
      </c>
      <c r="C445" s="136" t="s">
        <v>3037</v>
      </c>
      <c r="D445" s="136" t="s">
        <v>859</v>
      </c>
      <c r="E445" s="215">
        <v>18</v>
      </c>
      <c r="F445" s="136">
        <v>110</v>
      </c>
      <c r="G445" s="136" t="s">
        <v>3038</v>
      </c>
      <c r="H445" s="136" t="s">
        <v>963</v>
      </c>
      <c r="I445" s="136" t="s">
        <v>2411</v>
      </c>
      <c r="J445" s="308">
        <v>3020220205722</v>
      </c>
      <c r="K445" s="187">
        <v>45061</v>
      </c>
      <c r="L445" s="249"/>
      <c r="M445" s="430"/>
      <c r="N445" s="136"/>
      <c r="O445" s="136" t="s">
        <v>25</v>
      </c>
      <c r="P445" s="136" t="s">
        <v>25</v>
      </c>
      <c r="Q445" s="136" t="s">
        <v>25</v>
      </c>
      <c r="R445" s="136"/>
      <c r="S445" s="136"/>
      <c r="T445" s="136"/>
      <c r="U445" s="136"/>
      <c r="V445" s="136"/>
      <c r="W445" s="136"/>
      <c r="Y445"/>
      <c r="Z445" s="87"/>
    </row>
    <row r="446" spans="1:26" x14ac:dyDescent="0.25">
      <c r="A446" s="29">
        <v>42</v>
      </c>
      <c r="B446" s="249" t="s">
        <v>3039</v>
      </c>
      <c r="C446" s="136" t="s">
        <v>3040</v>
      </c>
      <c r="D446" s="136" t="s">
        <v>900</v>
      </c>
      <c r="E446" s="215">
        <v>2.5</v>
      </c>
      <c r="F446" s="136">
        <v>20</v>
      </c>
      <c r="G446" s="136" t="s">
        <v>3041</v>
      </c>
      <c r="H446" s="136" t="s">
        <v>963</v>
      </c>
      <c r="I446" s="136" t="s">
        <v>2411</v>
      </c>
      <c r="J446" s="308">
        <v>3060220610695</v>
      </c>
      <c r="K446" s="187">
        <v>45076</v>
      </c>
      <c r="L446" s="136"/>
      <c r="M446" s="136"/>
      <c r="N446" s="136"/>
      <c r="O446" s="136" t="s">
        <v>25</v>
      </c>
      <c r="P446" s="136" t="s">
        <v>25</v>
      </c>
      <c r="Q446" s="136" t="s">
        <v>25</v>
      </c>
      <c r="R446" s="136"/>
      <c r="S446" s="136"/>
      <c r="T446" s="136"/>
      <c r="U446" s="136"/>
      <c r="V446" s="136"/>
      <c r="W446" s="136"/>
      <c r="Y446"/>
      <c r="Z446" s="87"/>
    </row>
    <row r="447" spans="1:26" x14ac:dyDescent="0.25">
      <c r="A447" s="29">
        <v>43</v>
      </c>
      <c r="B447" s="249" t="s">
        <v>2831</v>
      </c>
      <c r="C447" s="136" t="s">
        <v>2555</v>
      </c>
      <c r="D447" s="136" t="s">
        <v>921</v>
      </c>
      <c r="E447" s="215">
        <v>4.8899999999999997</v>
      </c>
      <c r="F447" s="136">
        <v>20</v>
      </c>
      <c r="G447" s="136" t="s">
        <v>3042</v>
      </c>
      <c r="H447" s="136" t="s">
        <v>963</v>
      </c>
      <c r="I447" s="136" t="s">
        <v>2411</v>
      </c>
      <c r="J447" s="308">
        <v>3010221221791</v>
      </c>
      <c r="K447" s="187">
        <v>45064</v>
      </c>
      <c r="L447" s="136" t="s">
        <v>3900</v>
      </c>
      <c r="M447" s="187">
        <v>45245</v>
      </c>
      <c r="N447" s="136"/>
      <c r="O447" s="136" t="s">
        <v>25</v>
      </c>
      <c r="P447" s="136" t="s">
        <v>25</v>
      </c>
      <c r="Q447" s="136" t="s">
        <v>25</v>
      </c>
      <c r="R447" s="136"/>
      <c r="S447" s="136"/>
      <c r="T447" s="136"/>
      <c r="U447" s="136"/>
      <c r="V447" s="136"/>
      <c r="W447" s="136"/>
      <c r="Y447"/>
      <c r="Z447" s="87"/>
    </row>
    <row r="448" spans="1:26" x14ac:dyDescent="0.25">
      <c r="A448" s="29">
        <v>44</v>
      </c>
      <c r="B448" s="249" t="s">
        <v>3043</v>
      </c>
      <c r="C448" s="249" t="s">
        <v>3044</v>
      </c>
      <c r="D448" s="136" t="s">
        <v>917</v>
      </c>
      <c r="E448" s="215">
        <v>4.4000000000000004</v>
      </c>
      <c r="F448" s="136">
        <v>20</v>
      </c>
      <c r="G448" s="136" t="s">
        <v>3045</v>
      </c>
      <c r="H448" s="136" t="s">
        <v>963</v>
      </c>
      <c r="I448" s="136" t="s">
        <v>2411</v>
      </c>
      <c r="J448" s="308">
        <v>3060221215124</v>
      </c>
      <c r="K448" s="187">
        <v>45069</v>
      </c>
      <c r="L448" s="136"/>
      <c r="M448" s="136"/>
      <c r="N448" s="136"/>
      <c r="O448" s="136" t="s">
        <v>25</v>
      </c>
      <c r="P448" s="136" t="s">
        <v>25</v>
      </c>
      <c r="Q448" s="136" t="s">
        <v>25</v>
      </c>
      <c r="R448" s="136"/>
      <c r="S448" s="136"/>
      <c r="T448" s="136"/>
      <c r="U448" s="136"/>
      <c r="V448" s="136"/>
      <c r="W448" s="136"/>
      <c r="Y448"/>
      <c r="Z448" s="87"/>
    </row>
    <row r="449" spans="1:71" x14ac:dyDescent="0.25">
      <c r="A449" s="29">
        <v>45</v>
      </c>
      <c r="B449" s="249" t="s">
        <v>3046</v>
      </c>
      <c r="C449" s="249" t="s">
        <v>3047</v>
      </c>
      <c r="D449" s="136" t="s">
        <v>2546</v>
      </c>
      <c r="E449" s="215">
        <v>4.5</v>
      </c>
      <c r="F449" s="136">
        <v>20</v>
      </c>
      <c r="G449" s="136" t="s">
        <v>3048</v>
      </c>
      <c r="H449" s="136" t="s">
        <v>964</v>
      </c>
      <c r="I449" s="136" t="s">
        <v>2411</v>
      </c>
      <c r="J449" s="308">
        <v>3010230526720</v>
      </c>
      <c r="K449" s="187">
        <v>45083</v>
      </c>
      <c r="L449" s="136"/>
      <c r="M449" s="136"/>
      <c r="N449" s="136"/>
      <c r="O449" s="136" t="s">
        <v>25</v>
      </c>
      <c r="P449" s="136" t="s">
        <v>25</v>
      </c>
      <c r="Q449" s="136" t="s">
        <v>25</v>
      </c>
      <c r="R449" s="136"/>
      <c r="S449" s="136"/>
      <c r="T449" s="136"/>
      <c r="U449" s="136"/>
      <c r="V449" s="136"/>
      <c r="W449" s="136"/>
      <c r="Y449"/>
      <c r="Z449" s="87"/>
    </row>
    <row r="450" spans="1:71" x14ac:dyDescent="0.25">
      <c r="A450" s="29">
        <v>46</v>
      </c>
      <c r="B450" s="249" t="s">
        <v>914</v>
      </c>
      <c r="C450" s="249" t="s">
        <v>3027</v>
      </c>
      <c r="D450" s="136" t="s">
        <v>859</v>
      </c>
      <c r="E450" s="136">
        <v>2.9159999999999999</v>
      </c>
      <c r="F450" s="136">
        <v>20</v>
      </c>
      <c r="G450" s="136" t="s">
        <v>915</v>
      </c>
      <c r="H450" s="136" t="s">
        <v>963</v>
      </c>
      <c r="I450" s="136" t="s">
        <v>2411</v>
      </c>
      <c r="J450" s="308">
        <v>3020221209330</v>
      </c>
      <c r="K450" s="187">
        <v>45022</v>
      </c>
      <c r="L450" s="136" t="s">
        <v>3049</v>
      </c>
      <c r="M450" s="187">
        <v>45077</v>
      </c>
      <c r="N450" s="136"/>
      <c r="O450" s="136" t="s">
        <v>25</v>
      </c>
      <c r="P450" s="136" t="s">
        <v>25</v>
      </c>
      <c r="Q450" s="136" t="s">
        <v>25</v>
      </c>
      <c r="R450" s="136"/>
      <c r="S450" s="136"/>
      <c r="T450" s="136"/>
      <c r="U450" s="136"/>
      <c r="V450" s="136"/>
      <c r="W450" s="136"/>
      <c r="Y450"/>
      <c r="Z450" s="87"/>
    </row>
    <row r="451" spans="1:71" x14ac:dyDescent="0.25">
      <c r="A451" s="29">
        <v>47</v>
      </c>
      <c r="B451" s="249" t="s">
        <v>909</v>
      </c>
      <c r="C451" s="249" t="s">
        <v>3050</v>
      </c>
      <c r="D451" s="136" t="s">
        <v>859</v>
      </c>
      <c r="E451" s="136">
        <v>2.9159999999999999</v>
      </c>
      <c r="F451" s="136">
        <v>20</v>
      </c>
      <c r="G451" s="136" t="s">
        <v>3051</v>
      </c>
      <c r="H451" s="136" t="s">
        <v>963</v>
      </c>
      <c r="I451" s="136" t="s">
        <v>2411</v>
      </c>
      <c r="J451" s="308">
        <v>3020221209337</v>
      </c>
      <c r="K451" s="187">
        <v>45022</v>
      </c>
      <c r="L451" s="136" t="s">
        <v>3052</v>
      </c>
      <c r="M451" s="187">
        <v>45077</v>
      </c>
      <c r="N451" s="136"/>
      <c r="O451" s="136" t="s">
        <v>25</v>
      </c>
      <c r="P451" s="136" t="s">
        <v>25</v>
      </c>
      <c r="Q451" s="136" t="s">
        <v>25</v>
      </c>
      <c r="R451" s="136"/>
      <c r="S451" s="136"/>
      <c r="T451" s="136"/>
      <c r="U451" s="136"/>
      <c r="V451" s="136"/>
      <c r="W451" s="136"/>
      <c r="Y451"/>
      <c r="Z451" s="87"/>
    </row>
    <row r="452" spans="1:71" x14ac:dyDescent="0.25">
      <c r="A452" s="29">
        <v>48</v>
      </c>
      <c r="B452" s="249" t="s">
        <v>3053</v>
      </c>
      <c r="C452" s="249" t="s">
        <v>3054</v>
      </c>
      <c r="D452" s="136" t="s">
        <v>3055</v>
      </c>
      <c r="E452" s="215">
        <v>16.2</v>
      </c>
      <c r="F452" s="136">
        <v>110</v>
      </c>
      <c r="G452" s="136" t="s">
        <v>3056</v>
      </c>
      <c r="H452" s="136" t="s">
        <v>964</v>
      </c>
      <c r="I452" s="136" t="s">
        <v>2411</v>
      </c>
      <c r="J452" s="308">
        <v>3040220907365</v>
      </c>
      <c r="K452" s="187">
        <v>45090</v>
      </c>
      <c r="L452" s="136" t="s">
        <v>3901</v>
      </c>
      <c r="M452" s="187">
        <v>45218</v>
      </c>
      <c r="N452" s="136"/>
      <c r="O452" s="136" t="s">
        <v>25</v>
      </c>
      <c r="P452" s="136" t="s">
        <v>25</v>
      </c>
      <c r="Q452" s="136" t="s">
        <v>25</v>
      </c>
      <c r="R452" s="136"/>
      <c r="S452" s="136"/>
      <c r="T452" s="136"/>
      <c r="U452" s="136"/>
      <c r="V452" s="136"/>
      <c r="W452" s="136"/>
      <c r="Y452"/>
      <c r="Z452" s="87"/>
    </row>
    <row r="453" spans="1:71" x14ac:dyDescent="0.25">
      <c r="A453" s="29">
        <v>49</v>
      </c>
      <c r="B453" s="249" t="s">
        <v>3155</v>
      </c>
      <c r="C453" s="249" t="s">
        <v>2550</v>
      </c>
      <c r="D453" s="136" t="s">
        <v>2460</v>
      </c>
      <c r="E453" s="215">
        <v>6.1050000000000004</v>
      </c>
      <c r="F453" s="136">
        <v>20</v>
      </c>
      <c r="G453" s="136" t="s">
        <v>3156</v>
      </c>
      <c r="H453" s="136" t="s">
        <v>963</v>
      </c>
      <c r="I453" s="136" t="s">
        <v>2411</v>
      </c>
      <c r="J453" s="308">
        <v>3020221109095</v>
      </c>
      <c r="K453" s="187">
        <v>45103</v>
      </c>
      <c r="L453" s="136"/>
      <c r="M453" s="136"/>
      <c r="N453" s="136"/>
      <c r="O453" s="136" t="s">
        <v>25</v>
      </c>
      <c r="P453" s="136" t="s">
        <v>25</v>
      </c>
      <c r="Q453" s="136" t="s">
        <v>25</v>
      </c>
      <c r="R453" s="136"/>
      <c r="S453" s="136"/>
      <c r="T453" s="136"/>
      <c r="U453" s="136"/>
      <c r="V453" s="136"/>
      <c r="W453" s="136"/>
      <c r="Y453"/>
      <c r="Z453" s="87"/>
    </row>
    <row r="454" spans="1:71" x14ac:dyDescent="0.25">
      <c r="A454" s="29">
        <v>50</v>
      </c>
      <c r="B454" s="249" t="s">
        <v>3157</v>
      </c>
      <c r="C454" s="249" t="s">
        <v>3158</v>
      </c>
      <c r="D454" s="136" t="s">
        <v>2837</v>
      </c>
      <c r="E454" s="215">
        <v>2.4</v>
      </c>
      <c r="F454" s="136">
        <v>20</v>
      </c>
      <c r="G454" s="136" t="s">
        <v>3159</v>
      </c>
      <c r="H454" s="136" t="s">
        <v>963</v>
      </c>
      <c r="I454" s="136" t="s">
        <v>2411</v>
      </c>
      <c r="J454" s="308">
        <v>3050230317185</v>
      </c>
      <c r="K454" s="187">
        <v>45086</v>
      </c>
      <c r="L454" s="136"/>
      <c r="M454" s="136"/>
      <c r="N454" s="136"/>
      <c r="O454" s="136" t="s">
        <v>25</v>
      </c>
      <c r="P454" s="136" t="s">
        <v>25</v>
      </c>
      <c r="Q454" s="136" t="s">
        <v>25</v>
      </c>
      <c r="R454" s="136"/>
      <c r="S454" s="136"/>
      <c r="T454" s="136"/>
      <c r="U454" s="136"/>
      <c r="V454" s="136"/>
      <c r="W454" s="136"/>
      <c r="Y454"/>
      <c r="Z454" s="87"/>
    </row>
    <row r="455" spans="1:71" x14ac:dyDescent="0.25">
      <c r="A455" s="29">
        <v>51</v>
      </c>
      <c r="B455" s="249" t="s">
        <v>3160</v>
      </c>
      <c r="C455" s="249" t="s">
        <v>3161</v>
      </c>
      <c r="D455" s="136" t="s">
        <v>900</v>
      </c>
      <c r="E455" s="215">
        <v>1.76</v>
      </c>
      <c r="F455" s="136">
        <v>20</v>
      </c>
      <c r="G455" s="136" t="s">
        <v>3162</v>
      </c>
      <c r="H455" s="136" t="s">
        <v>964</v>
      </c>
      <c r="I455" s="136" t="s">
        <v>2411</v>
      </c>
      <c r="J455" s="308">
        <v>3060220811904</v>
      </c>
      <c r="K455" s="187">
        <v>45084</v>
      </c>
      <c r="L455" s="136" t="s">
        <v>3902</v>
      </c>
      <c r="M455" s="187">
        <v>45238</v>
      </c>
      <c r="N455" s="136"/>
      <c r="O455" s="136" t="s">
        <v>25</v>
      </c>
      <c r="P455" s="136" t="s">
        <v>25</v>
      </c>
      <c r="Q455" s="136" t="s">
        <v>25</v>
      </c>
      <c r="R455" s="136"/>
      <c r="S455" s="136"/>
      <c r="T455" s="136"/>
      <c r="U455" s="136"/>
      <c r="V455" s="136"/>
      <c r="W455" s="136"/>
      <c r="Z455" s="87"/>
    </row>
    <row r="456" spans="1:71" x14ac:dyDescent="0.25">
      <c r="A456" s="29">
        <v>52</v>
      </c>
      <c r="B456" s="249" t="s">
        <v>3167</v>
      </c>
      <c r="C456" s="249" t="s">
        <v>3168</v>
      </c>
      <c r="D456" s="136" t="s">
        <v>874</v>
      </c>
      <c r="E456" s="215">
        <v>3.7970000000000002</v>
      </c>
      <c r="F456" s="136">
        <v>20</v>
      </c>
      <c r="G456" s="136" t="s">
        <v>3169</v>
      </c>
      <c r="H456" s="136" t="s">
        <v>963</v>
      </c>
      <c r="I456" s="136" t="s">
        <v>2411</v>
      </c>
      <c r="J456" s="308">
        <v>3050220912954</v>
      </c>
      <c r="K456" s="187">
        <v>45110</v>
      </c>
      <c r="L456" s="136"/>
      <c r="M456" s="136"/>
      <c r="N456" s="136"/>
      <c r="O456" s="136" t="s">
        <v>25</v>
      </c>
      <c r="P456" s="136" t="s">
        <v>25</v>
      </c>
      <c r="Q456" s="136" t="s">
        <v>25</v>
      </c>
      <c r="R456" s="136"/>
      <c r="S456" s="136"/>
      <c r="T456" s="136"/>
      <c r="U456" s="136"/>
      <c r="V456" s="136"/>
      <c r="W456" s="136"/>
      <c r="Z456" s="87"/>
    </row>
    <row r="457" spans="1:71" x14ac:dyDescent="0.25">
      <c r="A457" s="29">
        <v>53</v>
      </c>
      <c r="B457" s="249" t="s">
        <v>3170</v>
      </c>
      <c r="C457" s="249" t="s">
        <v>3171</v>
      </c>
      <c r="D457" s="136" t="s">
        <v>917</v>
      </c>
      <c r="E457" s="215">
        <v>10.8</v>
      </c>
      <c r="F457" s="136">
        <v>20</v>
      </c>
      <c r="G457" s="136" t="s">
        <v>3172</v>
      </c>
      <c r="H457" s="136" t="s">
        <v>963</v>
      </c>
      <c r="I457" s="136" t="s">
        <v>2411</v>
      </c>
      <c r="J457" s="308">
        <v>3060221013854</v>
      </c>
      <c r="K457" s="187">
        <v>45113</v>
      </c>
      <c r="L457" s="136"/>
      <c r="M457" s="136"/>
      <c r="N457" s="136"/>
      <c r="O457" s="136" t="s">
        <v>25</v>
      </c>
      <c r="P457" s="136" t="s">
        <v>25</v>
      </c>
      <c r="Q457" s="136" t="s">
        <v>25</v>
      </c>
      <c r="R457" s="136"/>
      <c r="S457" s="136"/>
      <c r="T457" s="136"/>
      <c r="U457" s="136"/>
      <c r="V457" s="136"/>
      <c r="W457" s="136"/>
      <c r="Z457" s="87"/>
    </row>
    <row r="458" spans="1:71" x14ac:dyDescent="0.25">
      <c r="A458" s="29">
        <v>54</v>
      </c>
      <c r="B458" s="249" t="s">
        <v>3173</v>
      </c>
      <c r="C458" s="249" t="s">
        <v>3174</v>
      </c>
      <c r="D458" s="136" t="s">
        <v>2546</v>
      </c>
      <c r="E458" s="215">
        <v>7.09</v>
      </c>
      <c r="F458" s="136">
        <v>20</v>
      </c>
      <c r="G458" s="136" t="s">
        <v>3175</v>
      </c>
      <c r="H458" s="136" t="s">
        <v>963</v>
      </c>
      <c r="I458" s="136" t="s">
        <v>2411</v>
      </c>
      <c r="J458" s="308">
        <v>3010230324566</v>
      </c>
      <c r="K458" s="187">
        <v>45111</v>
      </c>
      <c r="L458" s="136"/>
      <c r="M458" s="136"/>
      <c r="N458" s="136"/>
      <c r="O458" s="136" t="s">
        <v>25</v>
      </c>
      <c r="P458" s="136" t="s">
        <v>25</v>
      </c>
      <c r="Q458" s="136" t="s">
        <v>25</v>
      </c>
      <c r="R458" s="136"/>
      <c r="S458" s="136"/>
      <c r="T458" s="136"/>
      <c r="U458" s="136"/>
      <c r="V458" s="136"/>
      <c r="W458" s="136"/>
      <c r="Z458" s="87"/>
    </row>
    <row r="459" spans="1:71" s="219" customFormat="1" ht="23.25" customHeight="1" x14ac:dyDescent="0.25">
      <c r="A459" s="29">
        <v>55</v>
      </c>
      <c r="B459" s="249" t="s">
        <v>3176</v>
      </c>
      <c r="C459" s="249" t="s">
        <v>2827</v>
      </c>
      <c r="D459" s="136" t="s">
        <v>900</v>
      </c>
      <c r="E459" s="215">
        <v>46.4</v>
      </c>
      <c r="F459" s="136">
        <v>110</v>
      </c>
      <c r="G459" s="136" t="s">
        <v>3177</v>
      </c>
      <c r="H459" s="136" t="s">
        <v>3178</v>
      </c>
      <c r="I459" s="136" t="s">
        <v>2411</v>
      </c>
      <c r="J459" s="308">
        <v>3060230619526</v>
      </c>
      <c r="K459" s="187">
        <v>45110</v>
      </c>
      <c r="L459" s="136" t="s">
        <v>3179</v>
      </c>
      <c r="M459" s="187">
        <v>45121</v>
      </c>
      <c r="N459" s="136"/>
      <c r="O459" s="136" t="s">
        <v>25</v>
      </c>
      <c r="P459" s="136" t="s">
        <v>25</v>
      </c>
      <c r="Q459" s="136" t="s">
        <v>25</v>
      </c>
      <c r="R459" s="136"/>
      <c r="S459" s="136"/>
      <c r="T459" s="136"/>
      <c r="U459" s="136"/>
      <c r="V459" s="136"/>
      <c r="W459" s="136"/>
      <c r="Y459" s="371"/>
      <c r="Z459" s="97"/>
    </row>
    <row r="460" spans="1:71" s="219" customFormat="1" x14ac:dyDescent="0.25">
      <c r="A460" s="29">
        <v>56</v>
      </c>
      <c r="B460" s="249" t="s">
        <v>3180</v>
      </c>
      <c r="C460" s="249" t="s">
        <v>3181</v>
      </c>
      <c r="D460" s="136" t="s">
        <v>925</v>
      </c>
      <c r="E460" s="215">
        <v>1</v>
      </c>
      <c r="F460" s="136">
        <v>0.4</v>
      </c>
      <c r="G460" s="136" t="s">
        <v>3182</v>
      </c>
      <c r="H460" s="136" t="s">
        <v>964</v>
      </c>
      <c r="I460" s="136" t="s">
        <v>2411</v>
      </c>
      <c r="J460" s="308">
        <v>3040230309870</v>
      </c>
      <c r="K460" s="187">
        <v>45120</v>
      </c>
      <c r="L460" s="136"/>
      <c r="M460" s="136"/>
      <c r="N460" s="136"/>
      <c r="O460" s="136" t="s">
        <v>25</v>
      </c>
      <c r="P460" s="136" t="s">
        <v>25</v>
      </c>
      <c r="Q460" s="136" t="s">
        <v>25</v>
      </c>
      <c r="R460" s="136"/>
      <c r="S460" s="136"/>
      <c r="T460" s="136"/>
      <c r="U460" s="136"/>
      <c r="V460" s="136"/>
      <c r="W460" s="136"/>
      <c r="Y460" s="371"/>
      <c r="Z460" s="97"/>
    </row>
    <row r="461" spans="1:71" s="219" customFormat="1" ht="33.75" customHeight="1" x14ac:dyDescent="0.25">
      <c r="A461" s="29">
        <v>57</v>
      </c>
      <c r="B461" s="249" t="s">
        <v>3243</v>
      </c>
      <c r="C461" s="249" t="s">
        <v>3244</v>
      </c>
      <c r="D461" s="136" t="s">
        <v>917</v>
      </c>
      <c r="E461" s="215">
        <v>49</v>
      </c>
      <c r="F461" s="136">
        <v>110</v>
      </c>
      <c r="G461" s="136" t="s">
        <v>3245</v>
      </c>
      <c r="H461" s="136" t="s">
        <v>963</v>
      </c>
      <c r="I461" s="136" t="s">
        <v>2411</v>
      </c>
      <c r="J461" s="308">
        <v>3060220510086</v>
      </c>
      <c r="K461" s="187">
        <v>45117</v>
      </c>
      <c r="L461" s="136"/>
      <c r="M461" s="136"/>
      <c r="N461" s="136"/>
      <c r="O461" s="265" t="s">
        <v>3246</v>
      </c>
      <c r="P461" s="136"/>
      <c r="Q461" s="136"/>
      <c r="R461" s="136"/>
      <c r="S461" s="136"/>
      <c r="T461" s="136"/>
      <c r="U461" s="136"/>
      <c r="V461" s="136"/>
      <c r="W461" s="136"/>
      <c r="Y461" s="371"/>
      <c r="Z461" s="97"/>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row>
    <row r="462" spans="1:71" x14ac:dyDescent="0.25">
      <c r="A462" s="29">
        <v>58</v>
      </c>
      <c r="B462" s="249" t="s">
        <v>3250</v>
      </c>
      <c r="C462" s="249" t="s">
        <v>3251</v>
      </c>
      <c r="D462" s="136" t="s">
        <v>900</v>
      </c>
      <c r="E462" s="215">
        <v>4.95</v>
      </c>
      <c r="F462" s="136">
        <v>20</v>
      </c>
      <c r="G462" s="136" t="s">
        <v>3252</v>
      </c>
      <c r="H462" s="136" t="s">
        <v>963</v>
      </c>
      <c r="I462" s="136" t="s">
        <v>2411</v>
      </c>
      <c r="J462" s="308">
        <v>3060221114050</v>
      </c>
      <c r="K462" s="187">
        <v>45118</v>
      </c>
      <c r="L462" s="136"/>
      <c r="M462" s="136"/>
      <c r="N462" s="136"/>
      <c r="O462" s="136" t="s">
        <v>3253</v>
      </c>
      <c r="P462" s="136"/>
      <c r="Q462" s="136"/>
      <c r="R462" s="136"/>
      <c r="S462" s="136"/>
      <c r="T462" s="136"/>
      <c r="U462" s="136"/>
      <c r="V462" s="136"/>
      <c r="W462" s="136"/>
      <c r="Z462" s="87"/>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c r="BA462" s="70"/>
      <c r="BB462" s="70"/>
      <c r="BC462" s="70"/>
      <c r="BD462" s="70"/>
      <c r="BE462" s="70"/>
      <c r="BF462" s="70"/>
      <c r="BG462" s="70"/>
      <c r="BH462" s="70"/>
      <c r="BI462" s="70"/>
      <c r="BJ462" s="70"/>
      <c r="BK462" s="70"/>
      <c r="BL462" s="70"/>
      <c r="BM462" s="70"/>
      <c r="BN462" s="70"/>
      <c r="BO462" s="70"/>
      <c r="BP462" s="70"/>
      <c r="BQ462" s="70"/>
      <c r="BR462" s="70"/>
      <c r="BS462" s="70"/>
    </row>
    <row r="463" spans="1:71" x14ac:dyDescent="0.25">
      <c r="A463" s="29">
        <v>59</v>
      </c>
      <c r="B463" s="249" t="s">
        <v>3254</v>
      </c>
      <c r="C463" s="249" t="s">
        <v>3024</v>
      </c>
      <c r="D463" s="136" t="s">
        <v>925</v>
      </c>
      <c r="E463" s="215">
        <v>4.5149999999999997</v>
      </c>
      <c r="F463" s="136">
        <v>20</v>
      </c>
      <c r="G463" s="136" t="s">
        <v>3255</v>
      </c>
      <c r="H463" s="136" t="s">
        <v>963</v>
      </c>
      <c r="I463" s="136" t="s">
        <v>2411</v>
      </c>
      <c r="J463" s="308">
        <v>3040220405556</v>
      </c>
      <c r="K463" s="187">
        <v>45133</v>
      </c>
      <c r="L463" s="136"/>
      <c r="M463" s="136"/>
      <c r="N463" s="136"/>
      <c r="O463" s="136" t="s">
        <v>25</v>
      </c>
      <c r="P463" s="136" t="s">
        <v>25</v>
      </c>
      <c r="Q463" s="136" t="s">
        <v>25</v>
      </c>
      <c r="R463" s="136"/>
      <c r="S463" s="136"/>
      <c r="T463" s="136"/>
      <c r="U463" s="136"/>
      <c r="V463" s="136"/>
      <c r="W463" s="136"/>
      <c r="Z463" s="87"/>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c r="BA463" s="70"/>
      <c r="BB463" s="70"/>
      <c r="BC463" s="70"/>
      <c r="BD463" s="70"/>
      <c r="BE463" s="70"/>
      <c r="BF463" s="70"/>
      <c r="BG463" s="70"/>
      <c r="BH463" s="70"/>
      <c r="BI463" s="70"/>
      <c r="BJ463" s="70"/>
      <c r="BK463" s="70"/>
      <c r="BL463" s="70"/>
      <c r="BM463" s="70"/>
      <c r="BN463" s="70"/>
      <c r="BO463" s="70"/>
      <c r="BP463" s="70"/>
      <c r="BQ463" s="70"/>
      <c r="BR463" s="70"/>
      <c r="BS463" s="70"/>
    </row>
    <row r="464" spans="1:71" x14ac:dyDescent="0.25">
      <c r="A464" s="29">
        <v>60</v>
      </c>
      <c r="B464" s="249" t="s">
        <v>3256</v>
      </c>
      <c r="C464" s="249" t="s">
        <v>3257</v>
      </c>
      <c r="D464" s="136" t="s">
        <v>886</v>
      </c>
      <c r="E464" s="215">
        <v>4.99</v>
      </c>
      <c r="F464" s="136">
        <v>20</v>
      </c>
      <c r="G464" s="136" t="s">
        <v>3258</v>
      </c>
      <c r="H464" s="136" t="s">
        <v>963</v>
      </c>
      <c r="I464" s="136" t="s">
        <v>2411</v>
      </c>
      <c r="J464" s="308">
        <v>3030221211943</v>
      </c>
      <c r="K464" s="187">
        <v>45138</v>
      </c>
      <c r="L464" s="136" t="s">
        <v>3903</v>
      </c>
      <c r="M464" s="187">
        <v>45222</v>
      </c>
      <c r="N464" s="136"/>
      <c r="O464" s="136" t="s">
        <v>25</v>
      </c>
      <c r="P464" s="136" t="s">
        <v>25</v>
      </c>
      <c r="Q464" s="136" t="s">
        <v>25</v>
      </c>
      <c r="R464" s="136"/>
      <c r="S464" s="136"/>
      <c r="T464" s="136"/>
      <c r="U464" s="136"/>
      <c r="V464" s="136"/>
      <c r="W464" s="136"/>
      <c r="Z464" s="87"/>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row>
    <row r="465" spans="1:71" x14ac:dyDescent="0.25">
      <c r="A465" s="29">
        <v>61</v>
      </c>
      <c r="B465" s="249" t="s">
        <v>3256</v>
      </c>
      <c r="C465" s="249" t="s">
        <v>3257</v>
      </c>
      <c r="D465" s="136" t="s">
        <v>886</v>
      </c>
      <c r="E465" s="215">
        <v>4.99</v>
      </c>
      <c r="F465" s="136">
        <v>20</v>
      </c>
      <c r="G465" s="136" t="s">
        <v>3259</v>
      </c>
      <c r="H465" s="136" t="s">
        <v>963</v>
      </c>
      <c r="I465" s="136" t="s">
        <v>2411</v>
      </c>
      <c r="J465" s="308">
        <v>3030221211986</v>
      </c>
      <c r="K465" s="187">
        <v>45138</v>
      </c>
      <c r="L465" s="136" t="s">
        <v>3904</v>
      </c>
      <c r="M465" s="187">
        <v>45222</v>
      </c>
      <c r="N465" s="136"/>
      <c r="O465" s="136" t="s">
        <v>25</v>
      </c>
      <c r="P465" s="136" t="s">
        <v>25</v>
      </c>
      <c r="Q465" s="136" t="s">
        <v>25</v>
      </c>
      <c r="R465" s="136"/>
      <c r="S465" s="136"/>
      <c r="T465" s="136"/>
      <c r="U465" s="136"/>
      <c r="V465" s="136"/>
      <c r="W465" s="136"/>
      <c r="Z465" s="87"/>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c r="BA465" s="70"/>
      <c r="BB465" s="70"/>
      <c r="BC465" s="70"/>
      <c r="BD465" s="70"/>
      <c r="BE465" s="70"/>
      <c r="BF465" s="70"/>
      <c r="BG465" s="70"/>
      <c r="BH465" s="70"/>
      <c r="BI465" s="70"/>
      <c r="BJ465" s="70"/>
      <c r="BK465" s="70"/>
      <c r="BL465" s="70"/>
      <c r="BM465" s="70"/>
      <c r="BN465" s="70"/>
      <c r="BO465" s="70"/>
      <c r="BP465" s="70"/>
      <c r="BQ465" s="70"/>
      <c r="BR465" s="70"/>
      <c r="BS465" s="70"/>
    </row>
    <row r="466" spans="1:71" x14ac:dyDescent="0.25">
      <c r="A466" s="29">
        <v>62</v>
      </c>
      <c r="B466" s="249" t="s">
        <v>3263</v>
      </c>
      <c r="C466" s="249" t="s">
        <v>3030</v>
      </c>
      <c r="D466" s="136" t="s">
        <v>925</v>
      </c>
      <c r="E466" s="215">
        <v>3</v>
      </c>
      <c r="F466" s="136">
        <v>20</v>
      </c>
      <c r="G466" s="136" t="s">
        <v>3264</v>
      </c>
      <c r="H466" s="136" t="s">
        <v>963</v>
      </c>
      <c r="I466" s="136" t="s">
        <v>2411</v>
      </c>
      <c r="J466" s="308">
        <v>3040220204990</v>
      </c>
      <c r="K466" s="187">
        <v>44778</v>
      </c>
      <c r="L466" s="136" t="s">
        <v>3265</v>
      </c>
      <c r="M466" s="187">
        <v>45139</v>
      </c>
      <c r="N466" s="136"/>
      <c r="O466" s="136" t="s">
        <v>25</v>
      </c>
      <c r="P466" s="136" t="s">
        <v>25</v>
      </c>
      <c r="Q466" s="136" t="s">
        <v>25</v>
      </c>
      <c r="R466" s="136"/>
      <c r="S466" s="136"/>
      <c r="T466" s="136"/>
      <c r="U466" s="136"/>
      <c r="V466" s="136"/>
      <c r="W466" s="136"/>
      <c r="Z466" s="87"/>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c r="BA466" s="70"/>
      <c r="BB466" s="70"/>
      <c r="BC466" s="70"/>
      <c r="BD466" s="70"/>
      <c r="BE466" s="70"/>
      <c r="BF466" s="70"/>
      <c r="BG466" s="70"/>
      <c r="BH466" s="70"/>
      <c r="BI466" s="70"/>
      <c r="BJ466" s="70"/>
      <c r="BK466" s="70"/>
      <c r="BL466" s="70"/>
      <c r="BM466" s="70"/>
      <c r="BN466" s="70"/>
      <c r="BO466" s="70"/>
      <c r="BP466" s="70"/>
      <c r="BQ466" s="70"/>
      <c r="BR466" s="70"/>
      <c r="BS466" s="70"/>
    </row>
    <row r="467" spans="1:71" x14ac:dyDescent="0.25">
      <c r="A467" s="29">
        <v>63</v>
      </c>
      <c r="B467" s="249" t="s">
        <v>3460</v>
      </c>
      <c r="C467" s="249" t="s">
        <v>3248</v>
      </c>
      <c r="D467" s="136" t="s">
        <v>917</v>
      </c>
      <c r="E467" s="215">
        <v>40.424999999999997</v>
      </c>
      <c r="F467" s="136">
        <v>110</v>
      </c>
      <c r="G467" s="136" t="s">
        <v>3461</v>
      </c>
      <c r="H467" s="136" t="s">
        <v>963</v>
      </c>
      <c r="I467" s="136" t="s">
        <v>2411</v>
      </c>
      <c r="J467" s="308">
        <v>3060211207073</v>
      </c>
      <c r="K467" s="187">
        <v>45147</v>
      </c>
      <c r="L467" s="136"/>
      <c r="M467" s="136"/>
      <c r="N467" s="136"/>
      <c r="O467" s="136"/>
      <c r="P467" s="136"/>
      <c r="Q467" s="136"/>
      <c r="R467" s="136"/>
      <c r="S467" s="136"/>
      <c r="T467" s="136"/>
      <c r="U467" s="136"/>
      <c r="V467" s="136"/>
      <c r="W467" s="136"/>
      <c r="Z467" s="87"/>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c r="BB467" s="70"/>
      <c r="BC467" s="70"/>
      <c r="BD467" s="70"/>
      <c r="BE467" s="70"/>
      <c r="BF467" s="70"/>
      <c r="BG467" s="70"/>
      <c r="BH467" s="70"/>
      <c r="BI467" s="70"/>
      <c r="BJ467" s="70"/>
      <c r="BK467" s="70"/>
      <c r="BL467" s="70"/>
      <c r="BM467" s="70"/>
      <c r="BN467" s="70"/>
      <c r="BO467" s="70"/>
      <c r="BP467" s="70"/>
      <c r="BQ467" s="70"/>
      <c r="BR467" s="70"/>
      <c r="BS467" s="70"/>
    </row>
    <row r="468" spans="1:71" x14ac:dyDescent="0.25">
      <c r="A468" s="29">
        <v>64</v>
      </c>
      <c r="B468" s="249" t="s">
        <v>3462</v>
      </c>
      <c r="C468" s="249" t="s">
        <v>3463</v>
      </c>
      <c r="D468" s="136" t="s">
        <v>65</v>
      </c>
      <c r="E468" s="215">
        <v>4.99</v>
      </c>
      <c r="F468" s="136">
        <v>20</v>
      </c>
      <c r="G468" s="136" t="s">
        <v>3464</v>
      </c>
      <c r="H468" s="136" t="s">
        <v>963</v>
      </c>
      <c r="I468" s="136" t="s">
        <v>2411</v>
      </c>
      <c r="J468" s="308">
        <v>3030220508239</v>
      </c>
      <c r="K468" s="187">
        <v>45156</v>
      </c>
      <c r="L468" s="136"/>
      <c r="M468" s="136"/>
      <c r="N468" s="136"/>
      <c r="O468" s="136"/>
      <c r="P468" s="136"/>
      <c r="Q468" s="136"/>
      <c r="R468" s="136"/>
      <c r="S468" s="136"/>
      <c r="T468" s="136"/>
      <c r="U468" s="136"/>
      <c r="V468" s="136"/>
      <c r="W468" s="136"/>
      <c r="Z468" s="87"/>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c r="BA468" s="70"/>
      <c r="BB468" s="70"/>
      <c r="BC468" s="70"/>
      <c r="BD468" s="70"/>
      <c r="BE468" s="70"/>
      <c r="BF468" s="70"/>
      <c r="BG468" s="70"/>
      <c r="BH468" s="70"/>
      <c r="BI468" s="70"/>
      <c r="BJ468" s="70"/>
      <c r="BK468" s="70"/>
      <c r="BL468" s="70"/>
      <c r="BM468" s="70"/>
      <c r="BN468" s="70"/>
      <c r="BO468" s="70"/>
      <c r="BP468" s="70"/>
      <c r="BQ468" s="70"/>
      <c r="BR468" s="70"/>
      <c r="BS468" s="70"/>
    </row>
    <row r="469" spans="1:71" x14ac:dyDescent="0.25">
      <c r="A469" s="29">
        <v>65</v>
      </c>
      <c r="B469" s="249" t="s">
        <v>3524</v>
      </c>
      <c r="C469" s="249" t="s">
        <v>3525</v>
      </c>
      <c r="D469" s="136" t="s">
        <v>2460</v>
      </c>
      <c r="E469" s="215">
        <v>2.75</v>
      </c>
      <c r="F469" s="136">
        <v>20</v>
      </c>
      <c r="G469" s="136" t="s">
        <v>3526</v>
      </c>
      <c r="H469" s="136" t="s">
        <v>963</v>
      </c>
      <c r="I469" s="136" t="s">
        <v>2411</v>
      </c>
      <c r="J469" s="308">
        <v>3020230310270</v>
      </c>
      <c r="K469" s="187">
        <v>45161</v>
      </c>
      <c r="L469" s="136"/>
      <c r="M469" s="136"/>
      <c r="N469" s="136"/>
      <c r="O469" s="136"/>
      <c r="P469" s="136"/>
      <c r="Q469" s="136"/>
      <c r="R469" s="136"/>
      <c r="S469" s="136"/>
      <c r="T469" s="136"/>
      <c r="U469" s="136"/>
      <c r="V469" s="136"/>
      <c r="W469" s="136"/>
      <c r="Z469" s="87"/>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c r="BA469" s="70"/>
      <c r="BB469" s="70"/>
      <c r="BC469" s="70"/>
      <c r="BD469" s="70"/>
      <c r="BE469" s="70"/>
      <c r="BF469" s="70"/>
      <c r="BG469" s="70"/>
      <c r="BH469" s="70"/>
      <c r="BI469" s="70"/>
      <c r="BJ469" s="70"/>
      <c r="BK469" s="70"/>
      <c r="BL469" s="70"/>
      <c r="BM469" s="70"/>
      <c r="BN469" s="70"/>
      <c r="BO469" s="70"/>
      <c r="BP469" s="70"/>
      <c r="BQ469" s="70"/>
      <c r="BR469" s="70"/>
      <c r="BS469" s="70"/>
    </row>
    <row r="470" spans="1:71" x14ac:dyDescent="0.25">
      <c r="A470" s="29">
        <v>66</v>
      </c>
      <c r="B470" s="249" t="s">
        <v>3465</v>
      </c>
      <c r="C470" s="249" t="s">
        <v>3466</v>
      </c>
      <c r="D470" s="136" t="s">
        <v>886</v>
      </c>
      <c r="E470" s="215">
        <v>4.9800000000000004</v>
      </c>
      <c r="F470" s="136">
        <v>20</v>
      </c>
      <c r="G470" s="136" t="s">
        <v>3467</v>
      </c>
      <c r="H470" s="136" t="s">
        <v>963</v>
      </c>
      <c r="I470" s="136" t="s">
        <v>2411</v>
      </c>
      <c r="J470" s="308">
        <v>3030221010880</v>
      </c>
      <c r="K470" s="187">
        <v>45156</v>
      </c>
      <c r="L470" s="136"/>
      <c r="M470" s="136"/>
      <c r="N470" s="136"/>
      <c r="O470" s="136"/>
      <c r="P470" s="136"/>
      <c r="Q470" s="136"/>
      <c r="R470" s="136"/>
      <c r="S470" s="136"/>
      <c r="T470" s="136"/>
      <c r="U470" s="136"/>
      <c r="V470" s="136"/>
      <c r="W470" s="136"/>
      <c r="Z470" s="87"/>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c r="BA470" s="70"/>
      <c r="BB470" s="70"/>
      <c r="BC470" s="70"/>
      <c r="BD470" s="70"/>
      <c r="BE470" s="70"/>
      <c r="BF470" s="70"/>
      <c r="BG470" s="70"/>
      <c r="BH470" s="70"/>
      <c r="BI470" s="70"/>
      <c r="BJ470" s="70"/>
      <c r="BK470" s="70"/>
      <c r="BL470" s="70"/>
      <c r="BM470" s="70"/>
      <c r="BN470" s="70"/>
      <c r="BO470" s="70"/>
      <c r="BP470" s="70"/>
      <c r="BQ470" s="70"/>
      <c r="BR470" s="70"/>
      <c r="BS470" s="70"/>
    </row>
    <row r="471" spans="1:71" x14ac:dyDescent="0.25">
      <c r="A471" s="29">
        <v>67</v>
      </c>
      <c r="B471" s="249" t="s">
        <v>3551</v>
      </c>
      <c r="C471" s="249" t="s">
        <v>3552</v>
      </c>
      <c r="D471" s="136" t="s">
        <v>2546</v>
      </c>
      <c r="E471" s="136">
        <v>48.825000000000003</v>
      </c>
      <c r="F471" s="136">
        <v>110</v>
      </c>
      <c r="G471" s="136" t="s">
        <v>3553</v>
      </c>
      <c r="H471" s="136" t="s">
        <v>963</v>
      </c>
      <c r="I471" s="136" t="s">
        <v>2411</v>
      </c>
      <c r="J471" s="308">
        <v>3010221121656</v>
      </c>
      <c r="K471" s="187">
        <v>45173</v>
      </c>
      <c r="L471" s="136"/>
      <c r="M471" s="136"/>
      <c r="N471" s="136"/>
      <c r="O471" s="136"/>
      <c r="P471" s="136"/>
      <c r="Q471" s="136"/>
      <c r="R471" s="136"/>
      <c r="S471" s="136"/>
      <c r="T471" s="136"/>
      <c r="U471" s="136"/>
      <c r="V471" s="136"/>
      <c r="W471" s="136"/>
      <c r="Z471" s="87"/>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c r="BA471" s="70"/>
      <c r="BB471" s="70"/>
      <c r="BC471" s="70"/>
      <c r="BD471" s="70"/>
      <c r="BE471" s="70"/>
      <c r="BF471" s="70"/>
      <c r="BG471" s="70"/>
      <c r="BH471" s="70"/>
      <c r="BI471" s="70"/>
      <c r="BJ471" s="70"/>
      <c r="BK471" s="70"/>
      <c r="BL471" s="70"/>
      <c r="BM471" s="70"/>
      <c r="BN471" s="70"/>
      <c r="BO471" s="70"/>
      <c r="BP471" s="70"/>
      <c r="BQ471" s="70"/>
      <c r="BR471" s="70"/>
      <c r="BS471" s="70"/>
    </row>
    <row r="472" spans="1:71" x14ac:dyDescent="0.25">
      <c r="A472" s="29">
        <v>68</v>
      </c>
      <c r="B472" s="249" t="s">
        <v>3587</v>
      </c>
      <c r="C472" s="249" t="s">
        <v>3257</v>
      </c>
      <c r="D472" s="249" t="s">
        <v>886</v>
      </c>
      <c r="E472" s="249">
        <v>1.65</v>
      </c>
      <c r="F472" s="249">
        <v>20</v>
      </c>
      <c r="G472" s="249" t="s">
        <v>3588</v>
      </c>
      <c r="H472" s="249" t="s">
        <v>963</v>
      </c>
      <c r="I472" s="249" t="s">
        <v>2411</v>
      </c>
      <c r="J472" s="429">
        <v>3030230212779</v>
      </c>
      <c r="K472" s="430">
        <v>45187</v>
      </c>
      <c r="L472" s="249"/>
      <c r="M472" s="249"/>
      <c r="N472" s="249"/>
      <c r="O472" s="249" t="s">
        <v>25</v>
      </c>
      <c r="P472" s="249" t="s">
        <v>25</v>
      </c>
      <c r="Q472" s="249" t="s">
        <v>25</v>
      </c>
      <c r="R472" s="249"/>
      <c r="S472" s="249"/>
      <c r="T472" s="249"/>
      <c r="U472" s="249"/>
      <c r="V472" s="249"/>
      <c r="W472" s="249"/>
      <c r="Z472" s="87"/>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row>
    <row r="473" spans="1:71" x14ac:dyDescent="0.25">
      <c r="A473" s="29">
        <v>69</v>
      </c>
      <c r="B473" s="249" t="s">
        <v>3589</v>
      </c>
      <c r="C473" s="249" t="s">
        <v>2832</v>
      </c>
      <c r="D473" s="249" t="s">
        <v>900</v>
      </c>
      <c r="E473" s="249">
        <v>4.5999999999999996</v>
      </c>
      <c r="F473" s="249">
        <v>20</v>
      </c>
      <c r="G473" s="249" t="s">
        <v>961</v>
      </c>
      <c r="H473" s="249" t="s">
        <v>963</v>
      </c>
      <c r="I473" s="249" t="s">
        <v>2411</v>
      </c>
      <c r="J473" s="429">
        <v>3060220912292</v>
      </c>
      <c r="K473" s="430">
        <v>45043</v>
      </c>
      <c r="L473" s="249" t="s">
        <v>3590</v>
      </c>
      <c r="M473" s="249">
        <v>45190</v>
      </c>
      <c r="N473" s="249"/>
      <c r="O473" s="249"/>
      <c r="P473" s="249"/>
      <c r="Q473" s="249"/>
      <c r="R473" s="249"/>
      <c r="S473" s="249"/>
      <c r="T473" s="249"/>
      <c r="U473" s="249"/>
      <c r="V473" s="249"/>
      <c r="W473" s="249"/>
      <c r="Z473" s="87"/>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c r="BA473" s="70"/>
      <c r="BB473" s="70"/>
      <c r="BC473" s="70"/>
      <c r="BD473" s="70"/>
      <c r="BE473" s="70"/>
      <c r="BF473" s="70"/>
      <c r="BG473" s="70"/>
      <c r="BH473" s="70"/>
      <c r="BI473" s="70"/>
      <c r="BJ473" s="70"/>
      <c r="BK473" s="70"/>
      <c r="BL473" s="70"/>
      <c r="BM473" s="70"/>
      <c r="BN473" s="70"/>
      <c r="BO473" s="70"/>
      <c r="BP473" s="70"/>
      <c r="BQ473" s="70"/>
      <c r="BR473" s="70"/>
      <c r="BS473" s="70"/>
    </row>
    <row r="474" spans="1:71" x14ac:dyDescent="0.25">
      <c r="A474" s="29">
        <v>70</v>
      </c>
      <c r="B474" s="249" t="s">
        <v>3620</v>
      </c>
      <c r="C474" s="249" t="s">
        <v>1163</v>
      </c>
      <c r="D474" s="249" t="s">
        <v>2837</v>
      </c>
      <c r="E474" s="428">
        <v>3.85</v>
      </c>
      <c r="F474" s="249">
        <v>20</v>
      </c>
      <c r="G474" s="249" t="s">
        <v>3621</v>
      </c>
      <c r="H474" s="249" t="s">
        <v>963</v>
      </c>
      <c r="I474" s="249" t="s">
        <v>2411</v>
      </c>
      <c r="J474" s="429">
        <v>3050221114596</v>
      </c>
      <c r="K474" s="430">
        <v>45194</v>
      </c>
      <c r="L474" s="249"/>
      <c r="M474" s="249"/>
      <c r="N474" s="249"/>
      <c r="O474" s="249"/>
      <c r="P474" s="249"/>
      <c r="Q474" s="249"/>
      <c r="R474" s="249"/>
      <c r="S474" s="249"/>
      <c r="T474" s="249"/>
      <c r="U474" s="249"/>
      <c r="V474" s="249"/>
      <c r="W474" s="249"/>
      <c r="Z474" s="87"/>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c r="BA474" s="70"/>
      <c r="BB474" s="70"/>
      <c r="BC474" s="70"/>
      <c r="BD474" s="70"/>
      <c r="BE474" s="70"/>
      <c r="BF474" s="70"/>
      <c r="BG474" s="70"/>
      <c r="BH474" s="70"/>
      <c r="BI474" s="70"/>
      <c r="BJ474" s="70"/>
      <c r="BK474" s="70"/>
      <c r="BL474" s="70"/>
      <c r="BM474" s="70"/>
      <c r="BN474" s="70"/>
      <c r="BO474" s="70"/>
      <c r="BP474" s="70"/>
      <c r="BQ474" s="70"/>
      <c r="BR474" s="70"/>
      <c r="BS474" s="70"/>
    </row>
    <row r="475" spans="1:71" x14ac:dyDescent="0.25">
      <c r="A475" s="29">
        <v>71</v>
      </c>
      <c r="B475" s="249" t="s">
        <v>3622</v>
      </c>
      <c r="C475" s="249" t="s">
        <v>3623</v>
      </c>
      <c r="D475" s="249" t="s">
        <v>921</v>
      </c>
      <c r="E475" s="428">
        <v>3.1549999999999998</v>
      </c>
      <c r="F475" s="249">
        <v>20</v>
      </c>
      <c r="G475" s="249" t="s">
        <v>3624</v>
      </c>
      <c r="H475" s="249" t="s">
        <v>964</v>
      </c>
      <c r="I475" s="249" t="s">
        <v>2411</v>
      </c>
      <c r="J475" s="429">
        <v>3010230425473</v>
      </c>
      <c r="K475" s="430">
        <v>45194</v>
      </c>
      <c r="L475" s="249"/>
      <c r="M475" s="249"/>
      <c r="N475" s="249"/>
      <c r="O475" s="249"/>
      <c r="P475" s="249"/>
      <c r="Q475" s="249"/>
      <c r="R475" s="249"/>
      <c r="S475" s="249"/>
      <c r="T475" s="249"/>
      <c r="U475" s="249"/>
      <c r="V475" s="249"/>
      <c r="W475" s="249"/>
      <c r="Z475" s="87"/>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c r="BA475" s="70"/>
      <c r="BB475" s="70"/>
      <c r="BC475" s="70"/>
      <c r="BD475" s="70"/>
      <c r="BE475" s="70"/>
      <c r="BF475" s="70"/>
      <c r="BG475" s="70"/>
      <c r="BH475" s="70"/>
      <c r="BI475" s="70"/>
      <c r="BJ475" s="70"/>
      <c r="BK475" s="70"/>
      <c r="BL475" s="70"/>
      <c r="BM475" s="70"/>
      <c r="BN475" s="70"/>
      <c r="BO475" s="70"/>
      <c r="BP475" s="70"/>
      <c r="BQ475" s="70"/>
      <c r="BR475" s="70"/>
      <c r="BS475" s="70"/>
    </row>
    <row r="476" spans="1:71" x14ac:dyDescent="0.25">
      <c r="A476" s="29">
        <v>72</v>
      </c>
      <c r="B476" s="249" t="s">
        <v>3046</v>
      </c>
      <c r="C476" s="249" t="s">
        <v>3047</v>
      </c>
      <c r="D476" s="249" t="s">
        <v>2546</v>
      </c>
      <c r="E476" s="428">
        <v>4.5</v>
      </c>
      <c r="F476" s="249">
        <v>20</v>
      </c>
      <c r="G476" s="249" t="s">
        <v>3806</v>
      </c>
      <c r="H476" s="249" t="s">
        <v>964</v>
      </c>
      <c r="I476" s="249" t="s">
        <v>2411</v>
      </c>
      <c r="J476" s="429">
        <v>3010230931431</v>
      </c>
      <c r="K476" s="430">
        <v>45195</v>
      </c>
      <c r="L476" s="249"/>
      <c r="M476" s="249"/>
      <c r="N476" s="249"/>
      <c r="O476" s="249" t="s">
        <v>25</v>
      </c>
      <c r="P476" s="249" t="s">
        <v>25</v>
      </c>
      <c r="Q476" s="249" t="s">
        <v>25</v>
      </c>
      <c r="R476" s="249"/>
      <c r="S476" s="249"/>
      <c r="T476" s="249"/>
      <c r="U476" s="249"/>
      <c r="V476" s="249"/>
      <c r="W476" s="249"/>
      <c r="Z476" s="87"/>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c r="BA476" s="70"/>
      <c r="BB476" s="70"/>
      <c r="BC476" s="70"/>
      <c r="BD476" s="70"/>
      <c r="BE476" s="70"/>
      <c r="BF476" s="70"/>
      <c r="BG476" s="70"/>
      <c r="BH476" s="70"/>
      <c r="BI476" s="70"/>
      <c r="BJ476" s="70"/>
      <c r="BK476" s="70"/>
      <c r="BL476" s="70"/>
      <c r="BM476" s="70"/>
      <c r="BN476" s="70"/>
      <c r="BO476" s="70"/>
      <c r="BP476" s="70"/>
      <c r="BQ476" s="70"/>
      <c r="BR476" s="70"/>
      <c r="BS476" s="70"/>
    </row>
    <row r="477" spans="1:71" x14ac:dyDescent="0.25">
      <c r="A477" s="29">
        <v>73</v>
      </c>
      <c r="B477" s="249" t="s">
        <v>3807</v>
      </c>
      <c r="C477" s="249" t="s">
        <v>3808</v>
      </c>
      <c r="D477" s="249" t="s">
        <v>2460</v>
      </c>
      <c r="E477" s="428">
        <v>3.6</v>
      </c>
      <c r="F477" s="249">
        <v>20</v>
      </c>
      <c r="G477" s="249" t="s">
        <v>3809</v>
      </c>
      <c r="H477" s="249" t="s">
        <v>963</v>
      </c>
      <c r="I477" s="249" t="s">
        <v>2411</v>
      </c>
      <c r="J477" s="429">
        <v>3020221108790</v>
      </c>
      <c r="K477" s="430">
        <v>45203</v>
      </c>
      <c r="L477" s="249"/>
      <c r="M477" s="249"/>
      <c r="N477" s="249"/>
      <c r="O477" s="249" t="s">
        <v>3810</v>
      </c>
      <c r="P477" s="249"/>
      <c r="Q477" s="249"/>
      <c r="R477" s="249"/>
      <c r="S477" s="249"/>
      <c r="T477" s="249"/>
      <c r="U477" s="249"/>
      <c r="V477" s="249"/>
      <c r="W477" s="249"/>
      <c r="Z477" s="87"/>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row>
    <row r="478" spans="1:71" x14ac:dyDescent="0.25">
      <c r="A478" s="29">
        <v>74</v>
      </c>
      <c r="B478" s="249" t="s">
        <v>3887</v>
      </c>
      <c r="C478" s="249" t="s">
        <v>3888</v>
      </c>
      <c r="D478" s="249" t="s">
        <v>900</v>
      </c>
      <c r="E478" s="428">
        <v>3.42</v>
      </c>
      <c r="F478" s="249">
        <v>20</v>
      </c>
      <c r="G478" s="249" t="s">
        <v>3889</v>
      </c>
      <c r="H478" s="249" t="s">
        <v>963</v>
      </c>
      <c r="I478" s="249" t="s">
        <v>2411</v>
      </c>
      <c r="J478" s="429">
        <v>3060230820630</v>
      </c>
      <c r="K478" s="430">
        <v>45203</v>
      </c>
      <c r="L478" s="249"/>
      <c r="M478" s="249"/>
      <c r="N478" s="249"/>
      <c r="O478" s="249"/>
      <c r="P478" s="249" t="s">
        <v>3890</v>
      </c>
      <c r="Q478" s="249"/>
      <c r="R478" s="249"/>
      <c r="S478" s="249"/>
      <c r="T478" s="249"/>
      <c r="U478" s="249"/>
      <c r="V478" s="249"/>
      <c r="W478" s="249"/>
      <c r="Z478" s="87"/>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c r="BA478" s="70"/>
      <c r="BB478" s="70"/>
      <c r="BC478" s="70"/>
      <c r="BD478" s="70"/>
      <c r="BE478" s="70"/>
      <c r="BF478" s="70"/>
      <c r="BG478" s="70"/>
      <c r="BH478" s="70"/>
      <c r="BI478" s="70"/>
      <c r="BJ478" s="70"/>
      <c r="BK478" s="70"/>
      <c r="BL478" s="70"/>
      <c r="BM478" s="70"/>
      <c r="BN478" s="70"/>
      <c r="BO478" s="70"/>
      <c r="BP478" s="70"/>
      <c r="BQ478" s="70"/>
      <c r="BR478" s="70"/>
      <c r="BS478" s="70"/>
    </row>
    <row r="479" spans="1:71" x14ac:dyDescent="0.25">
      <c r="A479" s="29">
        <v>75</v>
      </c>
      <c r="B479" s="249" t="s">
        <v>3891</v>
      </c>
      <c r="C479" s="249" t="s">
        <v>3525</v>
      </c>
      <c r="D479" s="249" t="s">
        <v>859</v>
      </c>
      <c r="E479" s="428">
        <v>4.5</v>
      </c>
      <c r="F479" s="249">
        <v>20</v>
      </c>
      <c r="G479" s="249" t="s">
        <v>3892</v>
      </c>
      <c r="H479" s="249" t="s">
        <v>963</v>
      </c>
      <c r="I479" s="249" t="s">
        <v>2411</v>
      </c>
      <c r="J479" s="429">
        <v>3020230611697</v>
      </c>
      <c r="K479" s="430">
        <v>45211</v>
      </c>
      <c r="L479" s="249"/>
      <c r="M479" s="249"/>
      <c r="N479" s="249"/>
      <c r="O479" s="249"/>
      <c r="P479" s="249"/>
      <c r="Q479" s="249"/>
      <c r="R479" s="249"/>
      <c r="S479" s="249"/>
      <c r="T479" s="249"/>
      <c r="U479" s="249"/>
      <c r="V479" s="249"/>
      <c r="W479" s="249"/>
      <c r="Z479" s="87"/>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c r="BA479" s="70"/>
      <c r="BB479" s="70"/>
      <c r="BC479" s="70"/>
      <c r="BD479" s="70"/>
      <c r="BE479" s="70"/>
      <c r="BF479" s="70"/>
      <c r="BG479" s="70"/>
      <c r="BH479" s="70"/>
      <c r="BI479" s="70"/>
      <c r="BJ479" s="70"/>
      <c r="BK479" s="70"/>
      <c r="BL479" s="70"/>
      <c r="BM479" s="70"/>
      <c r="BN479" s="70"/>
      <c r="BO479" s="70"/>
      <c r="BP479" s="70"/>
      <c r="BQ479" s="70"/>
      <c r="BR479" s="70"/>
      <c r="BS479" s="70"/>
    </row>
    <row r="480" spans="1:71" x14ac:dyDescent="0.25">
      <c r="A480" s="29">
        <v>76</v>
      </c>
      <c r="B480" s="249" t="s">
        <v>3893</v>
      </c>
      <c r="C480" s="249" t="s">
        <v>3894</v>
      </c>
      <c r="D480" s="249" t="s">
        <v>859</v>
      </c>
      <c r="E480" s="428">
        <v>2.8</v>
      </c>
      <c r="F480" s="249">
        <v>20</v>
      </c>
      <c r="G480" s="249" t="s">
        <v>3895</v>
      </c>
      <c r="H480" s="249" t="s">
        <v>963</v>
      </c>
      <c r="I480" s="249" t="s">
        <v>2411</v>
      </c>
      <c r="J480" s="429">
        <v>3020220607159</v>
      </c>
      <c r="K480" s="430">
        <v>45239</v>
      </c>
      <c r="L480" s="249"/>
      <c r="M480" s="249"/>
      <c r="N480" s="249"/>
      <c r="O480" s="249"/>
      <c r="P480" s="249"/>
      <c r="Q480" s="249"/>
      <c r="R480" s="249"/>
      <c r="S480" s="249"/>
      <c r="T480" s="249"/>
      <c r="U480" s="249"/>
      <c r="V480" s="249"/>
      <c r="W480" s="249"/>
      <c r="Z480" s="87"/>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c r="BA480" s="70"/>
      <c r="BB480" s="70"/>
      <c r="BC480" s="70"/>
      <c r="BD480" s="70"/>
      <c r="BE480" s="70"/>
      <c r="BF480" s="70"/>
      <c r="BG480" s="70"/>
      <c r="BH480" s="70"/>
      <c r="BI480" s="70"/>
      <c r="BJ480" s="70"/>
      <c r="BK480" s="70"/>
      <c r="BL480" s="70"/>
      <c r="BM480" s="70"/>
      <c r="BN480" s="70"/>
      <c r="BO480" s="70"/>
      <c r="BP480" s="70"/>
      <c r="BQ480" s="70"/>
      <c r="BR480" s="70"/>
      <c r="BS480" s="70"/>
    </row>
    <row r="481" spans="1:71" x14ac:dyDescent="0.25">
      <c r="A481" s="29">
        <v>77</v>
      </c>
      <c r="B481" s="249" t="s">
        <v>4035</v>
      </c>
      <c r="C481" s="249" t="s">
        <v>886</v>
      </c>
      <c r="D481" s="249" t="s">
        <v>886</v>
      </c>
      <c r="E481" s="428">
        <v>3.85</v>
      </c>
      <c r="F481" s="249">
        <v>20</v>
      </c>
      <c r="G481" s="249" t="s">
        <v>4036</v>
      </c>
      <c r="H481" s="249" t="s">
        <v>963</v>
      </c>
      <c r="I481" s="249" t="s">
        <v>2411</v>
      </c>
      <c r="J481" s="429">
        <v>3030230514115</v>
      </c>
      <c r="K481" s="430">
        <v>45266</v>
      </c>
      <c r="L481" s="249"/>
      <c r="M481" s="249"/>
      <c r="N481" s="249"/>
      <c r="O481" s="249"/>
      <c r="P481" s="249"/>
      <c r="Q481" s="249"/>
      <c r="R481" s="249"/>
      <c r="S481" s="249"/>
      <c r="T481" s="249"/>
      <c r="U481" s="249"/>
      <c r="V481" s="249"/>
      <c r="W481" s="249"/>
      <c r="Z481" s="87"/>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c r="BB481" s="70"/>
      <c r="BC481" s="70"/>
      <c r="BD481" s="70"/>
      <c r="BE481" s="70"/>
      <c r="BF481" s="70"/>
      <c r="BG481" s="70"/>
      <c r="BH481" s="70"/>
      <c r="BI481" s="70"/>
      <c r="BJ481" s="70"/>
      <c r="BK481" s="70"/>
      <c r="BL481" s="70"/>
      <c r="BM481" s="70"/>
      <c r="BN481" s="70"/>
      <c r="BO481" s="70"/>
      <c r="BP481" s="70"/>
      <c r="BQ481" s="70"/>
      <c r="BR481" s="70"/>
      <c r="BS481" s="70"/>
    </row>
    <row r="482" spans="1:71" x14ac:dyDescent="0.25">
      <c r="A482" s="29">
        <v>78</v>
      </c>
      <c r="B482" s="249" t="s">
        <v>4037</v>
      </c>
      <c r="C482" s="249" t="s">
        <v>4038</v>
      </c>
      <c r="D482" s="249" t="s">
        <v>900</v>
      </c>
      <c r="E482" s="428">
        <v>4.5970000000000004</v>
      </c>
      <c r="F482" s="249">
        <v>20</v>
      </c>
      <c r="G482" s="249" t="s">
        <v>4039</v>
      </c>
      <c r="H482" s="249" t="s">
        <v>963</v>
      </c>
      <c r="I482" s="249" t="s">
        <v>2411</v>
      </c>
      <c r="J482" s="429">
        <v>3060230115314</v>
      </c>
      <c r="K482" s="430">
        <v>45149</v>
      </c>
      <c r="L482" s="249" t="s">
        <v>4040</v>
      </c>
      <c r="M482" s="430">
        <v>45266</v>
      </c>
      <c r="N482" s="249"/>
      <c r="O482" s="249"/>
      <c r="P482" s="249"/>
      <c r="Q482" s="249"/>
      <c r="R482" s="249"/>
      <c r="S482" s="249"/>
      <c r="T482" s="249"/>
      <c r="U482" s="249"/>
      <c r="V482" s="249"/>
      <c r="W482" s="249"/>
      <c r="Z482" s="87"/>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c r="BA482" s="70"/>
      <c r="BB482" s="70"/>
      <c r="BC482" s="70"/>
      <c r="BD482" s="70"/>
      <c r="BE482" s="70"/>
      <c r="BF482" s="70"/>
      <c r="BG482" s="70"/>
      <c r="BH482" s="70"/>
      <c r="BI482" s="70"/>
      <c r="BJ482" s="70"/>
      <c r="BK482" s="70"/>
      <c r="BL482" s="70"/>
      <c r="BM482" s="70"/>
      <c r="BN482" s="70"/>
      <c r="BO482" s="70"/>
      <c r="BP482" s="70"/>
      <c r="BQ482" s="70"/>
      <c r="BR482" s="70"/>
      <c r="BS482" s="70"/>
    </row>
    <row r="483" spans="1:71" x14ac:dyDescent="0.25">
      <c r="A483" s="29">
        <v>79</v>
      </c>
      <c r="B483" s="249" t="s">
        <v>4133</v>
      </c>
      <c r="C483" s="249" t="s">
        <v>4134</v>
      </c>
      <c r="D483" s="249" t="s">
        <v>859</v>
      </c>
      <c r="E483" s="428">
        <v>5.0599999999999996</v>
      </c>
      <c r="F483" s="249">
        <v>20</v>
      </c>
      <c r="G483" s="249" t="s">
        <v>4135</v>
      </c>
      <c r="H483" s="249" t="s">
        <v>963</v>
      </c>
      <c r="I483" s="249" t="s">
        <v>2411</v>
      </c>
      <c r="J483" s="429">
        <v>3020230109501</v>
      </c>
      <c r="K483" s="430">
        <v>45271</v>
      </c>
      <c r="L483" s="249"/>
      <c r="M483" s="249"/>
      <c r="N483" s="249"/>
      <c r="O483" s="249"/>
      <c r="P483" s="249"/>
      <c r="Q483" s="249"/>
      <c r="R483" s="249"/>
      <c r="S483" s="249"/>
      <c r="T483" s="249"/>
      <c r="U483" s="249"/>
      <c r="V483" s="249"/>
      <c r="W483" s="249"/>
      <c r="Z483" s="87"/>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c r="BA483" s="70"/>
      <c r="BB483" s="70"/>
      <c r="BC483" s="70"/>
      <c r="BD483" s="70"/>
      <c r="BE483" s="70"/>
      <c r="BF483" s="70"/>
      <c r="BG483" s="70"/>
      <c r="BH483" s="70"/>
      <c r="BI483" s="70"/>
      <c r="BJ483" s="70"/>
      <c r="BK483" s="70"/>
      <c r="BL483" s="70"/>
      <c r="BM483" s="70"/>
      <c r="BN483" s="70"/>
      <c r="BO483" s="70"/>
      <c r="BP483" s="70"/>
      <c r="BQ483" s="70"/>
      <c r="BR483" s="70"/>
      <c r="BS483" s="70"/>
    </row>
    <row r="484" spans="1:71" x14ac:dyDescent="0.25">
      <c r="A484" s="29">
        <v>80</v>
      </c>
      <c r="B484" s="249" t="s">
        <v>4261</v>
      </c>
      <c r="C484" s="249" t="s">
        <v>4262</v>
      </c>
      <c r="D484" s="249" t="s">
        <v>886</v>
      </c>
      <c r="E484" s="428">
        <v>1</v>
      </c>
      <c r="F484" s="249">
        <v>20</v>
      </c>
      <c r="G484" s="249" t="s">
        <v>4263</v>
      </c>
      <c r="H484" s="249" t="s">
        <v>963</v>
      </c>
      <c r="I484" s="249" t="s">
        <v>2411</v>
      </c>
      <c r="J484" s="429">
        <v>3030221010804</v>
      </c>
      <c r="K484" s="430">
        <v>45288</v>
      </c>
      <c r="L484" s="249"/>
      <c r="M484" s="249"/>
      <c r="N484" s="249"/>
      <c r="O484" s="249"/>
      <c r="P484" s="249"/>
      <c r="Q484" s="249"/>
      <c r="R484" s="249"/>
      <c r="S484" s="249"/>
      <c r="T484" s="249"/>
      <c r="U484" s="249"/>
      <c r="V484" s="249"/>
      <c r="W484" s="249"/>
      <c r="Z484" s="87"/>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c r="BA484" s="70"/>
      <c r="BB484" s="70"/>
      <c r="BC484" s="70"/>
      <c r="BD484" s="70"/>
      <c r="BE484" s="70"/>
      <c r="BF484" s="70"/>
      <c r="BG484" s="70"/>
      <c r="BH484" s="70"/>
      <c r="BI484" s="70"/>
      <c r="BJ484" s="70"/>
      <c r="BK484" s="70"/>
      <c r="BL484" s="70"/>
      <c r="BM484" s="70"/>
      <c r="BN484" s="70"/>
      <c r="BO484" s="70"/>
      <c r="BP484" s="70"/>
      <c r="BQ484" s="70"/>
      <c r="BR484" s="70"/>
      <c r="BS484" s="70"/>
    </row>
    <row r="485" spans="1:71" x14ac:dyDescent="0.25">
      <c r="A485" s="29">
        <v>81</v>
      </c>
      <c r="B485" s="249" t="s">
        <v>4264</v>
      </c>
      <c r="C485" s="249" t="s">
        <v>4265</v>
      </c>
      <c r="D485" s="249" t="s">
        <v>921</v>
      </c>
      <c r="E485" s="428">
        <v>6.6</v>
      </c>
      <c r="F485" s="249">
        <v>20</v>
      </c>
      <c r="G485" s="249" t="s">
        <v>4266</v>
      </c>
      <c r="H485" s="249" t="s">
        <v>963</v>
      </c>
      <c r="I485" s="249" t="s">
        <v>2411</v>
      </c>
      <c r="J485" s="429">
        <v>3010230628064</v>
      </c>
      <c r="K485" s="430">
        <v>45271</v>
      </c>
      <c r="L485" s="249"/>
      <c r="M485" s="249"/>
      <c r="N485" s="249"/>
      <c r="O485" s="249"/>
      <c r="P485" s="249"/>
      <c r="Q485" s="249"/>
      <c r="R485" s="249"/>
      <c r="S485" s="249"/>
      <c r="T485" s="249"/>
      <c r="U485" s="249"/>
      <c r="V485" s="249"/>
      <c r="W485" s="249"/>
      <c r="Z485" s="87"/>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c r="BB485" s="70"/>
      <c r="BC485" s="70"/>
      <c r="BD485" s="70"/>
      <c r="BE485" s="70"/>
      <c r="BF485" s="70"/>
      <c r="BG485" s="70"/>
      <c r="BH485" s="70"/>
      <c r="BI485" s="70"/>
      <c r="BJ485" s="70"/>
      <c r="BK485" s="70"/>
      <c r="BL485" s="70"/>
      <c r="BM485" s="70"/>
      <c r="BN485" s="70"/>
      <c r="BO485" s="70"/>
      <c r="BP485" s="70"/>
      <c r="BQ485" s="70"/>
      <c r="BR485" s="70"/>
      <c r="BS485" s="70"/>
    </row>
    <row r="486" spans="1:71" x14ac:dyDescent="0.25">
      <c r="A486" s="29">
        <v>82</v>
      </c>
      <c r="B486" s="249" t="s">
        <v>4267</v>
      </c>
      <c r="C486" s="249" t="s">
        <v>4268</v>
      </c>
      <c r="D486" s="249" t="s">
        <v>859</v>
      </c>
      <c r="E486" s="428">
        <v>4</v>
      </c>
      <c r="F486" s="249">
        <v>20</v>
      </c>
      <c r="G486" s="249" t="s">
        <v>4269</v>
      </c>
      <c r="H486" s="249" t="s">
        <v>963</v>
      </c>
      <c r="I486" s="249" t="s">
        <v>2411</v>
      </c>
      <c r="J486" s="429">
        <v>3020230912854</v>
      </c>
      <c r="K486" s="430">
        <v>45273</v>
      </c>
      <c r="L486" s="249"/>
      <c r="M486" s="249"/>
      <c r="N486" s="249"/>
      <c r="O486" s="249"/>
      <c r="P486" s="249"/>
      <c r="Q486" s="249"/>
      <c r="R486" s="249"/>
      <c r="S486" s="249"/>
      <c r="T486" s="249"/>
      <c r="U486" s="249"/>
      <c r="V486" s="249"/>
      <c r="W486" s="249"/>
      <c r="Z486" s="87"/>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c r="BA486" s="70"/>
      <c r="BB486" s="70"/>
      <c r="BC486" s="70"/>
      <c r="BD486" s="70"/>
      <c r="BE486" s="70"/>
      <c r="BF486" s="70"/>
      <c r="BG486" s="70"/>
      <c r="BH486" s="70"/>
      <c r="BI486" s="70"/>
      <c r="BJ486" s="70"/>
      <c r="BK486" s="70"/>
      <c r="BL486" s="70"/>
      <c r="BM486" s="70"/>
      <c r="BN486" s="70"/>
      <c r="BO486" s="70"/>
      <c r="BP486" s="70"/>
      <c r="BQ486" s="70"/>
      <c r="BR486" s="70"/>
      <c r="BS486" s="70"/>
    </row>
    <row r="487" spans="1:71" x14ac:dyDescent="0.25">
      <c r="A487" s="29">
        <v>83</v>
      </c>
      <c r="B487" s="249" t="s">
        <v>4564</v>
      </c>
      <c r="C487" s="249" t="s">
        <v>4565</v>
      </c>
      <c r="D487" s="249" t="s">
        <v>921</v>
      </c>
      <c r="E487" s="249">
        <v>31.2</v>
      </c>
      <c r="F487" s="249">
        <v>110</v>
      </c>
      <c r="G487" s="249" t="s">
        <v>4566</v>
      </c>
      <c r="H487" s="249" t="s">
        <v>963</v>
      </c>
      <c r="I487" s="249" t="s">
        <v>2411</v>
      </c>
      <c r="J487" s="429">
        <v>3010220513771</v>
      </c>
      <c r="K487" s="430">
        <v>45308</v>
      </c>
      <c r="L487" s="249"/>
      <c r="M487" s="249"/>
      <c r="N487" s="249"/>
      <c r="O487" s="249"/>
      <c r="P487" s="249"/>
      <c r="Q487" s="249"/>
      <c r="R487" s="249"/>
      <c r="S487" s="249"/>
      <c r="T487" s="249"/>
      <c r="U487" s="249"/>
      <c r="V487" s="249"/>
      <c r="W487" s="249"/>
      <c r="Z487" s="87"/>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c r="BA487" s="70"/>
      <c r="BB487" s="70"/>
      <c r="BC487" s="70"/>
      <c r="BD487" s="70"/>
      <c r="BE487" s="70"/>
      <c r="BF487" s="70"/>
      <c r="BG487" s="70"/>
      <c r="BH487" s="70"/>
      <c r="BI487" s="70"/>
      <c r="BJ487" s="70"/>
      <c r="BK487" s="70"/>
      <c r="BL487" s="70"/>
      <c r="BM487" s="70"/>
      <c r="BN487" s="70"/>
      <c r="BO487" s="70"/>
      <c r="BP487" s="70"/>
      <c r="BQ487" s="70"/>
      <c r="BR487" s="70"/>
      <c r="BS487" s="70"/>
    </row>
    <row r="488" spans="1:71" x14ac:dyDescent="0.25">
      <c r="A488" s="29">
        <v>84</v>
      </c>
      <c r="B488" s="249" t="s">
        <v>4567</v>
      </c>
      <c r="C488" s="249" t="s">
        <v>3174</v>
      </c>
      <c r="D488" s="249" t="s">
        <v>2546</v>
      </c>
      <c r="E488" s="249">
        <v>4.8</v>
      </c>
      <c r="F488" s="249">
        <v>20</v>
      </c>
      <c r="G488" s="249" t="s">
        <v>4568</v>
      </c>
      <c r="H488" s="249" t="s">
        <v>963</v>
      </c>
      <c r="I488" s="249" t="s">
        <v>2411</v>
      </c>
      <c r="J488" s="429">
        <v>3010231133017</v>
      </c>
      <c r="K488" s="430">
        <v>45307</v>
      </c>
      <c r="L488" s="249"/>
      <c r="M488" s="249"/>
      <c r="N488" s="249"/>
      <c r="O488" s="249"/>
      <c r="P488" s="249"/>
      <c r="Q488" s="249"/>
      <c r="R488" s="249"/>
      <c r="S488" s="249"/>
      <c r="T488" s="249"/>
      <c r="U488" s="249"/>
      <c r="V488" s="249"/>
      <c r="W488" s="249"/>
      <c r="Z488" s="87"/>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row>
    <row r="489" spans="1:71" x14ac:dyDescent="0.25">
      <c r="A489" s="29">
        <v>85</v>
      </c>
      <c r="B489" s="249" t="s">
        <v>4569</v>
      </c>
      <c r="C489" s="249" t="s">
        <v>4570</v>
      </c>
      <c r="D489" s="249" t="s">
        <v>2546</v>
      </c>
      <c r="E489" s="428">
        <v>42</v>
      </c>
      <c r="F489" s="249">
        <v>110</v>
      </c>
      <c r="G489" s="249" t="s">
        <v>4571</v>
      </c>
      <c r="H489" s="249" t="s">
        <v>963</v>
      </c>
      <c r="I489" s="249" t="s">
        <v>2411</v>
      </c>
      <c r="J489" s="429">
        <v>3010220311603</v>
      </c>
      <c r="K489" s="430">
        <v>44978</v>
      </c>
      <c r="L489" s="249" t="s">
        <v>4572</v>
      </c>
      <c r="M489" s="430">
        <v>45322</v>
      </c>
      <c r="N489" s="249"/>
      <c r="O489" s="249"/>
      <c r="P489" s="249"/>
      <c r="Q489" s="249"/>
      <c r="R489" s="249"/>
      <c r="S489" s="249"/>
      <c r="T489" s="249"/>
      <c r="U489" s="249"/>
      <c r="V489" s="249"/>
      <c r="W489" s="249"/>
      <c r="Z489" s="87"/>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c r="BA489" s="70"/>
      <c r="BB489" s="70"/>
      <c r="BC489" s="70"/>
      <c r="BD489" s="70"/>
      <c r="BE489" s="70"/>
      <c r="BF489" s="70"/>
      <c r="BG489" s="70"/>
      <c r="BH489" s="70"/>
      <c r="BI489" s="70"/>
      <c r="BJ489" s="70"/>
      <c r="BK489" s="70"/>
      <c r="BL489" s="70"/>
      <c r="BM489" s="70"/>
      <c r="BN489" s="70"/>
      <c r="BO489" s="70"/>
      <c r="BP489" s="70"/>
      <c r="BQ489" s="70"/>
      <c r="BR489" s="70"/>
      <c r="BS489" s="70"/>
    </row>
    <row r="490" spans="1:71" x14ac:dyDescent="0.25">
      <c r="A490" s="29">
        <v>86</v>
      </c>
      <c r="B490" s="249" t="s">
        <v>4573</v>
      </c>
      <c r="C490" s="249" t="s">
        <v>4574</v>
      </c>
      <c r="D490" s="249" t="s">
        <v>874</v>
      </c>
      <c r="E490" s="428">
        <v>19.2</v>
      </c>
      <c r="F490" s="249">
        <v>110</v>
      </c>
      <c r="G490" s="249" t="s">
        <v>4575</v>
      </c>
      <c r="H490" s="249" t="s">
        <v>963</v>
      </c>
      <c r="I490" s="249" t="s">
        <v>2411</v>
      </c>
      <c r="J490" s="429">
        <v>3050220711794</v>
      </c>
      <c r="K490" s="430">
        <v>45300</v>
      </c>
      <c r="L490" s="249"/>
      <c r="M490" s="249"/>
      <c r="N490" s="249"/>
      <c r="O490" s="249"/>
      <c r="P490" s="249"/>
      <c r="Q490" s="249"/>
      <c r="R490" s="249"/>
      <c r="S490" s="249"/>
      <c r="T490" s="249"/>
      <c r="U490" s="249"/>
      <c r="V490" s="249"/>
      <c r="W490" s="249"/>
      <c r="Z490" s="87"/>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c r="BA490" s="70"/>
      <c r="BB490" s="70"/>
      <c r="BC490" s="70"/>
      <c r="BD490" s="70"/>
      <c r="BE490" s="70"/>
      <c r="BF490" s="70"/>
      <c r="BG490" s="70"/>
      <c r="BH490" s="70"/>
      <c r="BI490" s="70"/>
      <c r="BJ490" s="70"/>
      <c r="BK490" s="70"/>
      <c r="BL490" s="70"/>
      <c r="BM490" s="70"/>
      <c r="BN490" s="70"/>
      <c r="BO490" s="70"/>
      <c r="BP490" s="70"/>
      <c r="BQ490" s="70"/>
      <c r="BR490" s="70"/>
      <c r="BS490" s="70"/>
    </row>
    <row r="491" spans="1:71" x14ac:dyDescent="0.25">
      <c r="A491" s="29">
        <v>87</v>
      </c>
      <c r="B491" s="249" t="s">
        <v>4576</v>
      </c>
      <c r="C491" s="249" t="s">
        <v>4577</v>
      </c>
      <c r="D491" s="249" t="s">
        <v>2546</v>
      </c>
      <c r="E491" s="428">
        <v>49</v>
      </c>
      <c r="F491" s="249">
        <v>110</v>
      </c>
      <c r="G491" s="249" t="s">
        <v>4578</v>
      </c>
      <c r="H491" s="249" t="s">
        <v>963</v>
      </c>
      <c r="I491" s="249" t="s">
        <v>2411</v>
      </c>
      <c r="J491" s="429">
        <v>3010230324710</v>
      </c>
      <c r="K491" s="430">
        <v>45308</v>
      </c>
      <c r="L491" s="249"/>
      <c r="M491" s="249"/>
      <c r="N491" s="249"/>
      <c r="O491" s="249"/>
      <c r="P491" s="249"/>
      <c r="Q491" s="249"/>
      <c r="R491" s="249"/>
      <c r="S491" s="249"/>
      <c r="T491" s="249"/>
      <c r="U491" s="249"/>
      <c r="V491" s="249"/>
      <c r="W491" s="249"/>
      <c r="Z491" s="87"/>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c r="BA491" s="70"/>
      <c r="BB491" s="70"/>
      <c r="BC491" s="70"/>
      <c r="BD491" s="70"/>
      <c r="BE491" s="70"/>
      <c r="BF491" s="70"/>
      <c r="BG491" s="70"/>
      <c r="BH491" s="70"/>
      <c r="BI491" s="70"/>
      <c r="BJ491" s="70"/>
      <c r="BK491" s="70"/>
      <c r="BL491" s="70"/>
      <c r="BM491" s="70"/>
      <c r="BN491" s="70"/>
      <c r="BO491" s="70"/>
      <c r="BP491" s="70"/>
      <c r="BQ491" s="70"/>
      <c r="BR491" s="70"/>
      <c r="BS491" s="70"/>
    </row>
    <row r="492" spans="1:71" x14ac:dyDescent="0.25">
      <c r="A492" s="29">
        <v>88</v>
      </c>
      <c r="B492" s="249" t="s">
        <v>4579</v>
      </c>
      <c r="C492" s="249" t="s">
        <v>4580</v>
      </c>
      <c r="D492" s="249" t="s">
        <v>874</v>
      </c>
      <c r="E492" s="428">
        <v>5.2</v>
      </c>
      <c r="F492" s="249">
        <v>20</v>
      </c>
      <c r="G492" s="249" t="s">
        <v>4581</v>
      </c>
      <c r="H492" s="249" t="s">
        <v>963</v>
      </c>
      <c r="I492" s="249" t="s">
        <v>2411</v>
      </c>
      <c r="J492" s="429">
        <v>3050230518719</v>
      </c>
      <c r="K492" s="430">
        <v>45308</v>
      </c>
      <c r="L492" s="249"/>
      <c r="M492" s="249"/>
      <c r="N492" s="249"/>
      <c r="O492" s="249"/>
      <c r="P492" s="249"/>
      <c r="Q492" s="249"/>
      <c r="R492" s="249"/>
      <c r="S492" s="249"/>
      <c r="T492" s="249"/>
      <c r="U492" s="249"/>
      <c r="V492" s="249"/>
      <c r="W492" s="249"/>
      <c r="Z492" s="87"/>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c r="BA492" s="70"/>
      <c r="BB492" s="70"/>
      <c r="BC492" s="70"/>
      <c r="BD492" s="70"/>
      <c r="BE492" s="70"/>
      <c r="BF492" s="70"/>
      <c r="BG492" s="70"/>
      <c r="BH492" s="70"/>
      <c r="BI492" s="70"/>
      <c r="BJ492" s="70"/>
      <c r="BK492" s="70"/>
      <c r="BL492" s="70"/>
      <c r="BM492" s="70"/>
      <c r="BN492" s="70"/>
      <c r="BO492" s="70"/>
      <c r="BP492" s="70"/>
      <c r="BQ492" s="70"/>
      <c r="BR492" s="70"/>
      <c r="BS492" s="70"/>
    </row>
    <row r="493" spans="1:71" x14ac:dyDescent="0.25">
      <c r="A493" s="29">
        <v>89</v>
      </c>
      <c r="B493" s="249" t="s">
        <v>4582</v>
      </c>
      <c r="C493" s="249" t="s">
        <v>859</v>
      </c>
      <c r="D493" s="249" t="s">
        <v>2460</v>
      </c>
      <c r="E493" s="428">
        <v>6.3</v>
      </c>
      <c r="F493" s="249">
        <v>20</v>
      </c>
      <c r="G493" s="249" t="s">
        <v>4583</v>
      </c>
      <c r="H493" s="249" t="s">
        <v>963</v>
      </c>
      <c r="I493" s="249" t="s">
        <v>2411</v>
      </c>
      <c r="J493" s="429">
        <v>3020231113644</v>
      </c>
      <c r="K493" s="430">
        <v>45321</v>
      </c>
      <c r="L493" s="249"/>
      <c r="M493" s="249"/>
      <c r="N493" s="249"/>
      <c r="O493" s="249"/>
      <c r="P493" s="249"/>
      <c r="Q493" s="249"/>
      <c r="R493" s="249"/>
      <c r="S493" s="249"/>
      <c r="T493" s="249"/>
      <c r="U493" s="249"/>
      <c r="V493" s="249"/>
      <c r="W493" s="249"/>
      <c r="Z493" s="87"/>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c r="BA493" s="70"/>
      <c r="BB493" s="70"/>
      <c r="BC493" s="70"/>
      <c r="BD493" s="70"/>
      <c r="BE493" s="70"/>
      <c r="BF493" s="70"/>
      <c r="BG493" s="70"/>
      <c r="BH493" s="70"/>
      <c r="BI493" s="70"/>
      <c r="BJ493" s="70"/>
      <c r="BK493" s="70"/>
      <c r="BL493" s="70"/>
      <c r="BM493" s="70"/>
      <c r="BN493" s="70"/>
      <c r="BO493" s="70"/>
      <c r="BP493" s="70"/>
      <c r="BQ493" s="70"/>
      <c r="BR493" s="70"/>
      <c r="BS493" s="70"/>
    </row>
    <row r="494" spans="1:71" x14ac:dyDescent="0.25">
      <c r="A494" s="29">
        <v>90</v>
      </c>
      <c r="B494" s="249" t="s">
        <v>4584</v>
      </c>
      <c r="C494" s="249" t="s">
        <v>4585</v>
      </c>
      <c r="D494" s="249" t="s">
        <v>917</v>
      </c>
      <c r="E494" s="428">
        <v>4</v>
      </c>
      <c r="F494" s="249">
        <v>20</v>
      </c>
      <c r="G494" s="249" t="s">
        <v>4586</v>
      </c>
      <c r="H494" s="249" t="s">
        <v>963</v>
      </c>
      <c r="I494" s="249" t="s">
        <v>2411</v>
      </c>
      <c r="J494" s="429">
        <v>3060220912276</v>
      </c>
      <c r="K494" s="430">
        <v>45322</v>
      </c>
      <c r="L494" s="249"/>
      <c r="M494" s="249"/>
      <c r="N494" s="249"/>
      <c r="O494" s="249"/>
      <c r="P494" s="249"/>
      <c r="Q494" s="249"/>
      <c r="R494" s="249"/>
      <c r="S494" s="249"/>
      <c r="T494" s="249"/>
      <c r="U494" s="249"/>
      <c r="V494" s="249"/>
      <c r="W494" s="249"/>
      <c r="Z494" s="87"/>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row>
    <row r="495" spans="1:71" x14ac:dyDescent="0.25">
      <c r="A495" s="29">
        <v>91</v>
      </c>
      <c r="B495" s="249" t="s">
        <v>4587</v>
      </c>
      <c r="C495" s="249" t="s">
        <v>4588</v>
      </c>
      <c r="D495" s="249" t="s">
        <v>925</v>
      </c>
      <c r="E495" s="428">
        <v>1.5</v>
      </c>
      <c r="F495" s="249">
        <v>20</v>
      </c>
      <c r="G495" s="249" t="s">
        <v>4589</v>
      </c>
      <c r="H495" s="249" t="s">
        <v>963</v>
      </c>
      <c r="I495" s="249" t="s">
        <v>2411</v>
      </c>
      <c r="J495" s="429">
        <v>3040230309455</v>
      </c>
      <c r="K495" s="430">
        <v>45322</v>
      </c>
      <c r="L495" s="249"/>
      <c r="M495" s="249"/>
      <c r="N495" s="249"/>
      <c r="O495" s="249"/>
      <c r="P495" s="249"/>
      <c r="Q495" s="249"/>
      <c r="R495" s="249"/>
      <c r="S495" s="249"/>
      <c r="T495" s="249"/>
      <c r="U495" s="249"/>
      <c r="V495" s="249"/>
      <c r="W495" s="249"/>
      <c r="Z495" s="87"/>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c r="BA495" s="70"/>
      <c r="BB495" s="70"/>
      <c r="BC495" s="70"/>
      <c r="BD495" s="70"/>
      <c r="BE495" s="70"/>
      <c r="BF495" s="70"/>
      <c r="BG495" s="70"/>
      <c r="BH495" s="70"/>
      <c r="BI495" s="70"/>
      <c r="BJ495" s="70"/>
      <c r="BK495" s="70"/>
      <c r="BL495" s="70"/>
      <c r="BM495" s="70"/>
      <c r="BN495" s="70"/>
      <c r="BO495" s="70"/>
      <c r="BP495" s="70"/>
      <c r="BQ495" s="70"/>
      <c r="BR495" s="70"/>
      <c r="BS495" s="70"/>
    </row>
    <row r="496" spans="1:71" x14ac:dyDescent="0.25">
      <c r="A496" s="29">
        <v>92</v>
      </c>
      <c r="B496" s="249" t="s">
        <v>4592</v>
      </c>
      <c r="C496" s="249" t="s">
        <v>4593</v>
      </c>
      <c r="D496" s="249" t="s">
        <v>917</v>
      </c>
      <c r="E496" s="428">
        <v>3</v>
      </c>
      <c r="F496" s="249">
        <v>20</v>
      </c>
      <c r="G496" s="249" t="s">
        <v>4594</v>
      </c>
      <c r="H496" s="249" t="s">
        <v>963</v>
      </c>
      <c r="I496" s="249" t="s">
        <v>2411</v>
      </c>
      <c r="J496" s="429">
        <v>3060220711052</v>
      </c>
      <c r="K496" s="430">
        <v>45335</v>
      </c>
      <c r="L496" s="249"/>
      <c r="M496" s="249"/>
      <c r="N496" s="249"/>
      <c r="O496" s="249"/>
      <c r="P496" s="249"/>
      <c r="Q496" s="249"/>
      <c r="R496" s="249"/>
      <c r="S496" s="249"/>
      <c r="T496" s="249"/>
      <c r="U496" s="249"/>
      <c r="V496" s="249"/>
      <c r="W496" s="249"/>
      <c r="Z496" s="87"/>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c r="BA496" s="70"/>
      <c r="BB496" s="70"/>
      <c r="BC496" s="70"/>
      <c r="BD496" s="70"/>
      <c r="BE496" s="70"/>
      <c r="BF496" s="70"/>
      <c r="BG496" s="70"/>
      <c r="BH496" s="70"/>
      <c r="BI496" s="70"/>
      <c r="BJ496" s="70"/>
      <c r="BK496" s="70"/>
      <c r="BL496" s="70"/>
      <c r="BM496" s="70"/>
      <c r="BN496" s="70"/>
      <c r="BO496" s="70"/>
      <c r="BP496" s="70"/>
      <c r="BQ496" s="70"/>
      <c r="BR496" s="70"/>
      <c r="BS496" s="70"/>
    </row>
    <row r="497" spans="1:71" ht="15.75" customHeight="1" x14ac:dyDescent="0.25">
      <c r="A497" s="29">
        <v>93</v>
      </c>
      <c r="B497" s="249" t="s">
        <v>4595</v>
      </c>
      <c r="C497" s="249" t="s">
        <v>3531</v>
      </c>
      <c r="D497" s="249" t="s">
        <v>874</v>
      </c>
      <c r="E497" s="428">
        <v>4.9000000000000004</v>
      </c>
      <c r="F497" s="249">
        <v>20</v>
      </c>
      <c r="G497" s="249" t="s">
        <v>4596</v>
      </c>
      <c r="H497" s="249" t="s">
        <v>963</v>
      </c>
      <c r="I497" s="249" t="s">
        <v>2411</v>
      </c>
      <c r="J497" s="429">
        <v>3050220309584</v>
      </c>
      <c r="K497" s="430">
        <v>44980</v>
      </c>
      <c r="L497" s="249" t="s">
        <v>4597</v>
      </c>
      <c r="M497" s="430">
        <v>45342</v>
      </c>
      <c r="N497" s="249"/>
      <c r="O497" s="249"/>
      <c r="P497" s="249"/>
      <c r="Q497" s="249"/>
      <c r="R497" s="249"/>
      <c r="S497" s="249"/>
      <c r="T497" s="249"/>
      <c r="U497" s="249"/>
      <c r="V497" s="249"/>
      <c r="W497" s="249"/>
      <c r="Z497" s="87"/>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c r="BA497" s="70"/>
      <c r="BB497" s="70"/>
      <c r="BC497" s="70"/>
      <c r="BD497" s="70"/>
      <c r="BE497" s="70"/>
      <c r="BF497" s="70"/>
      <c r="BG497" s="70"/>
      <c r="BH497" s="70"/>
      <c r="BI497" s="70"/>
      <c r="BJ497" s="70"/>
      <c r="BK497" s="70"/>
      <c r="BL497" s="70"/>
      <c r="BM497" s="70"/>
      <c r="BN497" s="70"/>
      <c r="BO497" s="70"/>
      <c r="BP497" s="70"/>
      <c r="BQ497" s="70"/>
      <c r="BR497" s="70"/>
      <c r="BS497" s="70"/>
    </row>
    <row r="498" spans="1:71" ht="15.75" customHeight="1" x14ac:dyDescent="0.25">
      <c r="A498" s="29">
        <v>94</v>
      </c>
      <c r="B498" s="249" t="s">
        <v>4681</v>
      </c>
      <c r="C498" s="249" t="s">
        <v>4682</v>
      </c>
      <c r="D498" s="249" t="s">
        <v>900</v>
      </c>
      <c r="E498" s="249">
        <v>44.95</v>
      </c>
      <c r="F498" s="249">
        <v>110</v>
      </c>
      <c r="G498" s="249" t="s">
        <v>4683</v>
      </c>
      <c r="H498" s="249" t="s">
        <v>963</v>
      </c>
      <c r="I498" s="249" t="s">
        <v>2411</v>
      </c>
      <c r="J498" s="429">
        <v>3060230317300</v>
      </c>
      <c r="K498" s="430">
        <v>45362</v>
      </c>
      <c r="L498" s="249"/>
      <c r="M498" s="430"/>
      <c r="N498" s="249"/>
      <c r="O498" s="249"/>
      <c r="P498" s="249"/>
      <c r="Q498" s="249"/>
      <c r="R498" s="249"/>
      <c r="S498" s="249"/>
      <c r="T498" s="249"/>
      <c r="U498" s="249"/>
      <c r="V498" s="249"/>
      <c r="W498" s="249"/>
      <c r="Z498" s="87"/>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row>
    <row r="499" spans="1:71" ht="15.75" customHeight="1" x14ac:dyDescent="0.25">
      <c r="A499" s="29">
        <v>95</v>
      </c>
      <c r="B499" s="249" t="s">
        <v>4684</v>
      </c>
      <c r="C499" s="249" t="s">
        <v>4685</v>
      </c>
      <c r="D499" s="249" t="s">
        <v>859</v>
      </c>
      <c r="E499" s="249">
        <v>6.7850000000000001</v>
      </c>
      <c r="F499" s="249">
        <v>20</v>
      </c>
      <c r="G499" s="249" t="s">
        <v>4686</v>
      </c>
      <c r="H499" s="249" t="s">
        <v>963</v>
      </c>
      <c r="I499" s="249" t="s">
        <v>2411</v>
      </c>
      <c r="J499" s="429">
        <v>3020230711982</v>
      </c>
      <c r="K499" s="430">
        <v>45342</v>
      </c>
      <c r="L499" s="249"/>
      <c r="M499" s="430"/>
      <c r="N499" s="249"/>
      <c r="O499" s="249"/>
      <c r="P499" s="249"/>
      <c r="Q499" s="249"/>
      <c r="R499" s="249"/>
      <c r="S499" s="249"/>
      <c r="T499" s="249"/>
      <c r="U499" s="249"/>
      <c r="V499" s="249"/>
      <c r="W499" s="249"/>
      <c r="Z499" s="87"/>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row>
    <row r="500" spans="1:71" ht="15.75" customHeight="1" x14ac:dyDescent="0.25">
      <c r="A500" s="29">
        <v>96</v>
      </c>
      <c r="B500" s="249" t="s">
        <v>4687</v>
      </c>
      <c r="C500" s="249" t="s">
        <v>4688</v>
      </c>
      <c r="D500" s="249" t="s">
        <v>2460</v>
      </c>
      <c r="E500" s="249">
        <v>2.875</v>
      </c>
      <c r="F500" s="249">
        <v>20</v>
      </c>
      <c r="G500" s="249" t="s">
        <v>4689</v>
      </c>
      <c r="H500" s="249" t="s">
        <v>963</v>
      </c>
      <c r="I500" s="249" t="s">
        <v>2411</v>
      </c>
      <c r="J500" s="429">
        <v>3020231113445</v>
      </c>
      <c r="K500" s="430">
        <v>45358</v>
      </c>
      <c r="L500" s="249"/>
      <c r="M500" s="430"/>
      <c r="N500" s="249"/>
      <c r="O500" s="249"/>
      <c r="P500" s="249"/>
      <c r="Q500" s="249"/>
      <c r="R500" s="249"/>
      <c r="S500" s="249"/>
      <c r="T500" s="249"/>
      <c r="U500" s="249"/>
      <c r="V500" s="249"/>
      <c r="W500" s="249"/>
      <c r="Z500" s="87"/>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row>
    <row r="501" spans="1:71" ht="15.75" customHeight="1" x14ac:dyDescent="0.25">
      <c r="A501" s="29">
        <v>97</v>
      </c>
      <c r="B501" s="249" t="s">
        <v>2015</v>
      </c>
      <c r="C501" s="249" t="s">
        <v>3248</v>
      </c>
      <c r="D501" s="249" t="s">
        <v>900</v>
      </c>
      <c r="E501" s="249">
        <v>40.302</v>
      </c>
      <c r="F501" s="249">
        <v>110</v>
      </c>
      <c r="G501" s="249" t="s">
        <v>4680</v>
      </c>
      <c r="H501" s="249" t="s">
        <v>963</v>
      </c>
      <c r="I501" s="249" t="s">
        <v>2411</v>
      </c>
      <c r="J501" s="429">
        <v>3060231223260</v>
      </c>
      <c r="K501" s="430">
        <v>45378</v>
      </c>
      <c r="L501" s="249"/>
      <c r="M501" s="430"/>
      <c r="N501" s="249"/>
      <c r="O501" s="249"/>
      <c r="P501" s="249"/>
      <c r="Q501" s="249"/>
      <c r="R501" s="249"/>
      <c r="S501" s="249"/>
      <c r="T501" s="249"/>
      <c r="U501" s="249"/>
      <c r="V501" s="249"/>
      <c r="W501" s="249"/>
      <c r="Z501" s="87"/>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row>
    <row r="502" spans="1:71" ht="15.75" customHeight="1" x14ac:dyDescent="0.25">
      <c r="A502" s="29">
        <v>98</v>
      </c>
      <c r="B502" s="249" t="s">
        <v>4690</v>
      </c>
      <c r="C502" s="249" t="s">
        <v>3248</v>
      </c>
      <c r="D502" s="249" t="s">
        <v>917</v>
      </c>
      <c r="E502" s="249">
        <v>40.424999999999997</v>
      </c>
      <c r="F502" s="249">
        <v>110</v>
      </c>
      <c r="G502" s="249" t="s">
        <v>4691</v>
      </c>
      <c r="H502" s="249" t="s">
        <v>963</v>
      </c>
      <c r="I502" s="249" t="s">
        <v>2411</v>
      </c>
      <c r="J502" s="429">
        <v>3060231223695</v>
      </c>
      <c r="K502" s="430">
        <v>45358</v>
      </c>
      <c r="L502" s="249"/>
      <c r="M502" s="430"/>
      <c r="N502" s="249"/>
      <c r="O502" s="249"/>
      <c r="P502" s="249"/>
      <c r="Q502" s="249"/>
      <c r="R502" s="249"/>
      <c r="S502" s="249"/>
      <c r="T502" s="249"/>
      <c r="U502" s="249"/>
      <c r="V502" s="249"/>
      <c r="W502" s="249"/>
      <c r="Z502" s="87"/>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row>
    <row r="503" spans="1:71" ht="15.75" customHeight="1" x14ac:dyDescent="0.25">
      <c r="A503" s="29">
        <v>99</v>
      </c>
      <c r="B503" s="249" t="s">
        <v>4692</v>
      </c>
      <c r="C503" s="249" t="s">
        <v>3466</v>
      </c>
      <c r="D503" s="249" t="s">
        <v>65</v>
      </c>
      <c r="E503" s="249">
        <v>4.9889999999999999</v>
      </c>
      <c r="F503" s="249">
        <v>20</v>
      </c>
      <c r="G503" s="249" t="s">
        <v>4693</v>
      </c>
      <c r="H503" s="249" t="s">
        <v>963</v>
      </c>
      <c r="I503" s="249" t="s">
        <v>2411</v>
      </c>
      <c r="J503" s="429">
        <v>3030240300789</v>
      </c>
      <c r="K503" s="430">
        <v>45356</v>
      </c>
      <c r="L503" s="249"/>
      <c r="M503" s="430"/>
      <c r="N503" s="249"/>
      <c r="O503" s="249"/>
      <c r="P503" s="249"/>
      <c r="Q503" s="249"/>
      <c r="R503" s="249"/>
      <c r="S503" s="249"/>
      <c r="T503" s="249"/>
      <c r="U503" s="249"/>
      <c r="V503" s="249"/>
      <c r="W503" s="249"/>
      <c r="Z503" s="87"/>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row>
    <row r="504" spans="1:71" ht="15.75" customHeight="1" x14ac:dyDescent="0.25">
      <c r="A504" s="29">
        <v>100</v>
      </c>
      <c r="B504" s="249" t="s">
        <v>4694</v>
      </c>
      <c r="C504" s="249" t="s">
        <v>4695</v>
      </c>
      <c r="D504" s="249" t="s">
        <v>900</v>
      </c>
      <c r="E504" s="249">
        <v>41.244</v>
      </c>
      <c r="F504" s="249">
        <v>110</v>
      </c>
      <c r="G504" s="249" t="s">
        <v>4696</v>
      </c>
      <c r="H504" s="249" t="s">
        <v>963</v>
      </c>
      <c r="I504" s="249" t="s">
        <v>2411</v>
      </c>
      <c r="J504" s="429">
        <v>3060220308800</v>
      </c>
      <c r="K504" s="430">
        <v>44937</v>
      </c>
      <c r="L504" s="249" t="s">
        <v>4697</v>
      </c>
      <c r="M504" s="430">
        <v>45364</v>
      </c>
      <c r="N504" s="249"/>
      <c r="O504" s="249"/>
      <c r="P504" s="249"/>
      <c r="Q504" s="249"/>
      <c r="R504" s="249"/>
      <c r="S504" s="249"/>
      <c r="T504" s="249"/>
      <c r="U504" s="249"/>
      <c r="V504" s="249"/>
      <c r="W504" s="249"/>
      <c r="Z504" s="87"/>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row>
    <row r="505" spans="1:71" ht="15.75" customHeight="1" x14ac:dyDescent="0.25">
      <c r="A505" s="29">
        <v>101</v>
      </c>
      <c r="B505" s="249" t="s">
        <v>4698</v>
      </c>
      <c r="C505" s="249" t="s">
        <v>2550</v>
      </c>
      <c r="D505" s="249" t="s">
        <v>859</v>
      </c>
      <c r="E505" s="249">
        <v>5.75</v>
      </c>
      <c r="F505" s="249">
        <v>20</v>
      </c>
      <c r="G505" s="249" t="s">
        <v>4699</v>
      </c>
      <c r="H505" s="249" t="s">
        <v>963</v>
      </c>
      <c r="I505" s="249" t="s">
        <v>2411</v>
      </c>
      <c r="J505" s="429">
        <v>3020220807658</v>
      </c>
      <c r="K505" s="430">
        <v>45001</v>
      </c>
      <c r="L505" s="249" t="s">
        <v>4700</v>
      </c>
      <c r="M505" s="430">
        <v>45356</v>
      </c>
      <c r="N505" s="249"/>
      <c r="O505" s="249"/>
      <c r="P505" s="249"/>
      <c r="Q505" s="249"/>
      <c r="R505" s="249"/>
      <c r="S505" s="249"/>
      <c r="T505" s="249"/>
      <c r="U505" s="249"/>
      <c r="V505" s="249"/>
      <c r="W505" s="249"/>
      <c r="Z505" s="87"/>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row>
    <row r="506" spans="1:71" ht="15.75" customHeight="1" x14ac:dyDescent="0.25">
      <c r="A506" s="29">
        <v>102</v>
      </c>
      <c r="B506" s="249" t="s">
        <v>4862</v>
      </c>
      <c r="C506" s="249" t="s">
        <v>4863</v>
      </c>
      <c r="D506" s="249" t="s">
        <v>886</v>
      </c>
      <c r="E506" s="428">
        <v>1.46</v>
      </c>
      <c r="F506" s="249">
        <v>20</v>
      </c>
      <c r="G506" s="249" t="s">
        <v>4864</v>
      </c>
      <c r="H506" s="249" t="s">
        <v>963</v>
      </c>
      <c r="I506" s="249" t="s">
        <v>2411</v>
      </c>
      <c r="J506" s="429">
        <v>3030230313089</v>
      </c>
      <c r="K506" s="430">
        <v>45377</v>
      </c>
      <c r="L506" s="249"/>
      <c r="M506" s="249"/>
      <c r="N506" s="249"/>
      <c r="O506" s="249"/>
      <c r="P506" s="249"/>
      <c r="Q506" s="249"/>
      <c r="R506" s="249"/>
      <c r="S506" s="249"/>
      <c r="T506" s="249"/>
      <c r="U506" s="249"/>
      <c r="V506" s="249"/>
      <c r="W506" s="249"/>
      <c r="Z506" s="87"/>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row>
    <row r="507" spans="1:71" ht="15.75" customHeight="1" x14ac:dyDescent="0.25">
      <c r="A507" s="29">
        <v>103</v>
      </c>
      <c r="B507" s="249" t="s">
        <v>4760</v>
      </c>
      <c r="C507" s="249" t="s">
        <v>281</v>
      </c>
      <c r="D507" s="249" t="s">
        <v>2460</v>
      </c>
      <c r="E507" s="428">
        <v>4.8</v>
      </c>
      <c r="F507" s="249">
        <v>20</v>
      </c>
      <c r="G507" s="249" t="s">
        <v>4865</v>
      </c>
      <c r="H507" s="249" t="s">
        <v>963</v>
      </c>
      <c r="I507" s="249" t="s">
        <v>2411</v>
      </c>
      <c r="J507" s="429">
        <v>3020240300850</v>
      </c>
      <c r="K507" s="430">
        <v>45386</v>
      </c>
      <c r="L507" s="249"/>
      <c r="M507" s="249"/>
      <c r="N507" s="249"/>
      <c r="O507" s="249"/>
      <c r="P507" s="249"/>
      <c r="Q507" s="249"/>
      <c r="R507" s="249"/>
      <c r="S507" s="249"/>
      <c r="T507" s="249"/>
      <c r="U507" s="249"/>
      <c r="V507" s="249"/>
      <c r="W507" s="249"/>
      <c r="Z507" s="87"/>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row>
    <row r="508" spans="1:71" ht="15.75" customHeight="1" x14ac:dyDescent="0.25">
      <c r="A508" s="29">
        <v>104</v>
      </c>
      <c r="B508" s="249" t="s">
        <v>902</v>
      </c>
      <c r="C508" s="249" t="s">
        <v>4866</v>
      </c>
      <c r="D508" s="249" t="s">
        <v>886</v>
      </c>
      <c r="E508" s="428">
        <v>2.2749999999999999</v>
      </c>
      <c r="F508" s="249">
        <v>20</v>
      </c>
      <c r="G508" s="249" t="s">
        <v>4867</v>
      </c>
      <c r="H508" s="249" t="s">
        <v>4045</v>
      </c>
      <c r="I508" s="249" t="s">
        <v>2411</v>
      </c>
      <c r="J508" s="429">
        <v>3030240301156</v>
      </c>
      <c r="K508" s="430">
        <v>45371</v>
      </c>
      <c r="L508" s="249" t="s">
        <v>4868</v>
      </c>
      <c r="M508" s="430">
        <v>45397</v>
      </c>
      <c r="N508" s="249"/>
      <c r="O508" s="249"/>
      <c r="P508" s="249"/>
      <c r="Q508" s="249"/>
      <c r="R508" s="249"/>
      <c r="S508" s="249"/>
      <c r="T508" s="249"/>
      <c r="U508" s="249"/>
      <c r="V508" s="249"/>
      <c r="W508" s="249"/>
      <c r="Z508" s="87"/>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row>
    <row r="509" spans="1:71" ht="15.75" customHeight="1" x14ac:dyDescent="0.25">
      <c r="A509" s="29">
        <v>105</v>
      </c>
      <c r="B509" s="249" t="s">
        <v>4869</v>
      </c>
      <c r="C509" s="249" t="s">
        <v>3552</v>
      </c>
      <c r="D509" s="249" t="s">
        <v>921</v>
      </c>
      <c r="E509" s="428">
        <v>33.6</v>
      </c>
      <c r="F509" s="249">
        <v>110</v>
      </c>
      <c r="G509" s="249" t="s">
        <v>4870</v>
      </c>
      <c r="H509" s="249" t="s">
        <v>963</v>
      </c>
      <c r="I509" s="249" t="s">
        <v>2411</v>
      </c>
      <c r="J509" s="429">
        <v>3010220312175</v>
      </c>
      <c r="K509" s="430">
        <v>45013</v>
      </c>
      <c r="L509" s="249" t="s">
        <v>4871</v>
      </c>
      <c r="M509" s="430">
        <v>45408</v>
      </c>
      <c r="N509" s="249"/>
      <c r="O509" s="249"/>
      <c r="P509" s="249"/>
      <c r="Q509" s="249"/>
      <c r="R509" s="249"/>
      <c r="S509" s="249"/>
      <c r="T509" s="249"/>
      <c r="U509" s="249"/>
      <c r="V509" s="249"/>
      <c r="W509" s="249"/>
      <c r="Z509" s="87"/>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row>
    <row r="510" spans="1:71" ht="15.75" customHeight="1" x14ac:dyDescent="0.25">
      <c r="A510" s="29">
        <v>106</v>
      </c>
      <c r="B510" s="249" t="s">
        <v>4944</v>
      </c>
      <c r="C510" s="249" t="s">
        <v>4945</v>
      </c>
      <c r="D510" s="249" t="s">
        <v>2460</v>
      </c>
      <c r="E510" s="428">
        <v>4.99</v>
      </c>
      <c r="F510" s="249">
        <v>20</v>
      </c>
      <c r="G510" s="249" t="s">
        <v>4946</v>
      </c>
      <c r="H510" s="249" t="s">
        <v>963</v>
      </c>
      <c r="I510" s="249" t="s">
        <v>2411</v>
      </c>
      <c r="J510" s="429">
        <v>3020230611791</v>
      </c>
      <c r="K510" s="430">
        <v>45398</v>
      </c>
      <c r="L510" s="249"/>
      <c r="M510" s="249"/>
      <c r="N510" s="249"/>
      <c r="O510" s="249"/>
      <c r="P510" s="249"/>
      <c r="Q510" s="249"/>
      <c r="R510" s="249"/>
      <c r="S510" s="249"/>
      <c r="T510" s="249"/>
      <c r="U510" s="249"/>
      <c r="V510" s="249"/>
      <c r="W510" s="249"/>
      <c r="Z510" s="87"/>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row>
    <row r="511" spans="1:71" ht="15.75" customHeight="1" x14ac:dyDescent="0.25">
      <c r="A511" s="29">
        <v>107</v>
      </c>
      <c r="B511" s="249" t="s">
        <v>4947</v>
      </c>
      <c r="C511" s="249" t="s">
        <v>4948</v>
      </c>
      <c r="D511" s="249" t="s">
        <v>2546</v>
      </c>
      <c r="E511" s="428">
        <v>1.87</v>
      </c>
      <c r="F511" s="249">
        <v>20</v>
      </c>
      <c r="G511" s="249" t="s">
        <v>4949</v>
      </c>
      <c r="H511" s="249" t="s">
        <v>963</v>
      </c>
      <c r="I511" s="249" t="s">
        <v>2411</v>
      </c>
      <c r="J511" s="429">
        <v>3010230628382</v>
      </c>
      <c r="K511" s="430">
        <v>45405</v>
      </c>
      <c r="L511" s="249"/>
      <c r="M511" s="249"/>
      <c r="N511" s="249"/>
      <c r="O511" s="249"/>
      <c r="P511" s="249"/>
      <c r="Q511" s="249"/>
      <c r="R511" s="249"/>
      <c r="S511" s="249"/>
      <c r="T511" s="249"/>
      <c r="U511" s="249"/>
      <c r="V511" s="249"/>
      <c r="W511" s="249"/>
      <c r="Z511" s="87"/>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row>
    <row r="512" spans="1:71" ht="15.75" customHeight="1" x14ac:dyDescent="0.25">
      <c r="A512" s="29">
        <v>108</v>
      </c>
      <c r="B512" s="249" t="s">
        <v>4950</v>
      </c>
      <c r="C512" s="249" t="s">
        <v>4872</v>
      </c>
      <c r="D512" s="249" t="s">
        <v>874</v>
      </c>
      <c r="E512" s="428">
        <v>1.8</v>
      </c>
      <c r="F512" s="249">
        <v>20</v>
      </c>
      <c r="G512" s="249" t="s">
        <v>4951</v>
      </c>
      <c r="H512" s="249" t="s">
        <v>963</v>
      </c>
      <c r="I512" s="249" t="s">
        <v>2411</v>
      </c>
      <c r="J512" s="429">
        <v>3050240100105</v>
      </c>
      <c r="K512" s="430">
        <v>45426</v>
      </c>
      <c r="L512" s="249"/>
      <c r="M512" s="249"/>
      <c r="N512" s="249"/>
      <c r="O512" s="249"/>
      <c r="P512" s="249"/>
      <c r="Q512" s="249"/>
      <c r="R512" s="249"/>
      <c r="S512" s="249"/>
      <c r="T512" s="249"/>
      <c r="U512" s="249"/>
      <c r="V512" s="249"/>
      <c r="W512" s="249"/>
      <c r="Z512" s="87"/>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row>
    <row r="513" spans="1:71" ht="15.75" customHeight="1" x14ac:dyDescent="0.25">
      <c r="A513" s="29">
        <v>109</v>
      </c>
      <c r="B513" s="249" t="s">
        <v>2831</v>
      </c>
      <c r="C513" s="249" t="s">
        <v>2832</v>
      </c>
      <c r="D513" s="249" t="s">
        <v>917</v>
      </c>
      <c r="E513" s="428">
        <v>3.52</v>
      </c>
      <c r="F513" s="249">
        <v>20</v>
      </c>
      <c r="G513" s="249" t="s">
        <v>4952</v>
      </c>
      <c r="H513" s="249" t="s">
        <v>4045</v>
      </c>
      <c r="I513" s="249" t="s">
        <v>2411</v>
      </c>
      <c r="J513" s="429">
        <v>3060240503956</v>
      </c>
      <c r="K513" s="430">
        <v>45434</v>
      </c>
      <c r="L513" s="249"/>
      <c r="M513" s="249"/>
      <c r="N513" s="249"/>
      <c r="O513" s="249"/>
      <c r="P513" s="249"/>
      <c r="Q513" s="249"/>
      <c r="R513" s="249"/>
      <c r="S513" s="249"/>
      <c r="T513" s="249"/>
      <c r="U513" s="249"/>
      <c r="V513" s="249"/>
      <c r="W513" s="249"/>
      <c r="Z513" s="87"/>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row>
    <row r="514" spans="1:71" ht="15.75" customHeight="1" x14ac:dyDescent="0.25">
      <c r="A514" s="29">
        <v>110</v>
      </c>
      <c r="B514" s="249" t="s">
        <v>3163</v>
      </c>
      <c r="C514" s="249" t="s">
        <v>3164</v>
      </c>
      <c r="D514" s="249" t="s">
        <v>859</v>
      </c>
      <c r="E514" s="428">
        <v>48.3</v>
      </c>
      <c r="F514" s="249">
        <v>110</v>
      </c>
      <c r="G514" s="249" t="s">
        <v>3165</v>
      </c>
      <c r="H514" s="249" t="s">
        <v>3166</v>
      </c>
      <c r="I514" s="249" t="s">
        <v>2411</v>
      </c>
      <c r="J514" s="429">
        <v>3020220908002</v>
      </c>
      <c r="K514" s="430">
        <v>45086</v>
      </c>
      <c r="L514" s="249" t="s">
        <v>4953</v>
      </c>
      <c r="M514" s="430">
        <v>45427</v>
      </c>
      <c r="N514" s="249"/>
      <c r="O514" s="249"/>
      <c r="P514" s="249"/>
      <c r="Q514" s="249"/>
      <c r="R514" s="249"/>
      <c r="S514" s="249"/>
      <c r="T514" s="249"/>
      <c r="U514" s="249"/>
      <c r="V514" s="249"/>
      <c r="W514" s="249"/>
      <c r="Z514" s="87"/>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row>
    <row r="515" spans="1:71" ht="15.75" customHeight="1" x14ac:dyDescent="0.25">
      <c r="A515" s="29">
        <v>111</v>
      </c>
      <c r="B515" s="249" t="s">
        <v>4954</v>
      </c>
      <c r="C515" s="249" t="s">
        <v>2837</v>
      </c>
      <c r="D515" s="249" t="s">
        <v>874</v>
      </c>
      <c r="E515" s="428">
        <v>3</v>
      </c>
      <c r="F515" s="249">
        <v>20</v>
      </c>
      <c r="G515" s="249" t="s">
        <v>4955</v>
      </c>
      <c r="H515" s="249" t="s">
        <v>963</v>
      </c>
      <c r="I515" s="249" t="s">
        <v>2411</v>
      </c>
      <c r="J515" s="429">
        <v>3050221114417</v>
      </c>
      <c r="K515" s="430">
        <v>45077</v>
      </c>
      <c r="L515" s="249" t="s">
        <v>4956</v>
      </c>
      <c r="M515" s="430">
        <v>45439</v>
      </c>
      <c r="N515" s="249"/>
      <c r="O515" s="249"/>
      <c r="P515" s="249"/>
      <c r="Q515" s="249"/>
      <c r="R515" s="249"/>
      <c r="S515" s="249"/>
      <c r="T515" s="249"/>
      <c r="U515" s="249"/>
      <c r="V515" s="249"/>
      <c r="W515" s="249"/>
      <c r="Z515" s="87"/>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row>
    <row r="516" spans="1:71" ht="15.75" customHeight="1" x14ac:dyDescent="0.25">
      <c r="A516" s="29">
        <v>112</v>
      </c>
      <c r="B516" s="249" t="s">
        <v>4957</v>
      </c>
      <c r="C516" s="249" t="s">
        <v>2837</v>
      </c>
      <c r="D516" s="249" t="s">
        <v>874</v>
      </c>
      <c r="E516" s="428">
        <v>2</v>
      </c>
      <c r="F516" s="249">
        <v>20</v>
      </c>
      <c r="G516" s="249" t="s">
        <v>4958</v>
      </c>
      <c r="H516" s="249" t="s">
        <v>963</v>
      </c>
      <c r="I516" s="249" t="s">
        <v>2411</v>
      </c>
      <c r="J516" s="429">
        <v>3050221114418</v>
      </c>
      <c r="K516" s="430">
        <v>45077</v>
      </c>
      <c r="L516" s="249" t="s">
        <v>4959</v>
      </c>
      <c r="M516" s="430">
        <v>45427</v>
      </c>
      <c r="N516" s="249"/>
      <c r="O516" s="249"/>
      <c r="P516" s="249"/>
      <c r="Q516" s="249"/>
      <c r="R516" s="249"/>
      <c r="S516" s="249"/>
      <c r="T516" s="249"/>
      <c r="U516" s="249"/>
      <c r="V516" s="249"/>
      <c r="W516" s="249"/>
      <c r="Z516" s="87"/>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row>
    <row r="517" spans="1:71" ht="15.75" customHeight="1" x14ac:dyDescent="0.25">
      <c r="A517" s="29">
        <v>113</v>
      </c>
      <c r="B517" s="249" t="s">
        <v>3034</v>
      </c>
      <c r="C517" s="249" t="s">
        <v>281</v>
      </c>
      <c r="D517" s="249" t="s">
        <v>859</v>
      </c>
      <c r="E517" s="428">
        <v>49</v>
      </c>
      <c r="F517" s="249">
        <v>110</v>
      </c>
      <c r="G517" s="249" t="s">
        <v>4960</v>
      </c>
      <c r="H517" s="249" t="s">
        <v>963</v>
      </c>
      <c r="I517" s="249" t="s">
        <v>2411</v>
      </c>
      <c r="J517" s="429">
        <v>3020221008639</v>
      </c>
      <c r="K517" s="430">
        <v>45441</v>
      </c>
      <c r="L517" s="249"/>
      <c r="M517" s="249"/>
      <c r="N517" s="249"/>
      <c r="O517" s="249"/>
      <c r="P517" s="249"/>
      <c r="Q517" s="249"/>
      <c r="R517" s="249"/>
      <c r="S517" s="249"/>
      <c r="T517" s="249"/>
      <c r="U517" s="249"/>
      <c r="V517" s="249"/>
      <c r="W517" s="249"/>
      <c r="Z517" s="87"/>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row>
    <row r="518" spans="1:71" ht="15.75" customHeight="1" x14ac:dyDescent="0.25">
      <c r="A518" s="29">
        <v>114</v>
      </c>
      <c r="B518" s="249" t="s">
        <v>4964</v>
      </c>
      <c r="C518" s="249" t="s">
        <v>886</v>
      </c>
      <c r="D518" s="249" t="s">
        <v>886</v>
      </c>
      <c r="E518" s="428">
        <v>98</v>
      </c>
      <c r="F518" s="249">
        <v>110</v>
      </c>
      <c r="G518" s="249" t="s">
        <v>4965</v>
      </c>
      <c r="H518" s="249" t="s">
        <v>963</v>
      </c>
      <c r="I518" s="249" t="s">
        <v>2411</v>
      </c>
      <c r="J518" s="429">
        <v>3030230112306</v>
      </c>
      <c r="K518" s="430">
        <v>45455</v>
      </c>
      <c r="L518" s="249"/>
      <c r="M518" s="249"/>
      <c r="N518" s="249"/>
      <c r="O518" s="249"/>
      <c r="P518" s="249"/>
      <c r="Q518" s="249"/>
      <c r="R518" s="249"/>
      <c r="S518" s="249"/>
      <c r="T518" s="249"/>
      <c r="U518" s="249"/>
      <c r="V518" s="249"/>
      <c r="W518" s="249"/>
      <c r="Z518" s="87"/>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row>
    <row r="519" spans="1:71" ht="15.75" customHeight="1" x14ac:dyDescent="0.25">
      <c r="A519" s="29">
        <v>115</v>
      </c>
      <c r="B519" s="249" t="s">
        <v>4966</v>
      </c>
      <c r="C519" s="249" t="s">
        <v>4967</v>
      </c>
      <c r="D519" s="249" t="s">
        <v>900</v>
      </c>
      <c r="E519" s="428">
        <v>3.6</v>
      </c>
      <c r="F519" s="249">
        <v>20</v>
      </c>
      <c r="G519" s="249" t="s">
        <v>4968</v>
      </c>
      <c r="H519" s="249" t="s">
        <v>963</v>
      </c>
      <c r="I519" s="249" t="s">
        <v>2411</v>
      </c>
      <c r="J519" s="429">
        <v>3060230417831</v>
      </c>
      <c r="K519" s="430">
        <v>45455</v>
      </c>
      <c r="L519" s="249"/>
      <c r="M519" s="249"/>
      <c r="N519" s="249"/>
      <c r="O519" s="249"/>
      <c r="P519" s="249"/>
      <c r="Q519" s="249"/>
      <c r="R519" s="249"/>
      <c r="S519" s="249"/>
      <c r="T519" s="249"/>
      <c r="U519" s="249"/>
      <c r="V519" s="249"/>
      <c r="W519" s="249"/>
      <c r="Z519" s="87"/>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row>
    <row r="520" spans="1:71" ht="15.75" customHeight="1" x14ac:dyDescent="0.25">
      <c r="A520" s="29">
        <v>116</v>
      </c>
      <c r="B520" s="249" t="s">
        <v>4969</v>
      </c>
      <c r="C520" s="249" t="s">
        <v>4970</v>
      </c>
      <c r="D520" s="249" t="s">
        <v>917</v>
      </c>
      <c r="E520" s="428">
        <v>8.5500000000000007</v>
      </c>
      <c r="F520" s="249">
        <v>20</v>
      </c>
      <c r="G520" s="249" t="s">
        <v>4971</v>
      </c>
      <c r="H520" s="249" t="s">
        <v>963</v>
      </c>
      <c r="I520" s="249" t="s">
        <v>2411</v>
      </c>
      <c r="J520" s="429">
        <v>3060230417832</v>
      </c>
      <c r="K520" s="430">
        <v>45443</v>
      </c>
      <c r="L520" s="249"/>
      <c r="M520" s="249"/>
      <c r="N520" s="249"/>
      <c r="O520" s="249"/>
      <c r="P520" s="249"/>
      <c r="Q520" s="249"/>
      <c r="R520" s="249"/>
      <c r="S520" s="249"/>
      <c r="T520" s="249"/>
      <c r="U520" s="249"/>
      <c r="V520" s="249"/>
      <c r="W520" s="249"/>
      <c r="Z520" s="87"/>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row>
    <row r="521" spans="1:71" ht="15.75" customHeight="1" x14ac:dyDescent="0.25">
      <c r="A521" s="29">
        <v>117</v>
      </c>
      <c r="B521" s="249" t="s">
        <v>4972</v>
      </c>
      <c r="C521" s="249" t="s">
        <v>4973</v>
      </c>
      <c r="D521" s="249" t="s">
        <v>900</v>
      </c>
      <c r="E521" s="428">
        <v>4.95</v>
      </c>
      <c r="F521" s="249">
        <v>20</v>
      </c>
      <c r="G521" s="249" t="s">
        <v>4974</v>
      </c>
      <c r="H521" s="249" t="s">
        <v>963</v>
      </c>
      <c r="I521" s="249" t="s">
        <v>2411</v>
      </c>
      <c r="J521" s="429">
        <v>3060230417839</v>
      </c>
      <c r="K521" s="430">
        <v>45447</v>
      </c>
      <c r="L521" s="249"/>
      <c r="M521" s="249"/>
      <c r="N521" s="249"/>
      <c r="O521" s="249"/>
      <c r="P521" s="249"/>
      <c r="Q521" s="249"/>
      <c r="R521" s="249"/>
      <c r="S521" s="249"/>
      <c r="T521" s="249"/>
      <c r="U521" s="249"/>
      <c r="V521" s="249"/>
      <c r="W521" s="249"/>
      <c r="Z521" s="87"/>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row>
    <row r="522" spans="1:71" ht="15.75" customHeight="1" x14ac:dyDescent="0.25">
      <c r="A522" s="29">
        <v>118</v>
      </c>
      <c r="B522" s="249" t="s">
        <v>4972</v>
      </c>
      <c r="C522" s="249" t="s">
        <v>4973</v>
      </c>
      <c r="D522" s="249" t="s">
        <v>900</v>
      </c>
      <c r="E522" s="428">
        <v>4.5</v>
      </c>
      <c r="F522" s="249">
        <v>20</v>
      </c>
      <c r="G522" s="249" t="s">
        <v>4975</v>
      </c>
      <c r="H522" s="249" t="s">
        <v>963</v>
      </c>
      <c r="I522" s="249" t="s">
        <v>2411</v>
      </c>
      <c r="J522" s="429">
        <v>3060230417840</v>
      </c>
      <c r="K522" s="430">
        <v>45456</v>
      </c>
      <c r="L522" s="249"/>
      <c r="M522" s="249"/>
      <c r="N522" s="249"/>
      <c r="O522" s="249"/>
      <c r="P522" s="249"/>
      <c r="Q522" s="249"/>
      <c r="R522" s="249"/>
      <c r="S522" s="249"/>
      <c r="T522" s="249"/>
      <c r="U522" s="249"/>
      <c r="V522" s="249"/>
      <c r="W522" s="249"/>
      <c r="Z522" s="87"/>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row>
    <row r="523" spans="1:71" ht="15.75" customHeight="1" x14ac:dyDescent="0.25">
      <c r="A523" s="29">
        <v>119</v>
      </c>
      <c r="B523" s="249" t="s">
        <v>4976</v>
      </c>
      <c r="C523" s="249" t="s">
        <v>4977</v>
      </c>
      <c r="D523" s="249" t="s">
        <v>925</v>
      </c>
      <c r="E523" s="428">
        <v>4.95</v>
      </c>
      <c r="F523" s="249">
        <v>20</v>
      </c>
      <c r="G523" s="249" t="s">
        <v>4978</v>
      </c>
      <c r="H523" s="249" t="s">
        <v>963</v>
      </c>
      <c r="I523" s="249" t="s">
        <v>2411</v>
      </c>
      <c r="J523" s="429">
        <v>3040230510460</v>
      </c>
      <c r="K523" s="430">
        <v>45454</v>
      </c>
      <c r="L523" s="249"/>
      <c r="M523" s="249"/>
      <c r="N523" s="249"/>
      <c r="O523" s="249"/>
      <c r="P523" s="249"/>
      <c r="Q523" s="249"/>
      <c r="R523" s="249"/>
      <c r="S523" s="249"/>
      <c r="T523" s="249"/>
      <c r="U523" s="249"/>
      <c r="V523" s="249"/>
      <c r="W523" s="249"/>
      <c r="Z523" s="87"/>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row>
    <row r="524" spans="1:71" ht="15.75" customHeight="1" x14ac:dyDescent="0.25">
      <c r="A524" s="29">
        <v>120</v>
      </c>
      <c r="B524" s="249" t="s">
        <v>4979</v>
      </c>
      <c r="C524" s="249" t="s">
        <v>4980</v>
      </c>
      <c r="D524" s="249" t="s">
        <v>900</v>
      </c>
      <c r="E524" s="428">
        <v>1</v>
      </c>
      <c r="F524" s="249">
        <v>20</v>
      </c>
      <c r="G524" s="249" t="s">
        <v>4981</v>
      </c>
      <c r="H524" s="249" t="s">
        <v>963</v>
      </c>
      <c r="I524" s="249" t="s">
        <v>2411</v>
      </c>
      <c r="J524" s="429">
        <v>3060230518797</v>
      </c>
      <c r="K524" s="430">
        <v>45455</v>
      </c>
      <c r="L524" s="249"/>
      <c r="M524" s="249"/>
      <c r="N524" s="249"/>
      <c r="O524" s="249"/>
      <c r="P524" s="249"/>
      <c r="Q524" s="249"/>
      <c r="R524" s="249"/>
      <c r="S524" s="249"/>
      <c r="T524" s="249"/>
      <c r="U524" s="249"/>
      <c r="V524" s="249"/>
      <c r="W524" s="249"/>
      <c r="Z524" s="87"/>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row>
    <row r="525" spans="1:71" ht="15.75" customHeight="1" x14ac:dyDescent="0.25">
      <c r="A525" s="29">
        <v>121</v>
      </c>
      <c r="B525" s="249" t="s">
        <v>4982</v>
      </c>
      <c r="C525" s="249" t="s">
        <v>3171</v>
      </c>
      <c r="D525" s="249" t="s">
        <v>917</v>
      </c>
      <c r="E525" s="428">
        <v>22.8</v>
      </c>
      <c r="F525" s="249">
        <v>110</v>
      </c>
      <c r="G525" s="249" t="s">
        <v>4983</v>
      </c>
      <c r="H525" s="249" t="s">
        <v>963</v>
      </c>
      <c r="I525" s="249" t="s">
        <v>2411</v>
      </c>
      <c r="J525" s="429">
        <v>3060240604578</v>
      </c>
      <c r="K525" s="430">
        <v>45449</v>
      </c>
      <c r="L525" s="249"/>
      <c r="M525" s="249"/>
      <c r="N525" s="249"/>
      <c r="O525" s="249"/>
      <c r="P525" s="249"/>
      <c r="Q525" s="249"/>
      <c r="R525" s="249"/>
      <c r="S525" s="249"/>
      <c r="T525" s="249"/>
      <c r="U525" s="249"/>
      <c r="V525" s="249"/>
      <c r="W525" s="249"/>
      <c r="Z525" s="87"/>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row>
    <row r="526" spans="1:71" ht="15.75" customHeight="1" x14ac:dyDescent="0.25">
      <c r="A526" s="29">
        <v>122</v>
      </c>
      <c r="B526" s="249" t="s">
        <v>3032</v>
      </c>
      <c r="C526" s="249" t="s">
        <v>3024</v>
      </c>
      <c r="D526" s="249" t="s">
        <v>925</v>
      </c>
      <c r="E526" s="428">
        <v>4.9880000000000004</v>
      </c>
      <c r="F526" s="249">
        <v>110</v>
      </c>
      <c r="G526" s="249" t="s">
        <v>4984</v>
      </c>
      <c r="H526" s="249" t="s">
        <v>963</v>
      </c>
      <c r="I526" s="249" t="s">
        <v>2411</v>
      </c>
      <c r="J526" s="429">
        <v>3040220405564</v>
      </c>
      <c r="K526" s="430">
        <v>45098</v>
      </c>
      <c r="L526" s="249" t="s">
        <v>4985</v>
      </c>
      <c r="M526" s="430">
        <v>45469</v>
      </c>
      <c r="N526" s="249"/>
      <c r="O526" s="249"/>
      <c r="P526" s="249"/>
      <c r="Q526" s="249"/>
      <c r="R526" s="249"/>
      <c r="S526" s="249"/>
      <c r="T526" s="249"/>
      <c r="U526" s="249"/>
      <c r="V526" s="249"/>
      <c r="W526" s="249"/>
      <c r="Z526" s="87"/>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row>
    <row r="527" spans="1:71" ht="15.75" customHeight="1" x14ac:dyDescent="0.25">
      <c r="A527" s="29">
        <v>123</v>
      </c>
      <c r="B527" s="249" t="s">
        <v>3065</v>
      </c>
      <c r="C527" s="249" t="s">
        <v>859</v>
      </c>
      <c r="D527" s="249" t="s">
        <v>2460</v>
      </c>
      <c r="E527" s="428">
        <v>4</v>
      </c>
      <c r="F527" s="249">
        <v>20</v>
      </c>
      <c r="G527" s="249" t="s">
        <v>5253</v>
      </c>
      <c r="H527" s="249" t="s">
        <v>963</v>
      </c>
      <c r="I527" s="249" t="s">
        <v>2411</v>
      </c>
      <c r="J527" s="429">
        <v>3020230912709</v>
      </c>
      <c r="K527" s="430">
        <v>45490</v>
      </c>
      <c r="L527" s="249"/>
      <c r="M527" s="249"/>
      <c r="N527" s="249"/>
      <c r="O527" s="249"/>
      <c r="P527" s="249"/>
      <c r="Q527" s="249"/>
      <c r="R527" s="249"/>
      <c r="S527" s="249"/>
      <c r="T527" s="249"/>
      <c r="U527" s="249"/>
      <c r="V527" s="249"/>
      <c r="W527" s="249"/>
      <c r="Z527" s="87"/>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row>
    <row r="528" spans="1:71" ht="15.75" customHeight="1" x14ac:dyDescent="0.25">
      <c r="A528" s="29">
        <v>124</v>
      </c>
      <c r="B528" s="249" t="s">
        <v>5254</v>
      </c>
      <c r="C528" s="249" t="s">
        <v>874</v>
      </c>
      <c r="D528" s="249" t="s">
        <v>2837</v>
      </c>
      <c r="E528" s="428">
        <v>1.05</v>
      </c>
      <c r="F528" s="249">
        <v>20</v>
      </c>
      <c r="G528" s="249" t="s">
        <v>5255</v>
      </c>
      <c r="H528" s="249" t="s">
        <v>963</v>
      </c>
      <c r="I528" s="249" t="s">
        <v>2411</v>
      </c>
      <c r="J528" s="429">
        <v>3050240200846</v>
      </c>
      <c r="K528" s="430">
        <v>45478</v>
      </c>
      <c r="L528" s="249"/>
      <c r="M528" s="249"/>
      <c r="N528" s="249"/>
      <c r="O528" s="249"/>
      <c r="P528" s="249"/>
      <c r="Q528" s="249"/>
      <c r="R528" s="249"/>
      <c r="S528" s="249"/>
      <c r="T528" s="249"/>
      <c r="U528" s="249"/>
      <c r="V528" s="249"/>
      <c r="W528" s="249"/>
      <c r="Z528" s="87"/>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row>
    <row r="529" spans="1:71" ht="15.75" customHeight="1" x14ac:dyDescent="0.25">
      <c r="A529" s="29">
        <v>125</v>
      </c>
      <c r="B529" s="249" t="s">
        <v>5254</v>
      </c>
      <c r="C529" s="249" t="s">
        <v>874</v>
      </c>
      <c r="D529" s="249" t="s">
        <v>2837</v>
      </c>
      <c r="E529" s="428">
        <v>4</v>
      </c>
      <c r="F529" s="249">
        <v>20</v>
      </c>
      <c r="G529" s="249" t="s">
        <v>5256</v>
      </c>
      <c r="H529" s="249" t="s">
        <v>963</v>
      </c>
      <c r="I529" s="249" t="s">
        <v>2411</v>
      </c>
      <c r="J529" s="429">
        <v>3050240200850</v>
      </c>
      <c r="K529" s="430">
        <v>45478</v>
      </c>
      <c r="L529" s="249"/>
      <c r="M529" s="249"/>
      <c r="N529" s="249"/>
      <c r="O529" s="249"/>
      <c r="P529" s="249"/>
      <c r="Q529" s="249"/>
      <c r="R529" s="249"/>
      <c r="S529" s="249"/>
      <c r="T529" s="249"/>
      <c r="U529" s="249"/>
      <c r="V529" s="249"/>
      <c r="W529" s="249"/>
      <c r="Z529" s="87"/>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row>
    <row r="530" spans="1:71" ht="15.75" customHeight="1" x14ac:dyDescent="0.25">
      <c r="A530" s="29">
        <v>126</v>
      </c>
      <c r="B530" s="249" t="s">
        <v>5257</v>
      </c>
      <c r="C530" s="249" t="s">
        <v>5258</v>
      </c>
      <c r="D530" s="249" t="s">
        <v>917</v>
      </c>
      <c r="E530" s="428">
        <v>49.88</v>
      </c>
      <c r="F530" s="249">
        <v>110</v>
      </c>
      <c r="G530" s="249" t="s">
        <v>5259</v>
      </c>
      <c r="H530" s="249" t="s">
        <v>963</v>
      </c>
      <c r="I530" s="249" t="s">
        <v>2411</v>
      </c>
      <c r="J530" s="429">
        <v>3060220509704</v>
      </c>
      <c r="K530" s="430">
        <v>45055</v>
      </c>
      <c r="L530" s="249" t="s">
        <v>5260</v>
      </c>
      <c r="M530" s="430">
        <v>45502</v>
      </c>
      <c r="N530" s="249"/>
      <c r="O530" s="249"/>
      <c r="P530" s="249"/>
      <c r="Q530" s="249"/>
      <c r="R530" s="249"/>
      <c r="S530" s="249"/>
      <c r="T530" s="249"/>
      <c r="U530" s="249"/>
      <c r="V530" s="249"/>
      <c r="W530" s="249"/>
      <c r="Z530" s="87"/>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row>
    <row r="531" spans="1:71" ht="15.75" customHeight="1" x14ac:dyDescent="0.25">
      <c r="A531" s="29">
        <v>127</v>
      </c>
      <c r="B531" s="249" t="s">
        <v>5261</v>
      </c>
      <c r="C531" s="249" t="s">
        <v>5262</v>
      </c>
      <c r="D531" s="249" t="s">
        <v>925</v>
      </c>
      <c r="E531" s="428">
        <v>2.5</v>
      </c>
      <c r="F531" s="249">
        <v>20</v>
      </c>
      <c r="G531" s="249" t="s">
        <v>5263</v>
      </c>
      <c r="H531" s="249" t="s">
        <v>963</v>
      </c>
      <c r="I531" s="249" t="s">
        <v>2411</v>
      </c>
      <c r="J531" s="429">
        <v>3040220907428</v>
      </c>
      <c r="K531" s="430">
        <v>45090</v>
      </c>
      <c r="L531" s="249" t="s">
        <v>5264</v>
      </c>
      <c r="M531" s="430">
        <v>45478</v>
      </c>
      <c r="N531" s="249"/>
      <c r="O531" s="249"/>
      <c r="P531" s="249"/>
      <c r="Q531" s="249"/>
      <c r="R531" s="249"/>
      <c r="S531" s="249"/>
      <c r="T531" s="249"/>
      <c r="U531" s="249"/>
      <c r="V531" s="249"/>
      <c r="W531" s="249"/>
      <c r="Z531" s="87"/>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c r="BA531" s="70"/>
      <c r="BB531" s="70"/>
      <c r="BC531" s="70"/>
      <c r="BD531" s="70"/>
      <c r="BE531" s="70"/>
      <c r="BF531" s="70"/>
      <c r="BG531" s="70"/>
      <c r="BH531" s="70"/>
      <c r="BI531" s="70"/>
      <c r="BJ531" s="70"/>
      <c r="BK531" s="70"/>
      <c r="BL531" s="70"/>
      <c r="BM531" s="70"/>
      <c r="BN531" s="70"/>
      <c r="BO531" s="70"/>
      <c r="BP531" s="70"/>
      <c r="BQ531" s="70"/>
      <c r="BR531" s="70"/>
      <c r="BS531" s="70"/>
    </row>
    <row r="532" spans="1:71" ht="15.75" customHeight="1" x14ac:dyDescent="0.25">
      <c r="A532" s="29">
        <v>128</v>
      </c>
      <c r="B532" s="249" t="s">
        <v>5265</v>
      </c>
      <c r="C532" s="249" t="s">
        <v>874</v>
      </c>
      <c r="D532" s="249" t="s">
        <v>874</v>
      </c>
      <c r="E532" s="428">
        <v>4.95</v>
      </c>
      <c r="F532" s="249">
        <v>20</v>
      </c>
      <c r="G532" s="249" t="s">
        <v>5266</v>
      </c>
      <c r="H532" s="249" t="s">
        <v>963</v>
      </c>
      <c r="I532" s="249" t="s">
        <v>2411</v>
      </c>
      <c r="J532" s="429">
        <v>3050230518692</v>
      </c>
      <c r="K532" s="430">
        <v>45159</v>
      </c>
      <c r="L532" s="249" t="s">
        <v>5267</v>
      </c>
      <c r="M532" s="430">
        <v>45483</v>
      </c>
      <c r="N532" s="249"/>
      <c r="O532" s="249"/>
      <c r="P532" s="249"/>
      <c r="Q532" s="249"/>
      <c r="R532" s="249"/>
      <c r="S532" s="249"/>
      <c r="T532" s="249"/>
      <c r="U532" s="249"/>
      <c r="V532" s="249"/>
      <c r="W532" s="249"/>
      <c r="Z532" s="87"/>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c r="BA532" s="70"/>
      <c r="BB532" s="70"/>
      <c r="BC532" s="70"/>
      <c r="BD532" s="70"/>
      <c r="BE532" s="70"/>
      <c r="BF532" s="70"/>
      <c r="BG532" s="70"/>
      <c r="BH532" s="70"/>
      <c r="BI532" s="70"/>
      <c r="BJ532" s="70"/>
      <c r="BK532" s="70"/>
      <c r="BL532" s="70"/>
      <c r="BM532" s="70"/>
      <c r="BN532" s="70"/>
      <c r="BO532" s="70"/>
      <c r="BP532" s="70"/>
      <c r="BQ532" s="70"/>
      <c r="BR532" s="70"/>
      <c r="BS532" s="70"/>
    </row>
    <row r="533" spans="1:71" ht="15.75" customHeight="1" x14ac:dyDescent="0.25">
      <c r="A533" s="136">
        <v>129</v>
      </c>
      <c r="B533" s="249" t="s">
        <v>5567</v>
      </c>
      <c r="C533" s="249" t="s">
        <v>5568</v>
      </c>
      <c r="D533" s="249" t="s">
        <v>886</v>
      </c>
      <c r="E533" s="428">
        <v>1.58</v>
      </c>
      <c r="F533" s="249">
        <v>20</v>
      </c>
      <c r="G533" s="249" t="s">
        <v>5569</v>
      </c>
      <c r="H533" s="249" t="s">
        <v>963</v>
      </c>
      <c r="I533" s="249" t="s">
        <v>2411</v>
      </c>
      <c r="J533" s="429">
        <v>3030230313288</v>
      </c>
      <c r="K533" s="430">
        <v>45518</v>
      </c>
      <c r="L533" s="249"/>
      <c r="M533" s="249"/>
      <c r="N533" s="249"/>
      <c r="O533" s="249"/>
      <c r="P533" s="249"/>
      <c r="Q533" s="249"/>
      <c r="R533" s="249"/>
      <c r="S533" s="249"/>
      <c r="T533" s="249"/>
      <c r="U533" s="249"/>
      <c r="V533" s="249"/>
      <c r="W533" s="249"/>
      <c r="Z533" s="87"/>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c r="BA533" s="70"/>
      <c r="BB533" s="70"/>
      <c r="BC533" s="70"/>
      <c r="BD533" s="70"/>
      <c r="BE533" s="70"/>
      <c r="BF533" s="70"/>
      <c r="BG533" s="70"/>
      <c r="BH533" s="70"/>
      <c r="BI533" s="70"/>
      <c r="BJ533" s="70"/>
      <c r="BK533" s="70"/>
      <c r="BL533" s="70"/>
      <c r="BM533" s="70"/>
      <c r="BN533" s="70"/>
      <c r="BO533" s="70"/>
      <c r="BP533" s="70"/>
      <c r="BQ533" s="70"/>
      <c r="BR533" s="70"/>
      <c r="BS533" s="70"/>
    </row>
    <row r="534" spans="1:71" ht="15.75" customHeight="1" x14ac:dyDescent="0.25">
      <c r="A534" s="136">
        <v>130</v>
      </c>
      <c r="B534" s="249" t="s">
        <v>5570</v>
      </c>
      <c r="C534" s="249" t="s">
        <v>5571</v>
      </c>
      <c r="D534" s="249" t="s">
        <v>886</v>
      </c>
      <c r="E534" s="428">
        <v>4</v>
      </c>
      <c r="F534" s="249">
        <v>20</v>
      </c>
      <c r="G534" s="249" t="s">
        <v>5572</v>
      </c>
      <c r="H534" s="249" t="s">
        <v>963</v>
      </c>
      <c r="I534" s="249" t="s">
        <v>2411</v>
      </c>
      <c r="J534" s="429">
        <v>3030230413836</v>
      </c>
      <c r="K534" s="430">
        <v>45511</v>
      </c>
      <c r="L534" s="249"/>
      <c r="M534" s="249"/>
      <c r="N534" s="249"/>
      <c r="O534" s="249"/>
      <c r="P534" s="249"/>
      <c r="Q534" s="249"/>
      <c r="R534" s="249"/>
      <c r="S534" s="249"/>
      <c r="T534" s="249"/>
      <c r="U534" s="249"/>
      <c r="V534" s="249"/>
      <c r="W534" s="249"/>
      <c r="Z534" s="87"/>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c r="BA534" s="70"/>
      <c r="BB534" s="70"/>
      <c r="BC534" s="70"/>
      <c r="BD534" s="70"/>
      <c r="BE534" s="70"/>
      <c r="BF534" s="70"/>
      <c r="BG534" s="70"/>
      <c r="BH534" s="70"/>
      <c r="BI534" s="70"/>
      <c r="BJ534" s="70"/>
      <c r="BK534" s="70"/>
      <c r="BL534" s="70"/>
      <c r="BM534" s="70"/>
      <c r="BN534" s="70"/>
      <c r="BO534" s="70"/>
      <c r="BP534" s="70"/>
      <c r="BQ534" s="70"/>
      <c r="BR534" s="70"/>
      <c r="BS534" s="70"/>
    </row>
    <row r="535" spans="1:71" ht="15.75" customHeight="1" x14ac:dyDescent="0.25">
      <c r="A535" s="136">
        <v>131</v>
      </c>
      <c r="B535" s="249" t="s">
        <v>5573</v>
      </c>
      <c r="C535" s="249" t="s">
        <v>4585</v>
      </c>
      <c r="D535" s="249" t="s">
        <v>900</v>
      </c>
      <c r="E535" s="428">
        <v>7.75</v>
      </c>
      <c r="F535" s="249">
        <v>20</v>
      </c>
      <c r="G535" s="249" t="s">
        <v>5574</v>
      </c>
      <c r="H535" s="249" t="s">
        <v>963</v>
      </c>
      <c r="I535" s="249" t="s">
        <v>2411</v>
      </c>
      <c r="J535" s="429">
        <v>3060230418036</v>
      </c>
      <c r="K535" s="430">
        <v>45504</v>
      </c>
      <c r="L535" s="249"/>
      <c r="M535" s="249"/>
      <c r="N535" s="249"/>
      <c r="O535" s="249"/>
      <c r="P535" s="249"/>
      <c r="Q535" s="249"/>
      <c r="R535" s="249"/>
      <c r="S535" s="249"/>
      <c r="T535" s="249"/>
      <c r="U535" s="249"/>
      <c r="V535" s="249"/>
      <c r="W535" s="249"/>
      <c r="Z535" s="87"/>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c r="BA535" s="70"/>
      <c r="BB535" s="70"/>
      <c r="BC535" s="70"/>
      <c r="BD535" s="70"/>
      <c r="BE535" s="70"/>
      <c r="BF535" s="70"/>
      <c r="BG535" s="70"/>
      <c r="BH535" s="70"/>
      <c r="BI535" s="70"/>
      <c r="BJ535" s="70"/>
      <c r="BK535" s="70"/>
      <c r="BL535" s="70"/>
      <c r="BM535" s="70"/>
      <c r="BN535" s="70"/>
      <c r="BO535" s="70"/>
      <c r="BP535" s="70"/>
      <c r="BQ535" s="70"/>
      <c r="BR535" s="70"/>
      <c r="BS535" s="70"/>
    </row>
    <row r="536" spans="1:71" ht="15.75" customHeight="1" x14ac:dyDescent="0.25">
      <c r="A536" s="136">
        <v>132</v>
      </c>
      <c r="B536" s="249" t="s">
        <v>5575</v>
      </c>
      <c r="C536" s="249" t="s">
        <v>5576</v>
      </c>
      <c r="D536" s="249" t="s">
        <v>900</v>
      </c>
      <c r="E536" s="428">
        <v>33</v>
      </c>
      <c r="F536" s="249">
        <v>110</v>
      </c>
      <c r="G536" s="249" t="s">
        <v>5577</v>
      </c>
      <c r="H536" s="249" t="s">
        <v>963</v>
      </c>
      <c r="I536" s="249" t="s">
        <v>2411</v>
      </c>
      <c r="J536" s="429">
        <v>3060230618878</v>
      </c>
      <c r="K536" s="430">
        <v>45502</v>
      </c>
      <c r="L536" s="249"/>
      <c r="M536" s="249"/>
      <c r="N536" s="249"/>
      <c r="O536" s="249"/>
      <c r="P536" s="249"/>
      <c r="Q536" s="249"/>
      <c r="R536" s="249"/>
      <c r="S536" s="249"/>
      <c r="T536" s="249"/>
      <c r="U536" s="249"/>
      <c r="V536" s="249"/>
      <c r="W536" s="249"/>
      <c r="Z536" s="87"/>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c r="BA536" s="70"/>
      <c r="BB536" s="70"/>
      <c r="BC536" s="70"/>
      <c r="BD536" s="70"/>
      <c r="BE536" s="70"/>
      <c r="BF536" s="70"/>
      <c r="BG536" s="70"/>
      <c r="BH536" s="70"/>
      <c r="BI536" s="70"/>
      <c r="BJ536" s="70"/>
      <c r="BK536" s="70"/>
      <c r="BL536" s="70"/>
      <c r="BM536" s="70"/>
      <c r="BN536" s="70"/>
      <c r="BO536" s="70"/>
      <c r="BP536" s="70"/>
      <c r="BQ536" s="70"/>
      <c r="BR536" s="70"/>
      <c r="BS536" s="70"/>
    </row>
    <row r="537" spans="1:71" ht="15.75" customHeight="1" x14ac:dyDescent="0.25">
      <c r="A537" s="136">
        <v>133</v>
      </c>
      <c r="B537" s="249" t="s">
        <v>929</v>
      </c>
      <c r="C537" s="249" t="s">
        <v>3463</v>
      </c>
      <c r="D537" s="249" t="s">
        <v>65</v>
      </c>
      <c r="E537" s="428">
        <v>1.95</v>
      </c>
      <c r="F537" s="249">
        <v>20</v>
      </c>
      <c r="G537" s="249" t="s">
        <v>931</v>
      </c>
      <c r="H537" s="249" t="s">
        <v>4045</v>
      </c>
      <c r="I537" s="249" t="s">
        <v>2411</v>
      </c>
      <c r="J537" s="429">
        <v>3030240704097</v>
      </c>
      <c r="K537" s="430">
        <v>45497</v>
      </c>
      <c r="L537" s="249" t="s">
        <v>5578</v>
      </c>
      <c r="M537" s="430">
        <v>45511</v>
      </c>
      <c r="N537" s="249"/>
      <c r="O537" s="249"/>
      <c r="P537" s="249"/>
      <c r="Q537" s="249"/>
      <c r="R537" s="249"/>
      <c r="S537" s="249"/>
      <c r="T537" s="249"/>
      <c r="U537" s="249"/>
      <c r="V537" s="249"/>
      <c r="W537" s="249"/>
      <c r="Z537" s="87"/>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c r="BB537" s="70"/>
      <c r="BC537" s="70"/>
      <c r="BD537" s="70"/>
      <c r="BE537" s="70"/>
      <c r="BF537" s="70"/>
      <c r="BG537" s="70"/>
      <c r="BH537" s="70"/>
      <c r="BI537" s="70"/>
      <c r="BJ537" s="70"/>
      <c r="BK537" s="70"/>
      <c r="BL537" s="70"/>
      <c r="BM537" s="70"/>
      <c r="BN537" s="70"/>
      <c r="BO537" s="70"/>
      <c r="BP537" s="70"/>
      <c r="BQ537" s="70"/>
      <c r="BR537" s="70"/>
      <c r="BS537" s="70"/>
    </row>
    <row r="538" spans="1:71" ht="15.75" customHeight="1" x14ac:dyDescent="0.25">
      <c r="A538" s="136">
        <v>134</v>
      </c>
      <c r="B538" s="249" t="s">
        <v>5579</v>
      </c>
      <c r="C538" s="249" t="s">
        <v>2555</v>
      </c>
      <c r="D538" s="249" t="s">
        <v>921</v>
      </c>
      <c r="E538" s="428">
        <v>4.899</v>
      </c>
      <c r="F538" s="249">
        <v>20</v>
      </c>
      <c r="G538" s="249" t="s">
        <v>5580</v>
      </c>
      <c r="H538" s="249" t="s">
        <v>4045</v>
      </c>
      <c r="I538" s="249" t="s">
        <v>2411</v>
      </c>
      <c r="J538" s="429">
        <v>3010240707583</v>
      </c>
      <c r="K538" s="430">
        <v>45502</v>
      </c>
      <c r="L538" s="249" t="s">
        <v>5581</v>
      </c>
      <c r="M538" s="430">
        <v>45526</v>
      </c>
      <c r="N538" s="249"/>
      <c r="O538" s="249"/>
      <c r="P538" s="249"/>
      <c r="Q538" s="249"/>
      <c r="R538" s="249"/>
      <c r="S538" s="249"/>
      <c r="T538" s="249"/>
      <c r="U538" s="249"/>
      <c r="V538" s="249"/>
      <c r="W538" s="249"/>
      <c r="Z538" s="87"/>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c r="BA538" s="70"/>
      <c r="BB538" s="70"/>
      <c r="BC538" s="70"/>
      <c r="BD538" s="70"/>
      <c r="BE538" s="70"/>
      <c r="BF538" s="70"/>
      <c r="BG538" s="70"/>
      <c r="BH538" s="70"/>
      <c r="BI538" s="70"/>
      <c r="BJ538" s="70"/>
      <c r="BK538" s="70"/>
      <c r="BL538" s="70"/>
      <c r="BM538" s="70"/>
      <c r="BN538" s="70"/>
      <c r="BO538" s="70"/>
      <c r="BP538" s="70"/>
      <c r="BQ538" s="70"/>
      <c r="BR538" s="70"/>
      <c r="BS538" s="70"/>
    </row>
    <row r="539" spans="1:71" ht="15.75" customHeight="1" x14ac:dyDescent="0.25">
      <c r="A539" s="136">
        <v>135</v>
      </c>
      <c r="B539" s="249" t="s">
        <v>2831</v>
      </c>
      <c r="C539" s="249" t="s">
        <v>2832</v>
      </c>
      <c r="D539" s="249" t="s">
        <v>917</v>
      </c>
      <c r="E539" s="428">
        <v>3.2</v>
      </c>
      <c r="F539" s="249">
        <v>20</v>
      </c>
      <c r="G539" s="249" t="s">
        <v>961</v>
      </c>
      <c r="H539" s="249" t="s">
        <v>4045</v>
      </c>
      <c r="I539" s="249" t="s">
        <v>2411</v>
      </c>
      <c r="J539" s="429">
        <v>3060240806517</v>
      </c>
      <c r="K539" s="430">
        <v>45513</v>
      </c>
      <c r="L539" s="249"/>
      <c r="M539" s="249"/>
      <c r="N539" s="249"/>
      <c r="O539" s="249"/>
      <c r="P539" s="249"/>
      <c r="Q539" s="249"/>
      <c r="R539" s="249"/>
      <c r="S539" s="249"/>
      <c r="T539" s="249"/>
      <c r="U539" s="249"/>
      <c r="V539" s="249"/>
      <c r="W539" s="249"/>
      <c r="Z539" s="87"/>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c r="BA539" s="70"/>
      <c r="BB539" s="70"/>
      <c r="BC539" s="70"/>
      <c r="BD539" s="70"/>
      <c r="BE539" s="70"/>
      <c r="BF539" s="70"/>
      <c r="BG539" s="70"/>
      <c r="BH539" s="70"/>
      <c r="BI539" s="70"/>
      <c r="BJ539" s="70"/>
      <c r="BK539" s="70"/>
      <c r="BL539" s="70"/>
      <c r="BM539" s="70"/>
      <c r="BN539" s="70"/>
      <c r="BO539" s="70"/>
      <c r="BP539" s="70"/>
      <c r="BQ539" s="70"/>
      <c r="BR539" s="70"/>
      <c r="BS539" s="70"/>
    </row>
    <row r="540" spans="1:71" ht="15.75" customHeight="1" x14ac:dyDescent="0.25">
      <c r="A540" s="136">
        <v>136</v>
      </c>
      <c r="B540" s="249" t="s">
        <v>5693</v>
      </c>
      <c r="C540" s="249" t="s">
        <v>5694</v>
      </c>
      <c r="D540" s="249" t="s">
        <v>2546</v>
      </c>
      <c r="E540" s="249">
        <v>4.99</v>
      </c>
      <c r="F540" s="249">
        <v>20</v>
      </c>
      <c r="G540" s="249" t="s">
        <v>5695</v>
      </c>
      <c r="H540" s="249" t="s">
        <v>963</v>
      </c>
      <c r="I540" s="249" t="s">
        <v>2411</v>
      </c>
      <c r="J540" s="429">
        <v>3010240706712</v>
      </c>
      <c r="K540" s="430">
        <v>45530</v>
      </c>
      <c r="L540" s="249" t="s">
        <v>5696</v>
      </c>
      <c r="M540" s="430">
        <v>45533</v>
      </c>
      <c r="N540" s="249"/>
      <c r="O540" s="249"/>
      <c r="P540" s="249"/>
      <c r="Q540" s="249"/>
      <c r="R540" s="249"/>
      <c r="S540" s="249"/>
      <c r="T540" s="249"/>
      <c r="U540" s="249"/>
      <c r="V540" s="249"/>
      <c r="W540" s="249"/>
      <c r="Z540" s="87"/>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c r="BA540" s="70"/>
      <c r="BB540" s="70"/>
      <c r="BC540" s="70"/>
      <c r="BD540" s="70"/>
      <c r="BE540" s="70"/>
      <c r="BF540" s="70"/>
      <c r="BG540" s="70"/>
      <c r="BH540" s="70"/>
      <c r="BI540" s="70"/>
      <c r="BJ540" s="70"/>
      <c r="BK540" s="70"/>
      <c r="BL540" s="70"/>
      <c r="BM540" s="70"/>
      <c r="BN540" s="70"/>
      <c r="BO540" s="70"/>
      <c r="BP540" s="70"/>
      <c r="BQ540" s="70"/>
      <c r="BR540" s="70"/>
      <c r="BS540" s="70"/>
    </row>
    <row r="541" spans="1:71" ht="15.75" customHeight="1" x14ac:dyDescent="0.25">
      <c r="A541" s="136">
        <v>137</v>
      </c>
      <c r="B541" s="249" t="s">
        <v>5697</v>
      </c>
      <c r="C541" s="249" t="s">
        <v>5262</v>
      </c>
      <c r="D541" s="249" t="s">
        <v>3055</v>
      </c>
      <c r="E541" s="249">
        <v>4.9000000000000004</v>
      </c>
      <c r="F541" s="249">
        <v>20</v>
      </c>
      <c r="G541" s="249" t="s">
        <v>5698</v>
      </c>
      <c r="H541" s="249" t="s">
        <v>963</v>
      </c>
      <c r="I541" s="249" t="s">
        <v>2411</v>
      </c>
      <c r="J541" s="429">
        <v>3040220806959</v>
      </c>
      <c r="K541" s="430">
        <v>45198</v>
      </c>
      <c r="L541" s="249" t="s">
        <v>5699</v>
      </c>
      <c r="M541" s="430">
        <v>45547</v>
      </c>
      <c r="N541" s="249"/>
      <c r="O541" s="249"/>
      <c r="P541" s="249"/>
      <c r="Q541" s="249"/>
      <c r="R541" s="249"/>
      <c r="S541" s="249"/>
      <c r="T541" s="249"/>
      <c r="U541" s="249"/>
      <c r="V541" s="249"/>
      <c r="W541" s="249"/>
      <c r="Z541" s="87"/>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c r="BA541" s="70"/>
      <c r="BB541" s="70"/>
      <c r="BC541" s="70"/>
      <c r="BD541" s="70"/>
      <c r="BE541" s="70"/>
      <c r="BF541" s="70"/>
      <c r="BG541" s="70"/>
      <c r="BH541" s="70"/>
      <c r="BI541" s="70"/>
      <c r="BJ541" s="70"/>
      <c r="BK541" s="70"/>
      <c r="BL541" s="70"/>
      <c r="BM541" s="70"/>
      <c r="BN541" s="70"/>
      <c r="BO541" s="70"/>
      <c r="BP541" s="70"/>
      <c r="BQ541" s="70"/>
      <c r="BR541" s="70"/>
      <c r="BS541" s="70"/>
    </row>
    <row r="542" spans="1:71" ht="15.75" customHeight="1" x14ac:dyDescent="0.25">
      <c r="A542" s="136">
        <v>138</v>
      </c>
      <c r="B542" s="249" t="s">
        <v>5700</v>
      </c>
      <c r="C542" s="249" t="s">
        <v>886</v>
      </c>
      <c r="D542" s="249" t="s">
        <v>5701</v>
      </c>
      <c r="E542" s="249">
        <v>4.99</v>
      </c>
      <c r="F542" s="249">
        <v>20</v>
      </c>
      <c r="G542" s="249" t="s">
        <v>5702</v>
      </c>
      <c r="H542" s="249" t="s">
        <v>963</v>
      </c>
      <c r="I542" s="249" t="s">
        <v>2411</v>
      </c>
      <c r="J542" s="429">
        <v>3030230413913</v>
      </c>
      <c r="K542" s="430">
        <v>45156</v>
      </c>
      <c r="L542" s="249" t="s">
        <v>5703</v>
      </c>
      <c r="M542" s="430">
        <v>45509</v>
      </c>
      <c r="N542" s="249"/>
      <c r="O542" s="249"/>
      <c r="P542" s="249"/>
      <c r="Q542" s="249"/>
      <c r="R542" s="249"/>
      <c r="S542" s="249"/>
      <c r="T542" s="249"/>
      <c r="U542" s="249"/>
      <c r="V542" s="249"/>
      <c r="W542" s="249"/>
      <c r="Z542" s="87"/>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row>
    <row r="543" spans="1:71" ht="15.75" customHeight="1" x14ac:dyDescent="0.25">
      <c r="A543" s="136">
        <v>139</v>
      </c>
      <c r="B543" s="249" t="s">
        <v>5843</v>
      </c>
      <c r="C543" s="249" t="s">
        <v>3463</v>
      </c>
      <c r="D543" s="249" t="s">
        <v>65</v>
      </c>
      <c r="E543" s="428">
        <v>8.99</v>
      </c>
      <c r="F543" s="249">
        <v>20</v>
      </c>
      <c r="G543" s="249" t="s">
        <v>5844</v>
      </c>
      <c r="H543" s="249" t="s">
        <v>963</v>
      </c>
      <c r="I543" s="249" t="s">
        <v>2411</v>
      </c>
      <c r="J543" s="429">
        <v>3030220809802</v>
      </c>
      <c r="K543" s="430">
        <v>45553</v>
      </c>
      <c r="L543" s="249"/>
      <c r="M543" s="249"/>
      <c r="N543" s="249"/>
      <c r="O543" s="249"/>
      <c r="P543" s="249"/>
      <c r="Q543" s="249"/>
      <c r="R543" s="249"/>
      <c r="S543" s="249"/>
      <c r="T543" s="249"/>
      <c r="U543" s="249"/>
      <c r="V543" s="249"/>
      <c r="W543" s="249"/>
      <c r="Z543" s="87"/>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row>
    <row r="544" spans="1:71" ht="15.75" customHeight="1" x14ac:dyDescent="0.25">
      <c r="A544" s="136">
        <v>140</v>
      </c>
      <c r="B544" s="249" t="s">
        <v>5845</v>
      </c>
      <c r="C544" s="249" t="s">
        <v>5846</v>
      </c>
      <c r="D544" s="249" t="s">
        <v>925</v>
      </c>
      <c r="E544" s="428">
        <v>4.899</v>
      </c>
      <c r="F544" s="249">
        <v>20</v>
      </c>
      <c r="G544" s="249" t="s">
        <v>5847</v>
      </c>
      <c r="H544" s="249" t="s">
        <v>963</v>
      </c>
      <c r="I544" s="249" t="s">
        <v>2411</v>
      </c>
      <c r="J544" s="429">
        <v>3040230409947</v>
      </c>
      <c r="K544" s="430">
        <v>45540</v>
      </c>
      <c r="L544" s="249"/>
      <c r="M544" s="249"/>
      <c r="N544" s="249"/>
      <c r="O544" s="249"/>
      <c r="P544" s="249"/>
      <c r="Q544" s="249"/>
      <c r="R544" s="249"/>
      <c r="S544" s="249"/>
      <c r="T544" s="249"/>
      <c r="U544" s="249"/>
      <c r="V544" s="249"/>
      <c r="W544" s="249"/>
      <c r="Z544" s="87"/>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c r="BA544" s="70"/>
      <c r="BB544" s="70"/>
      <c r="BC544" s="70"/>
      <c r="BD544" s="70"/>
      <c r="BE544" s="70"/>
      <c r="BF544" s="70"/>
      <c r="BG544" s="70"/>
      <c r="BH544" s="70"/>
      <c r="BI544" s="70"/>
      <c r="BJ544" s="70"/>
      <c r="BK544" s="70"/>
      <c r="BL544" s="70"/>
      <c r="BM544" s="70"/>
      <c r="BN544" s="70"/>
      <c r="BO544" s="70"/>
      <c r="BP544" s="70"/>
      <c r="BQ544" s="70"/>
      <c r="BR544" s="70"/>
      <c r="BS544" s="70"/>
    </row>
    <row r="545" spans="1:71" ht="15.75" customHeight="1" x14ac:dyDescent="0.25">
      <c r="A545" s="136">
        <v>141</v>
      </c>
      <c r="B545" s="249" t="s">
        <v>5848</v>
      </c>
      <c r="C545" s="249" t="s">
        <v>2481</v>
      </c>
      <c r="D545" s="249" t="s">
        <v>859</v>
      </c>
      <c r="E545" s="249">
        <v>6.25</v>
      </c>
      <c r="F545" s="249">
        <v>20</v>
      </c>
      <c r="G545" s="249" t="s">
        <v>5849</v>
      </c>
      <c r="H545" s="249" t="s">
        <v>963</v>
      </c>
      <c r="I545" s="249" t="s">
        <v>2411</v>
      </c>
      <c r="J545" s="429">
        <v>3020230411043</v>
      </c>
      <c r="K545" s="430">
        <v>45191</v>
      </c>
      <c r="L545" s="249" t="s">
        <v>5850</v>
      </c>
      <c r="M545" s="430">
        <v>45554</v>
      </c>
      <c r="N545" s="249"/>
      <c r="O545" s="249"/>
      <c r="P545" s="249"/>
      <c r="Q545" s="249"/>
      <c r="R545" s="249"/>
      <c r="S545" s="249"/>
      <c r="T545" s="249"/>
      <c r="U545" s="249"/>
      <c r="V545" s="249"/>
      <c r="W545" s="249"/>
      <c r="Z545" s="87"/>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c r="BA545" s="70"/>
      <c r="BB545" s="70"/>
      <c r="BC545" s="70"/>
      <c r="BD545" s="70"/>
      <c r="BE545" s="70"/>
      <c r="BF545" s="70"/>
      <c r="BG545" s="70"/>
      <c r="BH545" s="70"/>
      <c r="BI545" s="70"/>
      <c r="BJ545" s="70"/>
      <c r="BK545" s="70"/>
      <c r="BL545" s="70"/>
      <c r="BM545" s="70"/>
      <c r="BN545" s="70"/>
      <c r="BO545" s="70"/>
      <c r="BP545" s="70"/>
      <c r="BQ545" s="70"/>
      <c r="BR545" s="70"/>
      <c r="BS545" s="70"/>
    </row>
    <row r="546" spans="1:71" ht="15.75" customHeight="1" x14ac:dyDescent="0.25">
      <c r="A546" s="136">
        <v>142</v>
      </c>
      <c r="B546" s="249" t="s">
        <v>5851</v>
      </c>
      <c r="C546" s="249" t="s">
        <v>5852</v>
      </c>
      <c r="D546" s="249" t="s">
        <v>925</v>
      </c>
      <c r="E546" s="249">
        <v>2.15</v>
      </c>
      <c r="F546" s="249">
        <v>20</v>
      </c>
      <c r="G546" s="249" t="s">
        <v>5853</v>
      </c>
      <c r="H546" s="249" t="s">
        <v>963</v>
      </c>
      <c r="I546" s="249" t="s">
        <v>2411</v>
      </c>
      <c r="J546" s="429">
        <v>3040230309637</v>
      </c>
      <c r="K546" s="430">
        <v>45217</v>
      </c>
      <c r="L546" s="249" t="s">
        <v>5854</v>
      </c>
      <c r="M546" s="430">
        <v>45583</v>
      </c>
      <c r="N546" s="249"/>
      <c r="O546" s="249"/>
      <c r="P546" s="249"/>
      <c r="Q546" s="249"/>
      <c r="R546" s="249"/>
      <c r="S546" s="249"/>
      <c r="T546" s="249"/>
      <c r="U546" s="249"/>
      <c r="V546" s="249"/>
      <c r="W546" s="249"/>
      <c r="Z546" s="87"/>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row>
    <row r="547" spans="1:71" ht="15.75" customHeight="1" x14ac:dyDescent="0.25">
      <c r="A547" s="136">
        <v>143</v>
      </c>
      <c r="B547" s="249" t="s">
        <v>5855</v>
      </c>
      <c r="C547" s="249" t="s">
        <v>4688</v>
      </c>
      <c r="D547" s="249" t="s">
        <v>859</v>
      </c>
      <c r="E547" s="249">
        <v>1.8</v>
      </c>
      <c r="F547" s="249">
        <v>20</v>
      </c>
      <c r="G547" s="249" t="s">
        <v>5856</v>
      </c>
      <c r="H547" s="249" t="s">
        <v>963</v>
      </c>
      <c r="I547" s="249" t="s">
        <v>2411</v>
      </c>
      <c r="J547" s="429">
        <v>3020230511481</v>
      </c>
      <c r="K547" s="430">
        <v>45246</v>
      </c>
      <c r="L547" s="249" t="s">
        <v>5857</v>
      </c>
      <c r="M547" s="430">
        <v>45596</v>
      </c>
      <c r="N547" s="249"/>
      <c r="O547" s="249"/>
      <c r="P547" s="249"/>
      <c r="Q547" s="249"/>
      <c r="R547" s="249"/>
      <c r="S547" s="249"/>
      <c r="T547" s="249"/>
      <c r="U547" s="249"/>
      <c r="V547" s="249"/>
      <c r="W547" s="249"/>
      <c r="Z547" s="87"/>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row>
    <row r="548" spans="1:71" ht="15.75" customHeight="1" x14ac:dyDescent="0.25">
      <c r="A548" s="136">
        <v>144</v>
      </c>
      <c r="B548" s="647" t="s">
        <v>914</v>
      </c>
      <c r="C548" s="249" t="s">
        <v>3027</v>
      </c>
      <c r="D548" s="249" t="s">
        <v>2460</v>
      </c>
      <c r="E548" s="428">
        <v>2.9159999999999999</v>
      </c>
      <c r="F548" s="249">
        <v>20</v>
      </c>
      <c r="G548" s="249" t="s">
        <v>5905</v>
      </c>
      <c r="H548" s="249" t="s">
        <v>4045</v>
      </c>
      <c r="I548" s="249" t="s">
        <v>2411</v>
      </c>
      <c r="J548" s="429">
        <v>3020241003505</v>
      </c>
      <c r="K548" s="430">
        <v>45566</v>
      </c>
      <c r="L548" s="249" t="s">
        <v>5906</v>
      </c>
      <c r="M548" s="430">
        <v>45566</v>
      </c>
      <c r="N548" s="249"/>
      <c r="O548" s="249"/>
      <c r="P548" s="249"/>
      <c r="Q548" s="249"/>
      <c r="R548" s="249"/>
      <c r="S548" s="249"/>
      <c r="T548" s="249"/>
      <c r="U548" s="249"/>
      <c r="V548" s="249"/>
      <c r="W548" s="249"/>
      <c r="Z548" s="87"/>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row>
    <row r="549" spans="1:71" ht="15.75" customHeight="1" x14ac:dyDescent="0.25">
      <c r="A549" s="136">
        <v>145</v>
      </c>
      <c r="B549" s="647" t="s">
        <v>5907</v>
      </c>
      <c r="C549" s="249" t="s">
        <v>4588</v>
      </c>
      <c r="D549" s="249" t="s">
        <v>3055</v>
      </c>
      <c r="E549" s="428">
        <v>9.24</v>
      </c>
      <c r="F549" s="249">
        <v>20</v>
      </c>
      <c r="G549" s="249" t="s">
        <v>5908</v>
      </c>
      <c r="H549" s="249" t="s">
        <v>4045</v>
      </c>
      <c r="I549" s="249" t="s">
        <v>2411</v>
      </c>
      <c r="J549" s="429">
        <v>3040241004616</v>
      </c>
      <c r="K549" s="430">
        <v>45580</v>
      </c>
      <c r="L549" s="249" t="s">
        <v>5909</v>
      </c>
      <c r="M549" s="430">
        <v>45583</v>
      </c>
      <c r="N549" s="249"/>
      <c r="O549" s="249"/>
      <c r="P549" s="249"/>
      <c r="Q549" s="249"/>
      <c r="R549" s="249"/>
      <c r="S549" s="249"/>
      <c r="T549" s="249"/>
      <c r="U549" s="249"/>
      <c r="V549" s="249"/>
      <c r="W549" s="249"/>
      <c r="Z549" s="87"/>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c r="BA549" s="70"/>
      <c r="BB549" s="70"/>
      <c r="BC549" s="70"/>
      <c r="BD549" s="70"/>
      <c r="BE549" s="70"/>
      <c r="BF549" s="70"/>
      <c r="BG549" s="70"/>
      <c r="BH549" s="70"/>
      <c r="BI549" s="70"/>
      <c r="BJ549" s="70"/>
      <c r="BK549" s="70"/>
      <c r="BL549" s="70"/>
      <c r="BM549" s="70"/>
      <c r="BN549" s="70"/>
      <c r="BO549" s="70"/>
      <c r="BP549" s="70"/>
      <c r="BQ549" s="70"/>
      <c r="BR549" s="70"/>
      <c r="BS549" s="70"/>
    </row>
    <row r="550" spans="1:71" ht="15.75" customHeight="1" x14ac:dyDescent="0.25">
      <c r="A550" s="136">
        <v>146</v>
      </c>
      <c r="B550" s="647" t="s">
        <v>5910</v>
      </c>
      <c r="C550" s="249" t="s">
        <v>5911</v>
      </c>
      <c r="D550" s="249" t="s">
        <v>2546</v>
      </c>
      <c r="E550" s="428">
        <v>3.7</v>
      </c>
      <c r="F550" s="249">
        <v>20</v>
      </c>
      <c r="G550" s="249" t="s">
        <v>5912</v>
      </c>
      <c r="H550" s="249" t="s">
        <v>4045</v>
      </c>
      <c r="I550" s="249" t="s">
        <v>2411</v>
      </c>
      <c r="J550" s="429">
        <v>3010241010620</v>
      </c>
      <c r="K550" s="430">
        <v>45581</v>
      </c>
      <c r="L550" s="249" t="s">
        <v>5913</v>
      </c>
      <c r="M550" s="430">
        <v>45590</v>
      </c>
      <c r="N550" s="249"/>
      <c r="O550" s="249"/>
      <c r="P550" s="249"/>
      <c r="Q550" s="249"/>
      <c r="R550" s="249"/>
      <c r="S550" s="249"/>
      <c r="T550" s="249"/>
      <c r="U550" s="249"/>
      <c r="V550" s="249"/>
      <c r="W550" s="249"/>
      <c r="Z550" s="87"/>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c r="BA550" s="70"/>
      <c r="BB550" s="70"/>
      <c r="BC550" s="70"/>
      <c r="BD550" s="70"/>
      <c r="BE550" s="70"/>
      <c r="BF550" s="70"/>
      <c r="BG550" s="70"/>
      <c r="BH550" s="70"/>
      <c r="BI550" s="70"/>
      <c r="BJ550" s="70"/>
      <c r="BK550" s="70"/>
      <c r="BL550" s="70"/>
      <c r="BM550" s="70"/>
      <c r="BN550" s="70"/>
      <c r="BO550" s="70"/>
      <c r="BP550" s="70"/>
      <c r="BQ550" s="70"/>
      <c r="BR550" s="70"/>
      <c r="BS550" s="70"/>
    </row>
    <row r="551" spans="1:71" ht="15.75" customHeight="1" x14ac:dyDescent="0.25">
      <c r="A551" s="136">
        <v>147</v>
      </c>
      <c r="B551" s="647" t="s">
        <v>5914</v>
      </c>
      <c r="C551" s="249" t="s">
        <v>4945</v>
      </c>
      <c r="D551" s="249" t="s">
        <v>2460</v>
      </c>
      <c r="E551" s="428">
        <v>96.9</v>
      </c>
      <c r="F551" s="249">
        <v>110</v>
      </c>
      <c r="G551" s="249" t="s">
        <v>5915</v>
      </c>
      <c r="H551" s="249" t="s">
        <v>963</v>
      </c>
      <c r="I551" s="249" t="s">
        <v>2411</v>
      </c>
      <c r="J551" s="429">
        <v>3020241104017</v>
      </c>
      <c r="K551" s="430">
        <v>45607</v>
      </c>
      <c r="L551" s="249"/>
      <c r="M551" s="249"/>
      <c r="N551" s="249"/>
      <c r="O551" s="249"/>
      <c r="P551" s="249"/>
      <c r="Q551" s="249"/>
      <c r="R551" s="249"/>
      <c r="S551" s="249"/>
      <c r="T551" s="249"/>
      <c r="U551" s="249"/>
      <c r="V551" s="249"/>
      <c r="W551" s="249"/>
      <c r="Z551" s="87"/>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c r="BA551" s="70"/>
      <c r="BB551" s="70"/>
      <c r="BC551" s="70"/>
      <c r="BD551" s="70"/>
      <c r="BE551" s="70"/>
      <c r="BF551" s="70"/>
      <c r="BG551" s="70"/>
      <c r="BH551" s="70"/>
      <c r="BI551" s="70"/>
      <c r="BJ551" s="70"/>
      <c r="BK551" s="70"/>
      <c r="BL551" s="70"/>
      <c r="BM551" s="70"/>
      <c r="BN551" s="70"/>
      <c r="BO551" s="70"/>
      <c r="BP551" s="70"/>
      <c r="BQ551" s="70"/>
      <c r="BR551" s="70"/>
      <c r="BS551" s="70"/>
    </row>
    <row r="552" spans="1:71" ht="15.75" customHeight="1" x14ac:dyDescent="0.25">
      <c r="A552" s="136">
        <v>148</v>
      </c>
      <c r="B552" s="647" t="s">
        <v>5916</v>
      </c>
      <c r="C552" s="249" t="s">
        <v>5917</v>
      </c>
      <c r="D552" s="249" t="s">
        <v>2837</v>
      </c>
      <c r="E552" s="428">
        <v>5</v>
      </c>
      <c r="F552" s="249">
        <v>20</v>
      </c>
      <c r="G552" s="249" t="s">
        <v>5918</v>
      </c>
      <c r="H552" s="249" t="s">
        <v>963</v>
      </c>
      <c r="I552" s="249" t="s">
        <v>2411</v>
      </c>
      <c r="J552" s="429">
        <v>3050230719802</v>
      </c>
      <c r="K552" s="430">
        <v>45603</v>
      </c>
      <c r="L552" s="249"/>
      <c r="M552" s="249"/>
      <c r="N552" s="249"/>
      <c r="O552" s="249"/>
      <c r="P552" s="249"/>
      <c r="Q552" s="249"/>
      <c r="R552" s="249"/>
      <c r="S552" s="249"/>
      <c r="T552" s="249"/>
      <c r="U552" s="249"/>
      <c r="V552" s="249"/>
      <c r="W552" s="249"/>
      <c r="Z552" s="87"/>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c r="BA552" s="70"/>
      <c r="BB552" s="70"/>
      <c r="BC552" s="70"/>
      <c r="BD552" s="70"/>
      <c r="BE552" s="70"/>
      <c r="BF552" s="70"/>
      <c r="BG552" s="70"/>
      <c r="BH552" s="70"/>
      <c r="BI552" s="70"/>
      <c r="BJ552" s="70"/>
      <c r="BK552" s="70"/>
      <c r="BL552" s="70"/>
      <c r="BM552" s="70"/>
      <c r="BN552" s="70"/>
      <c r="BO552" s="70"/>
      <c r="BP552" s="70"/>
      <c r="BQ552" s="70"/>
      <c r="BR552" s="70"/>
      <c r="BS552" s="70"/>
    </row>
    <row r="553" spans="1:71" ht="15.75" customHeight="1" x14ac:dyDescent="0.25">
      <c r="A553" s="136">
        <v>149</v>
      </c>
      <c r="B553" s="647" t="s">
        <v>909</v>
      </c>
      <c r="C553" s="249" t="s">
        <v>3050</v>
      </c>
      <c r="D553" s="249" t="s">
        <v>2460</v>
      </c>
      <c r="E553" s="249">
        <v>2.9159999999999999</v>
      </c>
      <c r="F553" s="249">
        <v>20</v>
      </c>
      <c r="G553" s="249" t="s">
        <v>5919</v>
      </c>
      <c r="H553" s="249" t="s">
        <v>4045</v>
      </c>
      <c r="I553" s="249" t="s">
        <v>2411</v>
      </c>
      <c r="J553" s="429">
        <v>3020241003507</v>
      </c>
      <c r="K553" s="430">
        <v>45566</v>
      </c>
      <c r="L553" s="249" t="s">
        <v>5920</v>
      </c>
      <c r="M553" s="430">
        <v>45566</v>
      </c>
      <c r="N553" s="249"/>
      <c r="O553" s="249"/>
      <c r="P553" s="249"/>
      <c r="Q553" s="249"/>
      <c r="R553" s="249"/>
      <c r="S553" s="249"/>
      <c r="T553" s="249"/>
      <c r="U553" s="249"/>
      <c r="V553" s="249"/>
      <c r="W553" s="249"/>
      <c r="Z553" s="87"/>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c r="BP553" s="70"/>
      <c r="BQ553" s="70"/>
      <c r="BR553" s="70"/>
      <c r="BS553" s="70"/>
    </row>
    <row r="554" spans="1:71" ht="15.75" customHeight="1" x14ac:dyDescent="0.25">
      <c r="A554" s="136">
        <v>150</v>
      </c>
      <c r="B554" s="647" t="s">
        <v>5921</v>
      </c>
      <c r="C554" s="249" t="s">
        <v>281</v>
      </c>
      <c r="D554" s="249" t="s">
        <v>2460</v>
      </c>
      <c r="E554" s="249">
        <v>2.31</v>
      </c>
      <c r="F554" s="249">
        <v>20</v>
      </c>
      <c r="G554" s="249" t="s">
        <v>5922</v>
      </c>
      <c r="H554" s="249" t="s">
        <v>963</v>
      </c>
      <c r="I554" s="249" t="s">
        <v>2411</v>
      </c>
      <c r="J554" s="429">
        <v>3020230310438</v>
      </c>
      <c r="K554" s="430">
        <v>45229</v>
      </c>
      <c r="L554" s="249" t="s">
        <v>5923</v>
      </c>
      <c r="M554" s="430">
        <v>45601</v>
      </c>
      <c r="N554" s="249"/>
      <c r="O554" s="249"/>
      <c r="P554" s="249"/>
      <c r="Q554" s="249"/>
      <c r="R554" s="249"/>
      <c r="S554" s="249"/>
      <c r="T554" s="249"/>
      <c r="U554" s="249"/>
      <c r="V554" s="249"/>
      <c r="W554" s="249"/>
      <c r="Z554" s="87"/>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c r="BA554" s="70"/>
      <c r="BB554" s="70"/>
      <c r="BC554" s="70"/>
      <c r="BD554" s="70"/>
      <c r="BE554" s="70"/>
      <c r="BF554" s="70"/>
      <c r="BG554" s="70"/>
      <c r="BH554" s="70"/>
      <c r="BI554" s="70"/>
      <c r="BJ554" s="70"/>
      <c r="BK554" s="70"/>
      <c r="BL554" s="70"/>
      <c r="BM554" s="70"/>
      <c r="BN554" s="70"/>
      <c r="BO554" s="70"/>
      <c r="BP554" s="70"/>
      <c r="BQ554" s="70"/>
      <c r="BR554" s="70"/>
      <c r="BS554" s="70"/>
    </row>
    <row r="555" spans="1:71" ht="15.75" customHeight="1" x14ac:dyDescent="0.25">
      <c r="A555" s="136">
        <v>151</v>
      </c>
      <c r="B555" s="647" t="s">
        <v>5924</v>
      </c>
      <c r="C555" s="249" t="s">
        <v>3531</v>
      </c>
      <c r="D555" s="249" t="s">
        <v>2837</v>
      </c>
      <c r="E555" s="249">
        <v>2.1850000000000001</v>
      </c>
      <c r="F555" s="249">
        <v>20</v>
      </c>
      <c r="G555" s="249" t="s">
        <v>5925</v>
      </c>
      <c r="H555" s="249" t="s">
        <v>963</v>
      </c>
      <c r="I555" s="249" t="s">
        <v>2411</v>
      </c>
      <c r="J555" s="429">
        <v>3050230619290</v>
      </c>
      <c r="K555" s="430">
        <v>45271</v>
      </c>
      <c r="L555" s="249" t="s">
        <v>5926</v>
      </c>
      <c r="M555" s="430">
        <v>45615</v>
      </c>
      <c r="N555" s="249"/>
      <c r="O555" s="249"/>
      <c r="P555" s="249"/>
      <c r="Q555" s="249"/>
      <c r="R555" s="249"/>
      <c r="S555" s="249"/>
      <c r="T555" s="249"/>
      <c r="U555" s="249"/>
      <c r="V555" s="249"/>
      <c r="W555" s="249"/>
      <c r="Z555" s="87"/>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c r="BQ555" s="70"/>
      <c r="BR555" s="70"/>
      <c r="BS555" s="70"/>
    </row>
    <row r="556" spans="1:71" x14ac:dyDescent="0.25">
      <c r="B556" s="461"/>
      <c r="C556" s="461"/>
      <c r="D556" s="461"/>
      <c r="E556" s="461"/>
      <c r="F556" s="461"/>
      <c r="G556" s="461"/>
      <c r="H556" s="461"/>
      <c r="I556" s="461"/>
      <c r="J556" s="462"/>
      <c r="K556" s="465"/>
      <c r="L556" s="469"/>
      <c r="M556" s="465"/>
      <c r="N556" s="461"/>
      <c r="O556" s="461"/>
      <c r="P556" s="461"/>
      <c r="Q556" s="461"/>
      <c r="R556" s="461"/>
      <c r="S556" s="461"/>
      <c r="T556" s="461"/>
      <c r="U556" s="461"/>
      <c r="V556" s="461"/>
      <c r="W556" s="461"/>
      <c r="Z556" s="87"/>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c r="BQ556" s="70"/>
      <c r="BR556" s="70"/>
      <c r="BS556" s="70"/>
    </row>
    <row r="557" spans="1:71" x14ac:dyDescent="0.25">
      <c r="A557" s="30">
        <v>1</v>
      </c>
      <c r="B557" s="30" t="s">
        <v>1032</v>
      </c>
      <c r="C557" s="30" t="s">
        <v>951</v>
      </c>
      <c r="D557" s="30" t="s">
        <v>1033</v>
      </c>
      <c r="E557" s="104">
        <v>4.5999999999999996</v>
      </c>
      <c r="F557" s="30">
        <v>20</v>
      </c>
      <c r="G557" s="30" t="s">
        <v>1034</v>
      </c>
      <c r="H557" s="30"/>
      <c r="I557" s="30" t="s">
        <v>1026</v>
      </c>
      <c r="J557" s="83">
        <v>6050210401455</v>
      </c>
      <c r="K557" s="89" t="s">
        <v>1035</v>
      </c>
      <c r="L557" s="92" t="s">
        <v>116</v>
      </c>
      <c r="M557" s="89" t="s">
        <v>116</v>
      </c>
      <c r="N557" s="30"/>
      <c r="O557" s="30" t="s">
        <v>25</v>
      </c>
      <c r="P557" s="30" t="s">
        <v>25</v>
      </c>
      <c r="Q557" s="30" t="s">
        <v>25</v>
      </c>
      <c r="R557" s="30"/>
      <c r="S557" s="30"/>
      <c r="T557" s="30"/>
      <c r="U557" s="30"/>
      <c r="V557" s="30"/>
      <c r="W557" s="30"/>
      <c r="Z557" s="87"/>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c r="BQ557" s="70"/>
      <c r="BR557" s="70"/>
      <c r="BS557" s="70"/>
    </row>
    <row r="558" spans="1:71" x14ac:dyDescent="0.25">
      <c r="A558" s="30">
        <v>2</v>
      </c>
      <c r="B558" s="279" t="s">
        <v>1036</v>
      </c>
      <c r="C558" s="30" t="s">
        <v>951</v>
      </c>
      <c r="D558" s="30" t="s">
        <v>1024</v>
      </c>
      <c r="E558" s="104">
        <v>45.6</v>
      </c>
      <c r="F558" s="30">
        <v>110</v>
      </c>
      <c r="G558" s="30" t="s">
        <v>1037</v>
      </c>
      <c r="H558" s="30"/>
      <c r="I558" s="30" t="s">
        <v>1026</v>
      </c>
      <c r="J558" s="83">
        <v>6060210501279</v>
      </c>
      <c r="K558" s="89" t="s">
        <v>966</v>
      </c>
      <c r="L558" s="83">
        <v>10920</v>
      </c>
      <c r="M558" s="89" t="s">
        <v>994</v>
      </c>
      <c r="N558" s="30"/>
      <c r="O558" s="30" t="s">
        <v>25</v>
      </c>
      <c r="P558" s="30" t="s">
        <v>25</v>
      </c>
      <c r="Q558" s="30" t="s">
        <v>25</v>
      </c>
      <c r="R558" s="30"/>
      <c r="S558" s="30"/>
      <c r="T558" s="30"/>
      <c r="U558" s="30"/>
      <c r="V558" s="30"/>
      <c r="W558" s="30"/>
      <c r="Z558" s="87"/>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row>
    <row r="559" spans="1:71" x14ac:dyDescent="0.25">
      <c r="A559" s="30">
        <v>3</v>
      </c>
      <c r="B559" s="279" t="s">
        <v>1041</v>
      </c>
      <c r="C559" s="30" t="s">
        <v>951</v>
      </c>
      <c r="D559" s="30" t="s">
        <v>1024</v>
      </c>
      <c r="E559" s="104">
        <v>44.95</v>
      </c>
      <c r="F559" s="30">
        <v>110</v>
      </c>
      <c r="G559" s="30" t="s">
        <v>1042</v>
      </c>
      <c r="H559" s="30"/>
      <c r="I559" s="30" t="s">
        <v>1026</v>
      </c>
      <c r="J559" s="83">
        <v>6060210902344</v>
      </c>
      <c r="K559" s="89" t="s">
        <v>991</v>
      </c>
      <c r="L559" s="279" t="s">
        <v>3650</v>
      </c>
      <c r="M559" s="473">
        <v>44963</v>
      </c>
      <c r="N559" s="30"/>
      <c r="O559" s="30" t="s">
        <v>25</v>
      </c>
      <c r="P559" s="30" t="s">
        <v>25</v>
      </c>
      <c r="Q559" s="30" t="s">
        <v>25</v>
      </c>
      <c r="R559" s="30"/>
      <c r="S559" s="30"/>
      <c r="T559" s="30"/>
      <c r="U559" s="30"/>
      <c r="V559" s="30"/>
      <c r="W559" s="30"/>
      <c r="Z559" s="87"/>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row>
    <row r="560" spans="1:71" x14ac:dyDescent="0.25">
      <c r="A560" s="30">
        <v>4</v>
      </c>
      <c r="B560" s="279" t="s">
        <v>1043</v>
      </c>
      <c r="C560" s="30" t="s">
        <v>951</v>
      </c>
      <c r="D560" s="30" t="s">
        <v>1024</v>
      </c>
      <c r="E560" s="104">
        <v>49.01</v>
      </c>
      <c r="F560" s="30">
        <v>110</v>
      </c>
      <c r="G560" s="30" t="s">
        <v>1042</v>
      </c>
      <c r="H560" s="30"/>
      <c r="I560" s="30" t="s">
        <v>1026</v>
      </c>
      <c r="J560" s="83">
        <v>6060210902354</v>
      </c>
      <c r="K560" s="89" t="s">
        <v>1004</v>
      </c>
      <c r="L560" s="92" t="s">
        <v>116</v>
      </c>
      <c r="M560" s="89" t="s">
        <v>116</v>
      </c>
      <c r="N560" s="30"/>
      <c r="O560" s="30" t="s">
        <v>25</v>
      </c>
      <c r="P560" s="30" t="s">
        <v>25</v>
      </c>
      <c r="Q560" s="30" t="s">
        <v>25</v>
      </c>
      <c r="R560" s="30"/>
      <c r="S560" s="30"/>
      <c r="T560" s="30"/>
      <c r="U560" s="30"/>
      <c r="V560" s="30"/>
      <c r="W560" s="30"/>
      <c r="Z560" s="87"/>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c r="BQ560" s="70"/>
      <c r="BR560" s="70"/>
      <c r="BS560" s="70"/>
    </row>
    <row r="561" spans="1:71" x14ac:dyDescent="0.25">
      <c r="A561" s="30">
        <v>5</v>
      </c>
      <c r="B561" s="279" t="s">
        <v>1044</v>
      </c>
      <c r="C561" s="30" t="s">
        <v>951</v>
      </c>
      <c r="D561" s="30" t="s">
        <v>1045</v>
      </c>
      <c r="E561" s="104">
        <v>86.564999999999998</v>
      </c>
      <c r="F561" s="30">
        <v>110</v>
      </c>
      <c r="G561" s="30" t="s">
        <v>1046</v>
      </c>
      <c r="H561" s="30"/>
      <c r="I561" s="30" t="s">
        <v>1026</v>
      </c>
      <c r="J561" s="83">
        <v>6020211111226</v>
      </c>
      <c r="K561" s="89" t="s">
        <v>1047</v>
      </c>
      <c r="L561" s="92" t="s">
        <v>1048</v>
      </c>
      <c r="M561" s="89" t="s">
        <v>1006</v>
      </c>
      <c r="N561" s="30"/>
      <c r="O561" s="30" t="s">
        <v>25</v>
      </c>
      <c r="P561" s="30" t="s">
        <v>25</v>
      </c>
      <c r="Q561" s="30" t="s">
        <v>25</v>
      </c>
      <c r="R561" s="30"/>
      <c r="S561" s="30"/>
      <c r="T561" s="30"/>
      <c r="U561" s="30"/>
      <c r="V561" s="30"/>
      <c r="W561" s="30"/>
      <c r="Z561" s="87"/>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c r="BQ561" s="70"/>
      <c r="BR561" s="70"/>
      <c r="BS561" s="70"/>
    </row>
    <row r="562" spans="1:71" x14ac:dyDescent="0.25">
      <c r="A562" s="30">
        <v>6</v>
      </c>
      <c r="B562" s="279" t="s">
        <v>1050</v>
      </c>
      <c r="C562" s="30" t="s">
        <v>951</v>
      </c>
      <c r="D562" s="30" t="s">
        <v>1029</v>
      </c>
      <c r="E562" s="104">
        <v>27.05584</v>
      </c>
      <c r="F562" s="30">
        <v>110</v>
      </c>
      <c r="G562" s="30" t="s">
        <v>1051</v>
      </c>
      <c r="H562" s="30"/>
      <c r="I562" s="30" t="s">
        <v>1026</v>
      </c>
      <c r="J562" s="83">
        <v>6040210201224</v>
      </c>
      <c r="K562" s="89" t="s">
        <v>995</v>
      </c>
      <c r="L562" s="279" t="s">
        <v>3649</v>
      </c>
      <c r="M562" s="473">
        <v>44811</v>
      </c>
      <c r="N562" s="30"/>
      <c r="O562" s="30" t="s">
        <v>25</v>
      </c>
      <c r="P562" s="30" t="s">
        <v>25</v>
      </c>
      <c r="Q562" s="30" t="s">
        <v>25</v>
      </c>
      <c r="R562" s="30"/>
      <c r="S562" s="30"/>
      <c r="T562" s="30"/>
      <c r="U562" s="30"/>
      <c r="V562" s="30"/>
      <c r="W562" s="30"/>
      <c r="Z562" s="87"/>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c r="BQ562" s="70"/>
      <c r="BR562" s="70"/>
      <c r="BS562" s="70"/>
    </row>
    <row r="563" spans="1:71" x14ac:dyDescent="0.25">
      <c r="A563" s="30">
        <v>7</v>
      </c>
      <c r="B563" s="279" t="s">
        <v>1330</v>
      </c>
      <c r="C563" s="30" t="s">
        <v>951</v>
      </c>
      <c r="D563" s="30" t="s">
        <v>1045</v>
      </c>
      <c r="E563" s="104">
        <v>4.96</v>
      </c>
      <c r="F563" s="30">
        <v>20</v>
      </c>
      <c r="G563" s="30" t="s">
        <v>1062</v>
      </c>
      <c r="H563" s="30"/>
      <c r="I563" s="30" t="s">
        <v>1026</v>
      </c>
      <c r="J563" s="83">
        <v>6020211111115</v>
      </c>
      <c r="K563" s="89">
        <v>44718</v>
      </c>
      <c r="L563" s="30" t="s">
        <v>3651</v>
      </c>
      <c r="M563" s="89" t="s">
        <v>3651</v>
      </c>
      <c r="N563" s="30"/>
      <c r="O563" s="30" t="s">
        <v>25</v>
      </c>
      <c r="P563" s="30" t="s">
        <v>25</v>
      </c>
      <c r="Q563" s="30" t="s">
        <v>25</v>
      </c>
      <c r="R563" s="30"/>
      <c r="S563" s="30"/>
      <c r="T563" s="30"/>
      <c r="U563" s="30"/>
      <c r="V563" s="30"/>
      <c r="W563" s="30"/>
      <c r="Z563" s="87"/>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c r="BQ563" s="70"/>
      <c r="BR563" s="70"/>
      <c r="BS563" s="70"/>
    </row>
    <row r="564" spans="1:71" x14ac:dyDescent="0.25">
      <c r="A564" s="30">
        <v>8</v>
      </c>
      <c r="B564" s="279" t="s">
        <v>579</v>
      </c>
      <c r="C564" s="30" t="s">
        <v>951</v>
      </c>
      <c r="D564" s="30" t="s">
        <v>1045</v>
      </c>
      <c r="E564" s="104">
        <v>77.525000000000006</v>
      </c>
      <c r="F564" s="30">
        <v>110</v>
      </c>
      <c r="G564" s="30" t="s">
        <v>1331</v>
      </c>
      <c r="H564" s="30"/>
      <c r="I564" s="30" t="s">
        <v>1026</v>
      </c>
      <c r="J564" s="83">
        <v>6020220617154</v>
      </c>
      <c r="K564" s="89">
        <v>44743</v>
      </c>
      <c r="L564" s="279" t="s">
        <v>3651</v>
      </c>
      <c r="M564" s="473">
        <v>45076</v>
      </c>
      <c r="N564" s="30"/>
      <c r="O564" s="30" t="s">
        <v>25</v>
      </c>
      <c r="P564" s="30" t="s">
        <v>25</v>
      </c>
      <c r="Q564" s="30" t="s">
        <v>25</v>
      </c>
      <c r="R564" s="30"/>
      <c r="S564" s="30"/>
      <c r="T564" s="30"/>
      <c r="U564" s="30"/>
      <c r="V564" s="30"/>
      <c r="W564" s="30"/>
      <c r="Z564" s="87"/>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c r="BQ564" s="70"/>
      <c r="BR564" s="70"/>
      <c r="BS564" s="70"/>
    </row>
    <row r="565" spans="1:71" x14ac:dyDescent="0.25">
      <c r="A565" s="30">
        <v>9</v>
      </c>
      <c r="B565" s="279" t="s">
        <v>1332</v>
      </c>
      <c r="C565" s="30" t="s">
        <v>951</v>
      </c>
      <c r="D565" s="30" t="s">
        <v>1029</v>
      </c>
      <c r="E565" s="104">
        <v>57.924999999999997</v>
      </c>
      <c r="F565" s="30">
        <v>110</v>
      </c>
      <c r="G565" s="30" t="s">
        <v>1333</v>
      </c>
      <c r="H565" s="30"/>
      <c r="I565" s="30" t="s">
        <v>1026</v>
      </c>
      <c r="J565" s="83">
        <v>6040220710459</v>
      </c>
      <c r="K565" s="89">
        <v>44756</v>
      </c>
      <c r="L565" s="279" t="s">
        <v>3652</v>
      </c>
      <c r="M565" s="473">
        <v>45051</v>
      </c>
      <c r="N565" s="30"/>
      <c r="O565" s="30" t="s">
        <v>25</v>
      </c>
      <c r="P565" s="30" t="s">
        <v>25</v>
      </c>
      <c r="Q565" s="30" t="s">
        <v>25</v>
      </c>
      <c r="R565" s="30"/>
      <c r="S565" s="30"/>
      <c r="T565" s="30"/>
      <c r="U565" s="30"/>
      <c r="V565" s="30"/>
      <c r="W565" s="30"/>
      <c r="Z565" s="87"/>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row>
    <row r="566" spans="1:71" x14ac:dyDescent="0.25">
      <c r="A566" s="30">
        <v>10</v>
      </c>
      <c r="B566" s="474" t="s">
        <v>1699</v>
      </c>
      <c r="C566" s="104" t="s">
        <v>951</v>
      </c>
      <c r="D566" s="104" t="s">
        <v>1045</v>
      </c>
      <c r="E566" s="104">
        <v>49</v>
      </c>
      <c r="F566" s="104">
        <v>110</v>
      </c>
      <c r="G566" s="104" t="s">
        <v>1046</v>
      </c>
      <c r="H566" s="104"/>
      <c r="I566" s="104" t="s">
        <v>1026</v>
      </c>
      <c r="J566" s="434">
        <v>6020220516403</v>
      </c>
      <c r="K566" s="105">
        <v>44798</v>
      </c>
      <c r="L566" s="474" t="s">
        <v>3653</v>
      </c>
      <c r="M566" s="475">
        <v>45119</v>
      </c>
      <c r="N566" s="104"/>
      <c r="O566" s="104" t="s">
        <v>25</v>
      </c>
      <c r="P566" s="104" t="s">
        <v>25</v>
      </c>
      <c r="Q566" s="104" t="s">
        <v>25</v>
      </c>
      <c r="R566" s="104"/>
      <c r="S566" s="104"/>
      <c r="T566" s="104"/>
      <c r="U566" s="104"/>
      <c r="V566" s="104"/>
      <c r="W566" s="30"/>
      <c r="Z566" s="87"/>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row>
    <row r="567" spans="1:71" x14ac:dyDescent="0.25">
      <c r="A567" s="30">
        <v>11</v>
      </c>
      <c r="B567" s="474" t="s">
        <v>1803</v>
      </c>
      <c r="C567" s="104" t="s">
        <v>951</v>
      </c>
      <c r="D567" s="104" t="s">
        <v>1029</v>
      </c>
      <c r="E567" s="104">
        <v>2</v>
      </c>
      <c r="F567" s="104">
        <v>20</v>
      </c>
      <c r="G567" s="104" t="s">
        <v>1804</v>
      </c>
      <c r="H567" s="104"/>
      <c r="I567" s="104" t="s">
        <v>1026</v>
      </c>
      <c r="J567" s="434">
        <v>6040220609732</v>
      </c>
      <c r="K567" s="105">
        <v>44806</v>
      </c>
      <c r="L567" s="474" t="s">
        <v>3655</v>
      </c>
      <c r="M567" s="475">
        <v>45092</v>
      </c>
      <c r="N567" s="104"/>
      <c r="O567" s="104" t="s">
        <v>25</v>
      </c>
      <c r="P567" s="104" t="s">
        <v>25</v>
      </c>
      <c r="Q567" s="104" t="s">
        <v>25</v>
      </c>
      <c r="R567" s="104"/>
      <c r="S567" s="104"/>
      <c r="T567" s="104"/>
      <c r="U567" s="104"/>
      <c r="V567" s="104"/>
      <c r="W567" s="30"/>
      <c r="Z567" s="87"/>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c r="BQ567" s="70"/>
      <c r="BR567" s="70"/>
      <c r="BS567" s="70"/>
    </row>
    <row r="568" spans="1:71" x14ac:dyDescent="0.25">
      <c r="A568" s="30">
        <v>12</v>
      </c>
      <c r="B568" s="250" t="s">
        <v>1823</v>
      </c>
      <c r="C568" s="74" t="s">
        <v>951</v>
      </c>
      <c r="D568" s="74" t="s">
        <v>1024</v>
      </c>
      <c r="E568" s="180">
        <v>4.55</v>
      </c>
      <c r="F568" s="74"/>
      <c r="G568" s="74" t="s">
        <v>1824</v>
      </c>
      <c r="H568" s="74"/>
      <c r="I568" s="74" t="s">
        <v>1026</v>
      </c>
      <c r="J568" s="75">
        <v>6060220805978</v>
      </c>
      <c r="K568" s="181">
        <v>44804</v>
      </c>
      <c r="L568" s="250" t="s">
        <v>3654</v>
      </c>
      <c r="M568" s="352">
        <v>45142</v>
      </c>
      <c r="N568" s="74"/>
      <c r="O568" s="74" t="s">
        <v>25</v>
      </c>
      <c r="P568" s="74" t="s">
        <v>25</v>
      </c>
      <c r="Q568" s="74" t="s">
        <v>25</v>
      </c>
      <c r="R568" s="75"/>
      <c r="S568" s="181"/>
      <c r="T568" s="74"/>
      <c r="U568" s="74"/>
      <c r="V568" s="74"/>
      <c r="W568" s="74"/>
      <c r="Z568" s="87"/>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c r="BQ568" s="70"/>
      <c r="BR568" s="70"/>
      <c r="BS568" s="70"/>
    </row>
    <row r="569" spans="1:71" x14ac:dyDescent="0.25">
      <c r="A569" s="30">
        <v>13</v>
      </c>
      <c r="B569" s="250" t="s">
        <v>1825</v>
      </c>
      <c r="C569" s="74" t="s">
        <v>951</v>
      </c>
      <c r="D569" s="74" t="s">
        <v>1045</v>
      </c>
      <c r="E569" s="180">
        <v>49</v>
      </c>
      <c r="F569" s="74">
        <v>110</v>
      </c>
      <c r="G569" s="74" t="s">
        <v>1826</v>
      </c>
      <c r="H569" s="74"/>
      <c r="I569" s="74" t="s">
        <v>1026</v>
      </c>
      <c r="J569" s="351">
        <v>6020221020902</v>
      </c>
      <c r="K569" s="352">
        <v>44838</v>
      </c>
      <c r="L569" s="250" t="s">
        <v>3665</v>
      </c>
      <c r="M569" s="352">
        <v>45197</v>
      </c>
      <c r="N569" s="74"/>
      <c r="O569" s="74" t="s">
        <v>25</v>
      </c>
      <c r="P569" s="74" t="s">
        <v>25</v>
      </c>
      <c r="Q569" s="74" t="s">
        <v>25</v>
      </c>
      <c r="R569" s="75"/>
      <c r="S569" s="181"/>
      <c r="T569" s="74"/>
      <c r="U569" s="74"/>
      <c r="V569" s="74"/>
      <c r="W569" s="74"/>
      <c r="Z569" s="87"/>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c r="BQ569" s="70"/>
      <c r="BR569" s="70"/>
      <c r="BS569" s="70"/>
    </row>
    <row r="570" spans="1:71" x14ac:dyDescent="0.25">
      <c r="A570" s="30">
        <v>14</v>
      </c>
      <c r="B570" s="250" t="s">
        <v>351</v>
      </c>
      <c r="C570" s="74" t="s">
        <v>951</v>
      </c>
      <c r="D570" s="74" t="s">
        <v>1045</v>
      </c>
      <c r="E570" s="180">
        <v>3.12</v>
      </c>
      <c r="F570" s="74">
        <v>20</v>
      </c>
      <c r="G570" s="74" t="s">
        <v>1867</v>
      </c>
      <c r="H570" s="74"/>
      <c r="I570" s="74" t="s">
        <v>1026</v>
      </c>
      <c r="J570" s="75">
        <v>6020220314973</v>
      </c>
      <c r="K570" s="181">
        <v>44832</v>
      </c>
      <c r="L570" s="250" t="s">
        <v>3656</v>
      </c>
      <c r="M570" s="352">
        <v>44998</v>
      </c>
      <c r="N570" s="74"/>
      <c r="O570" s="74" t="s">
        <v>25</v>
      </c>
      <c r="P570" s="74" t="s">
        <v>25</v>
      </c>
      <c r="Q570" s="74" t="s">
        <v>25</v>
      </c>
      <c r="R570" s="75"/>
      <c r="S570" s="181"/>
      <c r="T570" s="74"/>
      <c r="U570" s="74"/>
      <c r="V570" s="74"/>
      <c r="W570" s="74"/>
      <c r="Z570" s="87"/>
      <c r="AA570" s="70"/>
      <c r="AB570" s="70"/>
      <c r="AC570" s="70"/>
      <c r="AD570" s="70"/>
      <c r="AE570" s="70"/>
      <c r="AF570" s="70"/>
      <c r="AG570" s="70"/>
      <c r="AH570" s="70"/>
      <c r="AI570" s="70"/>
      <c r="AJ570" s="70"/>
      <c r="AK570" s="70"/>
      <c r="AL570" s="70"/>
      <c r="AM570" s="70"/>
      <c r="AN570" s="70"/>
      <c r="AO570" s="70"/>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c r="BQ570" s="70"/>
      <c r="BR570" s="70"/>
      <c r="BS570" s="70"/>
    </row>
    <row r="571" spans="1:71" x14ac:dyDescent="0.25">
      <c r="A571" s="30">
        <v>15</v>
      </c>
      <c r="B571" s="250" t="s">
        <v>1940</v>
      </c>
      <c r="C571" s="74" t="s">
        <v>951</v>
      </c>
      <c r="D571" s="74" t="s">
        <v>1045</v>
      </c>
      <c r="E571" s="180">
        <v>2</v>
      </c>
      <c r="F571" s="74">
        <v>20</v>
      </c>
      <c r="G571" s="74" t="s">
        <v>1941</v>
      </c>
      <c r="H571" s="74"/>
      <c r="I571" s="74" t="s">
        <v>1026</v>
      </c>
      <c r="J571" s="75">
        <v>6020220617441</v>
      </c>
      <c r="K571" s="181">
        <v>44872</v>
      </c>
      <c r="L571" s="250" t="s">
        <v>3657</v>
      </c>
      <c r="M571" s="352">
        <v>45159</v>
      </c>
      <c r="N571" s="74"/>
      <c r="O571" s="74" t="s">
        <v>25</v>
      </c>
      <c r="P571" s="74" t="s">
        <v>25</v>
      </c>
      <c r="Q571" s="74" t="s">
        <v>25</v>
      </c>
      <c r="R571" s="75"/>
      <c r="S571" s="181"/>
      <c r="T571" s="74"/>
      <c r="U571" s="74"/>
      <c r="V571" s="74"/>
      <c r="W571" s="74"/>
      <c r="Z571" s="87"/>
      <c r="AA571" s="70"/>
      <c r="AB571" s="70"/>
      <c r="AC571" s="70"/>
      <c r="AD571" s="70"/>
      <c r="AE571" s="70"/>
      <c r="AF571" s="70"/>
      <c r="AG571" s="70"/>
      <c r="AH571" s="70"/>
      <c r="AI571" s="70"/>
      <c r="AJ571" s="70"/>
      <c r="AK571" s="70"/>
      <c r="AL571" s="70"/>
      <c r="AM571" s="70"/>
      <c r="AN571" s="70"/>
      <c r="AO571" s="70"/>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c r="BQ571" s="70"/>
      <c r="BR571" s="70"/>
      <c r="BS571" s="70"/>
    </row>
    <row r="572" spans="1:71" x14ac:dyDescent="0.25">
      <c r="A572" s="30">
        <v>16</v>
      </c>
      <c r="B572" s="250" t="s">
        <v>2016</v>
      </c>
      <c r="C572" s="74" t="s">
        <v>951</v>
      </c>
      <c r="D572" s="74" t="s">
        <v>1024</v>
      </c>
      <c r="E572" s="180">
        <v>3.85</v>
      </c>
      <c r="F572" s="74">
        <v>20</v>
      </c>
      <c r="G572" s="74" t="s">
        <v>2017</v>
      </c>
      <c r="H572" s="74"/>
      <c r="I572" s="74" t="s">
        <v>1026</v>
      </c>
      <c r="J572" s="75">
        <v>6060220705399</v>
      </c>
      <c r="K572" s="181">
        <v>44880</v>
      </c>
      <c r="L572" s="74" t="s">
        <v>3932</v>
      </c>
      <c r="M572" s="181">
        <v>45239</v>
      </c>
      <c r="N572" s="74"/>
      <c r="O572" s="74" t="s">
        <v>25</v>
      </c>
      <c r="P572" s="74" t="s">
        <v>25</v>
      </c>
      <c r="Q572" s="74" t="s">
        <v>25</v>
      </c>
      <c r="R572" s="75"/>
      <c r="S572" s="181"/>
      <c r="T572" s="74"/>
      <c r="U572" s="74"/>
      <c r="V572" s="74"/>
      <c r="W572" s="74"/>
      <c r="Z572" s="87"/>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c r="BQ572" s="70"/>
      <c r="BR572" s="70"/>
      <c r="BS572" s="70"/>
    </row>
    <row r="573" spans="1:71" x14ac:dyDescent="0.25">
      <c r="A573" s="30">
        <v>17</v>
      </c>
      <c r="B573" s="250" t="s">
        <v>2016</v>
      </c>
      <c r="C573" s="74" t="s">
        <v>951</v>
      </c>
      <c r="D573" s="74" t="s">
        <v>1024</v>
      </c>
      <c r="E573" s="180">
        <v>2.97</v>
      </c>
      <c r="F573" s="74">
        <v>20</v>
      </c>
      <c r="G573" s="74" t="s">
        <v>2018</v>
      </c>
      <c r="H573" s="74"/>
      <c r="I573" s="74" t="s">
        <v>1026</v>
      </c>
      <c r="J573" s="75">
        <v>6060220705400</v>
      </c>
      <c r="K573" s="181">
        <v>44880</v>
      </c>
      <c r="L573" s="74" t="s">
        <v>3933</v>
      </c>
      <c r="M573" s="181">
        <v>45239</v>
      </c>
      <c r="N573" s="74"/>
      <c r="O573" s="74" t="s">
        <v>25</v>
      </c>
      <c r="P573" s="74" t="s">
        <v>25</v>
      </c>
      <c r="Q573" s="74" t="s">
        <v>25</v>
      </c>
      <c r="R573" s="75"/>
      <c r="S573" s="181"/>
      <c r="T573" s="74"/>
      <c r="U573" s="74"/>
      <c r="V573" s="74"/>
      <c r="W573" s="74"/>
      <c r="Z573" s="87"/>
      <c r="AA573" s="70"/>
      <c r="AB573" s="70"/>
      <c r="AC573" s="70"/>
      <c r="AD573" s="70"/>
      <c r="AE573" s="70"/>
      <c r="AF573" s="70"/>
      <c r="AG573" s="70"/>
      <c r="AH573" s="70"/>
      <c r="AI573" s="70"/>
      <c r="AJ573" s="70"/>
      <c r="AK573" s="70"/>
      <c r="AL573" s="70"/>
      <c r="AM573" s="70"/>
      <c r="AN573" s="70"/>
      <c r="AO573" s="70"/>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c r="BQ573" s="70"/>
      <c r="BR573" s="70"/>
      <c r="BS573" s="70"/>
    </row>
    <row r="574" spans="1:71" x14ac:dyDescent="0.25">
      <c r="A574" s="30">
        <v>18</v>
      </c>
      <c r="B574" s="250" t="s">
        <v>1027</v>
      </c>
      <c r="C574" s="74" t="s">
        <v>951</v>
      </c>
      <c r="D574" s="74" t="s">
        <v>1029</v>
      </c>
      <c r="E574" s="180">
        <v>3.3250000000000002</v>
      </c>
      <c r="F574" s="74">
        <v>20</v>
      </c>
      <c r="G574" s="74" t="s">
        <v>1030</v>
      </c>
      <c r="H574" s="74"/>
      <c r="I574" s="74" t="s">
        <v>1026</v>
      </c>
      <c r="J574" s="75">
        <v>6040220710262</v>
      </c>
      <c r="K574" s="181">
        <v>44908</v>
      </c>
      <c r="L574" s="250" t="s">
        <v>3658</v>
      </c>
      <c r="M574" s="352">
        <v>45005</v>
      </c>
      <c r="N574" s="74"/>
      <c r="O574" s="74" t="s">
        <v>25</v>
      </c>
      <c r="P574" s="74" t="s">
        <v>25</v>
      </c>
      <c r="Q574" s="74" t="s">
        <v>25</v>
      </c>
      <c r="R574" s="75"/>
      <c r="S574" s="181"/>
      <c r="T574" s="74"/>
      <c r="U574" s="74"/>
      <c r="V574" s="74"/>
      <c r="W574" s="74"/>
      <c r="Z574" s="87"/>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c r="BQ574" s="70"/>
      <c r="BR574" s="70"/>
      <c r="BS574" s="70"/>
    </row>
    <row r="575" spans="1:71" x14ac:dyDescent="0.25">
      <c r="A575" s="30">
        <v>19</v>
      </c>
      <c r="B575" s="250" t="s">
        <v>2160</v>
      </c>
      <c r="C575" s="74" t="s">
        <v>951</v>
      </c>
      <c r="D575" s="74" t="s">
        <v>1033</v>
      </c>
      <c r="E575" s="180">
        <v>2.6</v>
      </c>
      <c r="F575" s="74">
        <v>20</v>
      </c>
      <c r="G575" s="74" t="s">
        <v>1334</v>
      </c>
      <c r="H575" s="74"/>
      <c r="I575" s="74" t="s">
        <v>1026</v>
      </c>
      <c r="J575" s="75">
        <v>6050220206084</v>
      </c>
      <c r="K575" s="181">
        <v>44931</v>
      </c>
      <c r="L575" s="250" t="s">
        <v>3659</v>
      </c>
      <c r="M575" s="352">
        <v>45092</v>
      </c>
      <c r="N575" s="74"/>
      <c r="O575" s="74" t="s">
        <v>25</v>
      </c>
      <c r="P575" s="74" t="s">
        <v>25</v>
      </c>
      <c r="Q575" s="74" t="s">
        <v>25</v>
      </c>
      <c r="R575" s="75"/>
      <c r="S575" s="181"/>
      <c r="T575" s="74"/>
      <c r="U575" s="74"/>
      <c r="V575" s="74"/>
      <c r="W575" s="74"/>
      <c r="Z575" s="87"/>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c r="BQ575" s="70"/>
      <c r="BR575" s="70"/>
      <c r="BS575" s="70"/>
    </row>
    <row r="576" spans="1:71" x14ac:dyDescent="0.25">
      <c r="A576" s="30">
        <v>20</v>
      </c>
      <c r="B576" s="250" t="s">
        <v>2329</v>
      </c>
      <c r="C576" s="74" t="s">
        <v>951</v>
      </c>
      <c r="D576" s="74" t="s">
        <v>1029</v>
      </c>
      <c r="E576" s="180">
        <v>1.8</v>
      </c>
      <c r="F576" s="74">
        <v>20</v>
      </c>
      <c r="G576" s="74" t="s">
        <v>2330</v>
      </c>
      <c r="H576" s="74"/>
      <c r="I576" s="74" t="s">
        <v>1026</v>
      </c>
      <c r="J576" s="75">
        <v>6040220509347</v>
      </c>
      <c r="K576" s="181">
        <v>44971</v>
      </c>
      <c r="L576" s="74" t="s">
        <v>3934</v>
      </c>
      <c r="M576" s="181">
        <v>45204</v>
      </c>
      <c r="N576" s="74"/>
      <c r="O576" s="74" t="s">
        <v>25</v>
      </c>
      <c r="P576" s="74" t="s">
        <v>25</v>
      </c>
      <c r="Q576" s="74" t="s">
        <v>25</v>
      </c>
      <c r="R576" s="75"/>
      <c r="S576" s="181"/>
      <c r="T576" s="74"/>
      <c r="U576" s="74"/>
      <c r="V576" s="74"/>
      <c r="W576" s="74"/>
      <c r="Z576" s="87"/>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c r="BQ576" s="70"/>
      <c r="BR576" s="70"/>
      <c r="BS576" s="70"/>
    </row>
    <row r="577" spans="1:71" x14ac:dyDescent="0.25">
      <c r="A577" s="30">
        <v>21</v>
      </c>
      <c r="B577" s="250" t="s">
        <v>2416</v>
      </c>
      <c r="C577" s="74" t="s">
        <v>2417</v>
      </c>
      <c r="D577" s="74" t="s">
        <v>1024</v>
      </c>
      <c r="E577" s="180">
        <v>4.9800000000000004</v>
      </c>
      <c r="F577" s="74">
        <v>20</v>
      </c>
      <c r="G577" s="74" t="s">
        <v>2418</v>
      </c>
      <c r="H577" s="74"/>
      <c r="I577" s="74" t="s">
        <v>1026</v>
      </c>
      <c r="J577" s="75">
        <v>6060230107607</v>
      </c>
      <c r="K577" s="181">
        <v>44988</v>
      </c>
      <c r="L577" s="74" t="s">
        <v>116</v>
      </c>
      <c r="M577" s="181" t="s">
        <v>116</v>
      </c>
      <c r="N577" s="74"/>
      <c r="O577" s="74" t="s">
        <v>25</v>
      </c>
      <c r="P577" s="74" t="s">
        <v>25</v>
      </c>
      <c r="Q577" s="74" t="s">
        <v>25</v>
      </c>
      <c r="R577" s="75"/>
      <c r="S577" s="181"/>
      <c r="T577" s="74"/>
      <c r="U577" s="74"/>
      <c r="V577" s="74"/>
      <c r="W577" s="74"/>
      <c r="Z577" s="87"/>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c r="BQ577" s="70"/>
      <c r="BR577" s="70"/>
      <c r="BS577" s="70"/>
    </row>
    <row r="578" spans="1:71" x14ac:dyDescent="0.25">
      <c r="A578" s="30">
        <v>22</v>
      </c>
      <c r="B578" s="250" t="s">
        <v>2419</v>
      </c>
      <c r="C578" s="74" t="s">
        <v>951</v>
      </c>
      <c r="D578" s="74" t="s">
        <v>1033</v>
      </c>
      <c r="E578" s="180">
        <v>6.02</v>
      </c>
      <c r="F578" s="74">
        <v>20</v>
      </c>
      <c r="G578" s="74" t="s">
        <v>2420</v>
      </c>
      <c r="H578" s="74" t="s">
        <v>2421</v>
      </c>
      <c r="I578" s="74" t="s">
        <v>1026</v>
      </c>
      <c r="J578" s="75">
        <v>6050220708439</v>
      </c>
      <c r="K578" s="181">
        <v>44991</v>
      </c>
      <c r="L578" s="250" t="s">
        <v>3660</v>
      </c>
      <c r="M578" s="352">
        <v>45062</v>
      </c>
      <c r="N578" s="74"/>
      <c r="O578" s="74" t="s">
        <v>25</v>
      </c>
      <c r="P578" s="74" t="s">
        <v>25</v>
      </c>
      <c r="Q578" s="74" t="s">
        <v>25</v>
      </c>
      <c r="R578" s="75"/>
      <c r="S578" s="181"/>
      <c r="T578" s="74"/>
      <c r="U578" s="74"/>
      <c r="V578" s="74"/>
      <c r="W578" s="74"/>
      <c r="Z578" s="87"/>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c r="BQ578" s="70"/>
      <c r="BR578" s="70"/>
      <c r="BS578" s="70"/>
    </row>
    <row r="579" spans="1:71" x14ac:dyDescent="0.25">
      <c r="A579" s="30">
        <v>23</v>
      </c>
      <c r="B579" s="250" t="s">
        <v>2461</v>
      </c>
      <c r="C579" s="74" t="s">
        <v>951</v>
      </c>
      <c r="D579" s="74" t="s">
        <v>1038</v>
      </c>
      <c r="E579" s="74">
        <v>2.9</v>
      </c>
      <c r="F579" s="74">
        <v>20</v>
      </c>
      <c r="G579" s="74" t="s">
        <v>2462</v>
      </c>
      <c r="H579" s="74"/>
      <c r="I579" s="74" t="s">
        <v>1026</v>
      </c>
      <c r="J579" s="75">
        <v>6030221017013</v>
      </c>
      <c r="K579" s="181">
        <v>44991</v>
      </c>
      <c r="L579" s="250" t="s">
        <v>3661</v>
      </c>
      <c r="M579" s="352">
        <v>45064</v>
      </c>
      <c r="N579" s="74"/>
      <c r="O579" s="74" t="s">
        <v>25</v>
      </c>
      <c r="P579" s="74" t="s">
        <v>25</v>
      </c>
      <c r="Q579" s="74" t="s">
        <v>25</v>
      </c>
      <c r="R579" s="75"/>
      <c r="S579" s="181"/>
      <c r="T579" s="74"/>
      <c r="U579" s="74"/>
      <c r="V579" s="74"/>
      <c r="W579" s="74"/>
      <c r="Z579" s="87"/>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row>
    <row r="580" spans="1:71" x14ac:dyDescent="0.25">
      <c r="A580" s="30">
        <v>24</v>
      </c>
      <c r="B580" s="250" t="s">
        <v>2463</v>
      </c>
      <c r="C580" s="74" t="s">
        <v>951</v>
      </c>
      <c r="D580" s="74" t="s">
        <v>1033</v>
      </c>
      <c r="E580" s="74">
        <v>6.02</v>
      </c>
      <c r="F580" s="74">
        <v>20</v>
      </c>
      <c r="G580" s="74" t="s">
        <v>2464</v>
      </c>
      <c r="H580" s="74"/>
      <c r="I580" s="74" t="s">
        <v>1026</v>
      </c>
      <c r="J580" s="75">
        <v>6050221110524</v>
      </c>
      <c r="K580" s="181">
        <v>44993</v>
      </c>
      <c r="L580" s="250" t="s">
        <v>3662</v>
      </c>
      <c r="M580" s="352">
        <v>45062</v>
      </c>
      <c r="N580" s="74"/>
      <c r="O580" s="74" t="s">
        <v>25</v>
      </c>
      <c r="P580" s="74" t="s">
        <v>25</v>
      </c>
      <c r="Q580" s="74" t="s">
        <v>25</v>
      </c>
      <c r="R580" s="75"/>
      <c r="S580" s="181"/>
      <c r="T580" s="74"/>
      <c r="U580" s="74"/>
      <c r="V580" s="74"/>
      <c r="W580" s="74"/>
      <c r="Z580" s="87"/>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row>
    <row r="581" spans="1:71" x14ac:dyDescent="0.25">
      <c r="A581" s="30">
        <v>25</v>
      </c>
      <c r="B581" s="250" t="s">
        <v>2802</v>
      </c>
      <c r="C581" s="250" t="s">
        <v>951</v>
      </c>
      <c r="D581" s="74" t="s">
        <v>1045</v>
      </c>
      <c r="E581" s="180">
        <v>1</v>
      </c>
      <c r="F581" s="74">
        <v>20</v>
      </c>
      <c r="G581" s="74" t="s">
        <v>2803</v>
      </c>
      <c r="H581" s="74"/>
      <c r="I581" s="74" t="s">
        <v>1026</v>
      </c>
      <c r="J581" s="75">
        <v>6020220718095</v>
      </c>
      <c r="K581" s="181">
        <v>45029</v>
      </c>
      <c r="L581" s="74"/>
      <c r="M581" s="181"/>
      <c r="N581" s="74"/>
      <c r="O581" s="74" t="s">
        <v>25</v>
      </c>
      <c r="P581" s="74" t="s">
        <v>25</v>
      </c>
      <c r="Q581" s="74" t="s">
        <v>25</v>
      </c>
      <c r="R581" s="75"/>
      <c r="S581" s="181"/>
      <c r="T581" s="74"/>
      <c r="U581" s="74"/>
      <c r="V581" s="74"/>
      <c r="W581" s="74"/>
      <c r="Z581" s="87"/>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row>
    <row r="582" spans="1:71" x14ac:dyDescent="0.25">
      <c r="A582" s="30">
        <v>26</v>
      </c>
      <c r="B582" s="250" t="s">
        <v>2804</v>
      </c>
      <c r="C582" s="250" t="s">
        <v>951</v>
      </c>
      <c r="D582" s="74" t="s">
        <v>1029</v>
      </c>
      <c r="E582" s="180">
        <v>2.9620000000000002</v>
      </c>
      <c r="F582" s="74">
        <v>20</v>
      </c>
      <c r="G582" s="74" t="s">
        <v>2805</v>
      </c>
      <c r="H582" s="74" t="s">
        <v>964</v>
      </c>
      <c r="I582" s="74" t="s">
        <v>1026</v>
      </c>
      <c r="J582" s="75">
        <v>6040220710400</v>
      </c>
      <c r="K582" s="181">
        <v>45050</v>
      </c>
      <c r="L582" s="74"/>
      <c r="M582" s="181"/>
      <c r="N582" s="74"/>
      <c r="O582" s="74" t="s">
        <v>25</v>
      </c>
      <c r="P582" s="74" t="s">
        <v>25</v>
      </c>
      <c r="Q582" s="74" t="s">
        <v>25</v>
      </c>
      <c r="R582" s="75"/>
      <c r="S582" s="181"/>
      <c r="T582" s="74"/>
      <c r="U582" s="74"/>
      <c r="V582" s="74"/>
      <c r="W582" s="74"/>
      <c r="Z582" s="87"/>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row>
    <row r="583" spans="1:71" x14ac:dyDescent="0.25">
      <c r="A583" s="30">
        <v>27</v>
      </c>
      <c r="B583" s="250" t="s">
        <v>2971</v>
      </c>
      <c r="C583" s="250" t="s">
        <v>951</v>
      </c>
      <c r="D583" s="74" t="s">
        <v>1045</v>
      </c>
      <c r="E583" s="196">
        <v>7</v>
      </c>
      <c r="F583" s="74">
        <v>20</v>
      </c>
      <c r="G583" s="74" t="s">
        <v>2972</v>
      </c>
      <c r="H583" s="74" t="s">
        <v>963</v>
      </c>
      <c r="I583" s="74" t="s">
        <v>1026</v>
      </c>
      <c r="J583" s="75">
        <v>6020220315298</v>
      </c>
      <c r="K583" s="181">
        <v>44915</v>
      </c>
      <c r="L583" s="250" t="s">
        <v>3555</v>
      </c>
      <c r="M583" s="352">
        <v>45183</v>
      </c>
      <c r="N583" s="74"/>
      <c r="O583" s="74"/>
      <c r="P583" s="74"/>
      <c r="Q583" s="74"/>
      <c r="R583" s="75"/>
      <c r="S583" s="181"/>
      <c r="T583" s="74"/>
      <c r="U583" s="74"/>
      <c r="V583" s="74"/>
      <c r="W583" s="74"/>
      <c r="Z583" s="87"/>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row>
    <row r="584" spans="1:71" x14ac:dyDescent="0.25">
      <c r="A584" s="30">
        <v>28</v>
      </c>
      <c r="B584" s="250" t="s">
        <v>2973</v>
      </c>
      <c r="C584" s="250" t="s">
        <v>951</v>
      </c>
      <c r="D584" s="74" t="s">
        <v>1038</v>
      </c>
      <c r="E584" s="196">
        <v>9.9629999999999992</v>
      </c>
      <c r="F584" s="74">
        <v>20</v>
      </c>
      <c r="G584" s="74" t="s">
        <v>2974</v>
      </c>
      <c r="H584" s="74" t="s">
        <v>963</v>
      </c>
      <c r="I584" s="74" t="s">
        <v>1026</v>
      </c>
      <c r="J584" s="75">
        <v>6030220513779</v>
      </c>
      <c r="K584" s="181">
        <v>44917</v>
      </c>
      <c r="L584" s="74" t="s">
        <v>116</v>
      </c>
      <c r="M584" s="181" t="s">
        <v>116</v>
      </c>
      <c r="N584" s="74"/>
      <c r="O584" s="74"/>
      <c r="P584" s="74"/>
      <c r="Q584" s="74"/>
      <c r="R584" s="75"/>
      <c r="S584" s="181"/>
      <c r="T584" s="74"/>
      <c r="U584" s="74"/>
      <c r="V584" s="74"/>
      <c r="W584" s="74"/>
      <c r="X584" s="70"/>
      <c r="Y584" s="102"/>
      <c r="Z584" s="87"/>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row>
    <row r="585" spans="1:71" s="84" customFormat="1" ht="12.75" x14ac:dyDescent="0.2">
      <c r="A585" s="30">
        <v>29</v>
      </c>
      <c r="B585" s="250" t="s">
        <v>2975</v>
      </c>
      <c r="C585" s="250" t="s">
        <v>951</v>
      </c>
      <c r="D585" s="74" t="s">
        <v>1029</v>
      </c>
      <c r="E585" s="196">
        <v>57</v>
      </c>
      <c r="F585" s="74">
        <v>110</v>
      </c>
      <c r="G585" s="74" t="s">
        <v>2976</v>
      </c>
      <c r="H585" s="74" t="s">
        <v>963</v>
      </c>
      <c r="I585" s="74" t="s">
        <v>1026</v>
      </c>
      <c r="J585" s="75">
        <v>6040220509666</v>
      </c>
      <c r="K585" s="181">
        <v>44712</v>
      </c>
      <c r="L585" s="74" t="s">
        <v>116</v>
      </c>
      <c r="M585" s="181" t="s">
        <v>116</v>
      </c>
      <c r="N585" s="74"/>
      <c r="O585" s="74"/>
      <c r="P585" s="74"/>
      <c r="Q585" s="74"/>
      <c r="R585" s="75"/>
      <c r="S585" s="181"/>
      <c r="T585" s="74"/>
      <c r="U585" s="74"/>
      <c r="V585" s="74"/>
      <c r="W585" s="74"/>
      <c r="X585" s="85"/>
      <c r="Y585" s="85"/>
      <c r="Z585" s="88"/>
      <c r="AA585" s="85"/>
      <c r="AB585" s="85"/>
      <c r="AC585" s="85"/>
      <c r="AD585" s="85"/>
      <c r="AE585" s="85"/>
      <c r="AF585" s="85"/>
      <c r="AG585" s="85"/>
      <c r="AH585" s="85"/>
      <c r="AI585" s="85"/>
      <c r="AJ585" s="85"/>
      <c r="AK585" s="85"/>
      <c r="AL585" s="85"/>
      <c r="AM585" s="85"/>
      <c r="AN585" s="85"/>
      <c r="AO585" s="85"/>
      <c r="AP585" s="85"/>
      <c r="AQ585" s="85"/>
      <c r="AR585" s="85"/>
      <c r="AS585" s="85"/>
      <c r="AT585" s="85"/>
      <c r="AU585" s="85"/>
      <c r="AV585" s="85"/>
      <c r="AW585" s="85"/>
      <c r="AX585" s="85"/>
      <c r="AY585" s="85"/>
      <c r="AZ585" s="85"/>
      <c r="BA585" s="85"/>
      <c r="BB585" s="85"/>
      <c r="BC585" s="85"/>
      <c r="BD585" s="85"/>
      <c r="BE585" s="85"/>
      <c r="BF585" s="85"/>
      <c r="BG585" s="85"/>
      <c r="BH585" s="85"/>
      <c r="BI585" s="85"/>
      <c r="BJ585" s="85"/>
      <c r="BK585" s="85"/>
      <c r="BL585" s="85"/>
      <c r="BM585" s="85"/>
      <c r="BN585" s="85"/>
      <c r="BO585" s="85"/>
      <c r="BP585" s="85"/>
      <c r="BQ585" s="85"/>
      <c r="BR585" s="85"/>
      <c r="BS585" s="85"/>
    </row>
    <row r="586" spans="1:71" s="84" customFormat="1" ht="12.75" x14ac:dyDescent="0.2">
      <c r="A586" s="30">
        <v>30</v>
      </c>
      <c r="B586" s="250" t="s">
        <v>1699</v>
      </c>
      <c r="C586" s="250" t="s">
        <v>951</v>
      </c>
      <c r="D586" s="74" t="s">
        <v>1045</v>
      </c>
      <c r="E586" s="196">
        <v>49</v>
      </c>
      <c r="F586" s="74">
        <v>110</v>
      </c>
      <c r="G586" s="74" t="s">
        <v>2977</v>
      </c>
      <c r="H586" s="74" t="s">
        <v>963</v>
      </c>
      <c r="I586" s="74" t="s">
        <v>1026</v>
      </c>
      <c r="J586" s="75">
        <v>6020221223601</v>
      </c>
      <c r="K586" s="181">
        <v>44915</v>
      </c>
      <c r="L586" s="74" t="s">
        <v>116</v>
      </c>
      <c r="M586" s="181" t="s">
        <v>116</v>
      </c>
      <c r="N586" s="74"/>
      <c r="O586" s="74"/>
      <c r="P586" s="74"/>
      <c r="Q586" s="74"/>
      <c r="R586" s="75"/>
      <c r="S586" s="181"/>
      <c r="T586" s="74"/>
      <c r="U586" s="74"/>
      <c r="V586" s="74"/>
      <c r="W586" s="74"/>
      <c r="X586" s="85"/>
      <c r="Y586" s="85"/>
      <c r="Z586" s="88"/>
      <c r="AA586" s="85"/>
      <c r="AB586" s="85"/>
      <c r="AC586" s="85"/>
      <c r="AD586" s="85"/>
      <c r="AE586" s="85"/>
      <c r="AF586" s="85"/>
      <c r="AG586" s="85"/>
      <c r="AH586" s="85"/>
      <c r="AI586" s="85"/>
      <c r="AJ586" s="85"/>
      <c r="AK586" s="85"/>
      <c r="AL586" s="85"/>
      <c r="AM586" s="85"/>
      <c r="AN586" s="85"/>
      <c r="AO586" s="85"/>
      <c r="AP586" s="85"/>
      <c r="AQ586" s="85"/>
      <c r="AR586" s="85"/>
      <c r="AS586" s="85"/>
      <c r="AT586" s="85"/>
      <c r="AU586" s="85"/>
      <c r="AV586" s="85"/>
      <c r="AW586" s="85"/>
      <c r="AX586" s="85"/>
      <c r="AY586" s="85"/>
      <c r="AZ586" s="85"/>
      <c r="BA586" s="85"/>
      <c r="BB586" s="85"/>
      <c r="BC586" s="85"/>
      <c r="BD586" s="85"/>
      <c r="BE586" s="85"/>
      <c r="BF586" s="85"/>
      <c r="BG586" s="85"/>
      <c r="BH586" s="85"/>
      <c r="BI586" s="85"/>
      <c r="BJ586" s="85"/>
      <c r="BK586" s="85"/>
      <c r="BL586" s="85"/>
      <c r="BM586" s="85"/>
      <c r="BN586" s="85"/>
      <c r="BO586" s="85"/>
      <c r="BP586" s="85"/>
      <c r="BQ586" s="85"/>
      <c r="BR586" s="85"/>
      <c r="BS586" s="85"/>
    </row>
    <row r="587" spans="1:71" s="84" customFormat="1" ht="12.75" x14ac:dyDescent="0.2">
      <c r="A587" s="30">
        <v>31</v>
      </c>
      <c r="B587" s="250" t="s">
        <v>2978</v>
      </c>
      <c r="C587" s="250" t="s">
        <v>951</v>
      </c>
      <c r="D587" s="74" t="s">
        <v>1033</v>
      </c>
      <c r="E587" s="196">
        <v>4.1749999999999998</v>
      </c>
      <c r="F587" s="74">
        <v>20</v>
      </c>
      <c r="G587" s="74" t="s">
        <v>2979</v>
      </c>
      <c r="H587" s="74" t="s">
        <v>964</v>
      </c>
      <c r="I587" s="74" t="s">
        <v>1026</v>
      </c>
      <c r="J587" s="75">
        <v>6050220708144</v>
      </c>
      <c r="K587" s="181">
        <v>45063</v>
      </c>
      <c r="L587" s="74"/>
      <c r="M587" s="181"/>
      <c r="N587" s="74"/>
      <c r="O587" s="74" t="s">
        <v>25</v>
      </c>
      <c r="P587" s="74" t="s">
        <v>25</v>
      </c>
      <c r="Q587" s="74" t="s">
        <v>25</v>
      </c>
      <c r="R587" s="75"/>
      <c r="S587" s="181"/>
      <c r="T587" s="74"/>
      <c r="U587" s="74"/>
      <c r="V587" s="74"/>
      <c r="W587" s="74"/>
      <c r="X587" s="85"/>
      <c r="Y587" s="85"/>
      <c r="Z587" s="88"/>
      <c r="AA587" s="85"/>
      <c r="AB587" s="85"/>
      <c r="AC587" s="85"/>
      <c r="AD587" s="85"/>
      <c r="AE587" s="85"/>
      <c r="AF587" s="85"/>
      <c r="AG587" s="85"/>
      <c r="AH587" s="85"/>
      <c r="AI587" s="85"/>
      <c r="AJ587" s="85"/>
      <c r="AK587" s="85"/>
      <c r="AL587" s="85"/>
      <c r="AM587" s="85"/>
      <c r="AN587" s="85"/>
      <c r="AO587" s="85"/>
      <c r="AP587" s="85"/>
      <c r="AQ587" s="85"/>
      <c r="AR587" s="85"/>
      <c r="AS587" s="85"/>
      <c r="AT587" s="85"/>
      <c r="AU587" s="85"/>
      <c r="AV587" s="85"/>
      <c r="AW587" s="85"/>
      <c r="AX587" s="85"/>
      <c r="AY587" s="85"/>
      <c r="AZ587" s="85"/>
      <c r="BA587" s="85"/>
      <c r="BB587" s="85"/>
      <c r="BC587" s="85"/>
      <c r="BD587" s="85"/>
      <c r="BE587" s="85"/>
      <c r="BF587" s="85"/>
      <c r="BG587" s="85"/>
      <c r="BH587" s="85"/>
      <c r="BI587" s="85"/>
      <c r="BJ587" s="85"/>
      <c r="BK587" s="85"/>
      <c r="BL587" s="85"/>
      <c r="BM587" s="85"/>
      <c r="BN587" s="85"/>
      <c r="BO587" s="85"/>
      <c r="BP587" s="85"/>
      <c r="BQ587" s="85"/>
      <c r="BR587" s="85"/>
      <c r="BS587" s="85"/>
    </row>
    <row r="588" spans="1:71" x14ac:dyDescent="0.25">
      <c r="A588" s="30">
        <v>32</v>
      </c>
      <c r="B588" s="250" t="s">
        <v>2980</v>
      </c>
      <c r="C588" s="250" t="s">
        <v>951</v>
      </c>
      <c r="D588" s="74" t="s">
        <v>1039</v>
      </c>
      <c r="E588" s="196">
        <v>4.8</v>
      </c>
      <c r="F588" s="74">
        <v>20</v>
      </c>
      <c r="G588" s="74" t="s">
        <v>2981</v>
      </c>
      <c r="H588" s="74" t="s">
        <v>963</v>
      </c>
      <c r="I588" s="74" t="s">
        <v>1026</v>
      </c>
      <c r="J588" s="75">
        <v>6010230341397</v>
      </c>
      <c r="K588" s="181">
        <v>45063</v>
      </c>
      <c r="L588" s="74"/>
      <c r="M588" s="181"/>
      <c r="N588" s="74"/>
      <c r="O588" s="74" t="s">
        <v>25</v>
      </c>
      <c r="P588" s="74" t="s">
        <v>25</v>
      </c>
      <c r="Q588" s="74" t="s">
        <v>25</v>
      </c>
      <c r="R588" s="75"/>
      <c r="S588" s="181"/>
      <c r="T588" s="74"/>
      <c r="U588" s="74"/>
      <c r="V588" s="74"/>
      <c r="W588" s="74"/>
      <c r="Y588" s="102"/>
      <c r="Z588" s="87"/>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c r="BA588" s="70"/>
      <c r="BB588" s="70"/>
      <c r="BC588" s="70"/>
      <c r="BD588" s="70"/>
    </row>
    <row r="589" spans="1:71" x14ac:dyDescent="0.25">
      <c r="A589" s="30">
        <v>33</v>
      </c>
      <c r="B589" s="250" t="s">
        <v>2982</v>
      </c>
      <c r="C589" s="250" t="s">
        <v>951</v>
      </c>
      <c r="D589" s="74" t="s">
        <v>1039</v>
      </c>
      <c r="E589" s="180">
        <v>3.72</v>
      </c>
      <c r="F589" s="74">
        <v>20</v>
      </c>
      <c r="G589" s="74" t="s">
        <v>2983</v>
      </c>
      <c r="H589" s="74" t="s">
        <v>963</v>
      </c>
      <c r="I589" s="74" t="s">
        <v>1026</v>
      </c>
      <c r="J589" s="75">
        <v>6010221236486</v>
      </c>
      <c r="K589" s="181">
        <v>45075</v>
      </c>
      <c r="L589" s="250" t="s">
        <v>3663</v>
      </c>
      <c r="M589" s="352">
        <v>45134</v>
      </c>
      <c r="N589" s="74"/>
      <c r="O589" s="74" t="s">
        <v>25</v>
      </c>
      <c r="P589" s="74" t="s">
        <v>25</v>
      </c>
      <c r="Q589" s="74" t="s">
        <v>25</v>
      </c>
      <c r="R589" s="75"/>
      <c r="S589" s="181"/>
      <c r="T589" s="74"/>
      <c r="U589" s="74"/>
      <c r="V589" s="74"/>
      <c r="W589" s="74"/>
      <c r="Y589" s="102"/>
      <c r="Z589" s="87"/>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c r="BA589" s="70"/>
      <c r="BB589" s="70"/>
      <c r="BC589" s="70"/>
      <c r="BD589" s="70"/>
    </row>
    <row r="590" spans="1:71" x14ac:dyDescent="0.25">
      <c r="A590" s="30">
        <v>34</v>
      </c>
      <c r="B590" s="250" t="s">
        <v>2984</v>
      </c>
      <c r="C590" s="250" t="s">
        <v>951</v>
      </c>
      <c r="D590" s="74" t="s">
        <v>1038</v>
      </c>
      <c r="E590" s="180">
        <v>1.8</v>
      </c>
      <c r="F590" s="74">
        <v>20</v>
      </c>
      <c r="G590" s="74" t="s">
        <v>2985</v>
      </c>
      <c r="H590" s="74" t="s">
        <v>963</v>
      </c>
      <c r="I590" s="74" t="s">
        <v>1026</v>
      </c>
      <c r="J590" s="75">
        <v>6030230119489</v>
      </c>
      <c r="K590" s="181">
        <v>45093</v>
      </c>
      <c r="L590" s="250" t="s">
        <v>3664</v>
      </c>
      <c r="M590" s="352">
        <v>45163</v>
      </c>
      <c r="N590" s="74"/>
      <c r="O590" s="74" t="s">
        <v>25</v>
      </c>
      <c r="P590" s="74" t="s">
        <v>25</v>
      </c>
      <c r="Q590" s="74" t="s">
        <v>25</v>
      </c>
      <c r="R590" s="75"/>
      <c r="S590" s="181"/>
      <c r="T590" s="74"/>
      <c r="U590" s="74"/>
      <c r="V590" s="74"/>
      <c r="W590" s="74"/>
      <c r="Y590" s="102"/>
      <c r="Z590" s="87"/>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c r="BA590" s="70"/>
      <c r="BB590" s="70"/>
      <c r="BC590" s="70"/>
      <c r="BD590" s="70"/>
    </row>
    <row r="591" spans="1:71" x14ac:dyDescent="0.25">
      <c r="A591" s="30">
        <v>35</v>
      </c>
      <c r="B591" s="250" t="s">
        <v>3186</v>
      </c>
      <c r="C591" s="250" t="s">
        <v>951</v>
      </c>
      <c r="D591" s="74" t="s">
        <v>1045</v>
      </c>
      <c r="E591" s="196">
        <v>4</v>
      </c>
      <c r="F591" s="74">
        <v>20</v>
      </c>
      <c r="G591" s="74" t="s">
        <v>3187</v>
      </c>
      <c r="H591" s="74" t="s">
        <v>963</v>
      </c>
      <c r="I591" s="74" t="s">
        <v>1026</v>
      </c>
      <c r="J591" s="75">
        <v>6020220819228</v>
      </c>
      <c r="K591" s="181">
        <v>45097</v>
      </c>
      <c r="L591" s="74"/>
      <c r="M591" s="181"/>
      <c r="N591" s="74"/>
      <c r="O591" s="74" t="s">
        <v>25</v>
      </c>
      <c r="P591" s="74" t="s">
        <v>25</v>
      </c>
      <c r="Q591" s="74" t="s">
        <v>25</v>
      </c>
      <c r="R591" s="75"/>
      <c r="S591" s="181"/>
      <c r="T591" s="74"/>
      <c r="U591" s="74"/>
      <c r="V591" s="74"/>
      <c r="W591" s="74"/>
      <c r="Y591" s="102"/>
      <c r="Z591" s="87"/>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c r="BA591" s="70"/>
      <c r="BB591" s="70"/>
      <c r="BC591" s="70"/>
      <c r="BD591" s="70"/>
    </row>
    <row r="592" spans="1:71" x14ac:dyDescent="0.25">
      <c r="A592" s="30">
        <v>36</v>
      </c>
      <c r="B592" s="250" t="s">
        <v>3188</v>
      </c>
      <c r="C592" s="250" t="s">
        <v>951</v>
      </c>
      <c r="D592" s="74" t="s">
        <v>1033</v>
      </c>
      <c r="E592" s="196">
        <v>49.95</v>
      </c>
      <c r="F592" s="74">
        <v>110</v>
      </c>
      <c r="G592" s="74" t="s">
        <v>3189</v>
      </c>
      <c r="H592" s="74" t="s">
        <v>963</v>
      </c>
      <c r="I592" s="74" t="s">
        <v>1026</v>
      </c>
      <c r="J592" s="75">
        <v>6050221110139</v>
      </c>
      <c r="K592" s="181">
        <v>45092</v>
      </c>
      <c r="L592" s="74"/>
      <c r="M592" s="181"/>
      <c r="N592" s="74"/>
      <c r="O592" s="74" t="s">
        <v>25</v>
      </c>
      <c r="P592" s="74" t="s">
        <v>25</v>
      </c>
      <c r="Q592" s="74" t="s">
        <v>25</v>
      </c>
      <c r="R592" s="75"/>
      <c r="S592" s="181"/>
      <c r="T592" s="74"/>
      <c r="U592" s="74"/>
      <c r="V592" s="74"/>
      <c r="W592" s="74"/>
      <c r="Y592" s="102"/>
      <c r="Z592" s="87"/>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c r="BA592" s="70"/>
      <c r="BB592" s="70"/>
      <c r="BC592" s="70"/>
      <c r="BD592" s="70"/>
    </row>
    <row r="593" spans="1:56" x14ac:dyDescent="0.25">
      <c r="A593" s="30">
        <v>37</v>
      </c>
      <c r="B593" s="250" t="s">
        <v>3190</v>
      </c>
      <c r="C593" s="250" t="s">
        <v>951</v>
      </c>
      <c r="D593" s="74" t="s">
        <v>1045</v>
      </c>
      <c r="E593" s="196">
        <v>4.07</v>
      </c>
      <c r="F593" s="74">
        <v>20</v>
      </c>
      <c r="G593" s="74" t="s">
        <v>3191</v>
      </c>
      <c r="H593" s="74" t="s">
        <v>963</v>
      </c>
      <c r="I593" s="74" t="s">
        <v>1026</v>
      </c>
      <c r="J593" s="75">
        <v>6020230224983</v>
      </c>
      <c r="K593" s="181">
        <v>45093</v>
      </c>
      <c r="L593" s="250" t="s">
        <v>4029</v>
      </c>
      <c r="M593" s="352">
        <v>45258</v>
      </c>
      <c r="N593" s="74"/>
      <c r="O593" s="74" t="s">
        <v>25</v>
      </c>
      <c r="P593" s="74" t="s">
        <v>25</v>
      </c>
      <c r="Q593" s="74" t="s">
        <v>25</v>
      </c>
      <c r="R593" s="75"/>
      <c r="S593" s="181"/>
      <c r="T593" s="74"/>
      <c r="U593" s="74"/>
      <c r="V593" s="74"/>
      <c r="W593" s="74"/>
      <c r="Y593" s="102"/>
      <c r="Z593" s="87"/>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c r="BA593" s="70"/>
      <c r="BB593" s="70"/>
      <c r="BC593" s="70"/>
      <c r="BD593" s="70"/>
    </row>
    <row r="594" spans="1:56" x14ac:dyDescent="0.25">
      <c r="A594" s="30">
        <v>38</v>
      </c>
      <c r="B594" s="250" t="s">
        <v>3192</v>
      </c>
      <c r="C594" s="250" t="s">
        <v>951</v>
      </c>
      <c r="D594" s="74" t="s">
        <v>1045</v>
      </c>
      <c r="E594" s="196">
        <v>3.5</v>
      </c>
      <c r="F594" s="74">
        <v>20</v>
      </c>
      <c r="G594" s="74" t="s">
        <v>3193</v>
      </c>
      <c r="H594" s="74" t="s">
        <v>964</v>
      </c>
      <c r="I594" s="74" t="s">
        <v>1026</v>
      </c>
      <c r="J594" s="75">
        <v>6020230326515</v>
      </c>
      <c r="K594" s="181">
        <v>45099</v>
      </c>
      <c r="L594" s="74"/>
      <c r="M594" s="181"/>
      <c r="N594" s="74"/>
      <c r="O594" s="74" t="s">
        <v>25</v>
      </c>
      <c r="P594" s="74" t="s">
        <v>25</v>
      </c>
      <c r="Q594" s="74" t="s">
        <v>25</v>
      </c>
      <c r="R594" s="75"/>
      <c r="S594" s="181"/>
      <c r="T594" s="74"/>
      <c r="U594" s="74"/>
      <c r="V594" s="74"/>
      <c r="W594" s="74"/>
    </row>
    <row r="595" spans="1:56" x14ac:dyDescent="0.25">
      <c r="A595" s="30">
        <v>39</v>
      </c>
      <c r="B595" s="250" t="s">
        <v>3194</v>
      </c>
      <c r="C595" s="250" t="s">
        <v>951</v>
      </c>
      <c r="D595" s="74" t="s">
        <v>1045</v>
      </c>
      <c r="E595" s="196">
        <v>8.17</v>
      </c>
      <c r="F595" s="74">
        <v>20</v>
      </c>
      <c r="G595" s="74" t="s">
        <v>3195</v>
      </c>
      <c r="H595" s="74" t="s">
        <v>963</v>
      </c>
      <c r="I595" s="74" t="s">
        <v>1026</v>
      </c>
      <c r="J595" s="75">
        <v>6020220516864</v>
      </c>
      <c r="K595" s="181">
        <v>45105</v>
      </c>
      <c r="L595" s="74"/>
      <c r="M595" s="181"/>
      <c r="N595" s="74"/>
      <c r="O595" s="74"/>
      <c r="P595" s="74" t="s">
        <v>3196</v>
      </c>
      <c r="Q595" s="74"/>
      <c r="R595" s="75"/>
      <c r="S595" s="181"/>
      <c r="T595" s="74"/>
      <c r="U595" s="74"/>
      <c r="V595" s="74"/>
      <c r="W595" s="74"/>
    </row>
    <row r="596" spans="1:56" x14ac:dyDescent="0.25">
      <c r="A596" s="30">
        <v>40</v>
      </c>
      <c r="B596" s="250" t="s">
        <v>1059</v>
      </c>
      <c r="C596" s="250" t="s">
        <v>951</v>
      </c>
      <c r="D596" s="74" t="s">
        <v>1024</v>
      </c>
      <c r="E596" s="180">
        <v>4.75</v>
      </c>
      <c r="F596" s="74">
        <v>20</v>
      </c>
      <c r="G596" s="74" t="s">
        <v>3197</v>
      </c>
      <c r="H596" s="74" t="s">
        <v>963</v>
      </c>
      <c r="I596" s="74" t="s">
        <v>1026</v>
      </c>
      <c r="J596" s="75">
        <v>6060220404626</v>
      </c>
      <c r="K596" s="181">
        <v>45113</v>
      </c>
      <c r="L596" s="74"/>
      <c r="M596" s="181"/>
      <c r="N596" s="74"/>
      <c r="O596" s="74" t="s">
        <v>25</v>
      </c>
      <c r="P596" s="74" t="s">
        <v>25</v>
      </c>
      <c r="Q596" s="74" t="s">
        <v>25</v>
      </c>
      <c r="R596" s="75"/>
      <c r="S596" s="181"/>
      <c r="T596" s="74"/>
      <c r="U596" s="74"/>
      <c r="V596" s="74"/>
      <c r="W596" s="74"/>
    </row>
    <row r="597" spans="1:56" x14ac:dyDescent="0.25">
      <c r="A597" s="30">
        <v>41</v>
      </c>
      <c r="B597" s="250" t="s">
        <v>1059</v>
      </c>
      <c r="C597" s="250" t="s">
        <v>951</v>
      </c>
      <c r="D597" s="74" t="s">
        <v>1024</v>
      </c>
      <c r="E597" s="180">
        <v>4.95</v>
      </c>
      <c r="F597" s="74">
        <v>20</v>
      </c>
      <c r="G597" s="74" t="s">
        <v>3198</v>
      </c>
      <c r="H597" s="74" t="s">
        <v>964</v>
      </c>
      <c r="I597" s="74" t="s">
        <v>1026</v>
      </c>
      <c r="J597" s="75">
        <v>6060221006634</v>
      </c>
      <c r="K597" s="181">
        <v>45114</v>
      </c>
      <c r="L597" s="74"/>
      <c r="M597" s="181"/>
      <c r="N597" s="74"/>
      <c r="O597" s="74"/>
      <c r="P597" s="74"/>
      <c r="Q597" s="74"/>
      <c r="R597" s="75"/>
      <c r="S597" s="181"/>
      <c r="T597" s="74"/>
      <c r="U597" s="74"/>
      <c r="V597" s="74"/>
      <c r="W597" s="74"/>
    </row>
    <row r="598" spans="1:56" x14ac:dyDescent="0.25">
      <c r="A598" s="30">
        <v>42</v>
      </c>
      <c r="B598" s="250" t="s">
        <v>3469</v>
      </c>
      <c r="C598" s="250" t="s">
        <v>951</v>
      </c>
      <c r="D598" s="74" t="s">
        <v>1045</v>
      </c>
      <c r="E598" s="196">
        <v>4.95</v>
      </c>
      <c r="F598" s="74">
        <v>20</v>
      </c>
      <c r="G598" s="74" t="s">
        <v>3470</v>
      </c>
      <c r="H598" s="74" t="s">
        <v>963</v>
      </c>
      <c r="I598" s="74" t="s">
        <v>1026</v>
      </c>
      <c r="J598" s="75">
        <v>6020230325838</v>
      </c>
      <c r="K598" s="181">
        <v>45140</v>
      </c>
      <c r="L598" s="74"/>
      <c r="M598" s="181"/>
      <c r="N598" s="74"/>
      <c r="O598" s="74"/>
      <c r="P598" s="74"/>
      <c r="Q598" s="74"/>
      <c r="R598" s="75"/>
      <c r="S598" s="181"/>
      <c r="T598" s="74"/>
      <c r="U598" s="74"/>
      <c r="V598" s="74"/>
      <c r="W598" s="74"/>
    </row>
    <row r="599" spans="1:56" x14ac:dyDescent="0.25">
      <c r="A599" s="30">
        <v>43</v>
      </c>
      <c r="B599" s="250" t="s">
        <v>3471</v>
      </c>
      <c r="C599" s="250" t="s">
        <v>951</v>
      </c>
      <c r="D599" s="74" t="s">
        <v>1045</v>
      </c>
      <c r="E599" s="196">
        <v>61.8</v>
      </c>
      <c r="F599" s="74">
        <v>110</v>
      </c>
      <c r="G599" s="74" t="s">
        <v>3472</v>
      </c>
      <c r="H599" s="74" t="s">
        <v>963</v>
      </c>
      <c r="I599" s="74" t="s">
        <v>1026</v>
      </c>
      <c r="J599" s="75">
        <v>6020230528414</v>
      </c>
      <c r="K599" s="181">
        <v>45146</v>
      </c>
      <c r="L599" s="74"/>
      <c r="M599" s="181"/>
      <c r="N599" s="74"/>
      <c r="O599" s="74"/>
      <c r="P599" s="74"/>
      <c r="Q599" s="74"/>
      <c r="R599" s="75"/>
      <c r="S599" s="181"/>
      <c r="T599" s="74"/>
      <c r="U599" s="74"/>
      <c r="V599" s="74"/>
      <c r="W599" s="74"/>
    </row>
    <row r="600" spans="1:56" x14ac:dyDescent="0.25">
      <c r="A600" s="30">
        <v>44</v>
      </c>
      <c r="B600" s="250" t="s">
        <v>3506</v>
      </c>
      <c r="C600" s="250" t="s">
        <v>951</v>
      </c>
      <c r="D600" s="74" t="s">
        <v>1045</v>
      </c>
      <c r="E600" s="196">
        <v>4</v>
      </c>
      <c r="F600" s="74">
        <v>20</v>
      </c>
      <c r="G600" s="74" t="s">
        <v>3507</v>
      </c>
      <c r="H600" s="74" t="s">
        <v>963</v>
      </c>
      <c r="I600" s="74" t="s">
        <v>1026</v>
      </c>
      <c r="J600" s="75">
        <v>6020220718047</v>
      </c>
      <c r="K600" s="181">
        <v>45174</v>
      </c>
      <c r="L600" s="74"/>
      <c r="M600" s="181"/>
      <c r="N600" s="74"/>
      <c r="O600" s="74"/>
      <c r="P600" s="74"/>
      <c r="Q600" s="74"/>
      <c r="R600" s="75"/>
      <c r="S600" s="181"/>
      <c r="T600" s="74"/>
      <c r="U600" s="74"/>
      <c r="V600" s="74"/>
      <c r="W600" s="74"/>
    </row>
    <row r="601" spans="1:56" x14ac:dyDescent="0.25">
      <c r="A601" s="30">
        <v>45</v>
      </c>
      <c r="B601" s="250" t="s">
        <v>3508</v>
      </c>
      <c r="C601" s="250" t="s">
        <v>951</v>
      </c>
      <c r="D601" s="74" t="s">
        <v>1029</v>
      </c>
      <c r="E601" s="196">
        <v>9.9</v>
      </c>
      <c r="F601" s="74">
        <v>20</v>
      </c>
      <c r="G601" s="74" t="s">
        <v>3509</v>
      </c>
      <c r="H601" s="74" t="s">
        <v>963</v>
      </c>
      <c r="I601" s="74" t="s">
        <v>1026</v>
      </c>
      <c r="J601" s="75">
        <v>6040221213690</v>
      </c>
      <c r="K601" s="181">
        <v>45177</v>
      </c>
      <c r="L601" s="74"/>
      <c r="M601" s="181"/>
      <c r="N601" s="74"/>
      <c r="O601" s="74"/>
      <c r="P601" s="74"/>
      <c r="Q601" s="74"/>
      <c r="R601" s="75"/>
      <c r="S601" s="181"/>
      <c r="T601" s="74"/>
      <c r="U601" s="74"/>
      <c r="V601" s="74"/>
      <c r="W601" s="74"/>
    </row>
    <row r="602" spans="1:56" x14ac:dyDescent="0.25">
      <c r="A602" s="30">
        <v>46</v>
      </c>
      <c r="B602" s="250" t="s">
        <v>3510</v>
      </c>
      <c r="C602" s="250" t="s">
        <v>951</v>
      </c>
      <c r="D602" s="74" t="s">
        <v>1045</v>
      </c>
      <c r="E602" s="196">
        <v>1</v>
      </c>
      <c r="F602" s="74">
        <v>20</v>
      </c>
      <c r="G602" s="74" t="s">
        <v>3511</v>
      </c>
      <c r="H602" s="74" t="s">
        <v>963</v>
      </c>
      <c r="I602" s="74" t="s">
        <v>1026</v>
      </c>
      <c r="J602" s="75">
        <v>6020230629448</v>
      </c>
      <c r="K602" s="181">
        <v>45175</v>
      </c>
      <c r="L602" s="74" t="s">
        <v>3935</v>
      </c>
      <c r="M602" s="181">
        <v>45250</v>
      </c>
      <c r="N602" s="74"/>
      <c r="O602" s="74"/>
      <c r="P602" s="74"/>
      <c r="Q602" s="74"/>
      <c r="R602" s="75"/>
      <c r="S602" s="181"/>
      <c r="T602" s="74"/>
      <c r="U602" s="74"/>
      <c r="V602" s="74"/>
      <c r="W602" s="74"/>
    </row>
    <row r="603" spans="1:56" x14ac:dyDescent="0.25">
      <c r="A603" s="30">
        <v>47</v>
      </c>
      <c r="B603" s="250" t="s">
        <v>3593</v>
      </c>
      <c r="C603" s="250" t="s">
        <v>951</v>
      </c>
      <c r="D603" s="74" t="s">
        <v>1045</v>
      </c>
      <c r="E603" s="180">
        <v>4</v>
      </c>
      <c r="F603" s="74">
        <v>20</v>
      </c>
      <c r="G603" s="74" t="s">
        <v>3594</v>
      </c>
      <c r="H603" s="74" t="s">
        <v>963</v>
      </c>
      <c r="I603" s="74" t="s">
        <v>1026</v>
      </c>
      <c r="J603" s="75">
        <v>6020220617800</v>
      </c>
      <c r="K603" s="181">
        <v>45075</v>
      </c>
      <c r="L603" s="74"/>
      <c r="M603" s="181"/>
      <c r="N603" s="74"/>
      <c r="O603" s="74"/>
      <c r="P603" s="74"/>
      <c r="Q603" s="74"/>
      <c r="R603" s="75"/>
      <c r="S603" s="181"/>
      <c r="T603" s="74"/>
      <c r="U603" s="74"/>
      <c r="V603" s="74"/>
      <c r="W603" s="74"/>
    </row>
    <row r="604" spans="1:56" x14ac:dyDescent="0.25">
      <c r="A604" s="30">
        <v>48</v>
      </c>
      <c r="B604" s="250" t="s">
        <v>3595</v>
      </c>
      <c r="C604" s="250" t="s">
        <v>3596</v>
      </c>
      <c r="D604" s="74" t="s">
        <v>1045</v>
      </c>
      <c r="E604" s="180">
        <v>9</v>
      </c>
      <c r="F604" s="74">
        <v>20</v>
      </c>
      <c r="G604" s="74" t="s">
        <v>3597</v>
      </c>
      <c r="H604" s="74" t="s">
        <v>963</v>
      </c>
      <c r="I604" s="74" t="s">
        <v>1026</v>
      </c>
      <c r="J604" s="75">
        <v>6020220315016</v>
      </c>
      <c r="K604" s="181">
        <v>44972</v>
      </c>
      <c r="L604" s="74"/>
      <c r="M604" s="181"/>
      <c r="N604" s="74"/>
      <c r="O604" s="74"/>
      <c r="P604" s="74"/>
      <c r="Q604" s="74"/>
      <c r="R604" s="75"/>
      <c r="S604" s="181"/>
      <c r="T604" s="74"/>
      <c r="U604" s="74"/>
      <c r="V604" s="74"/>
      <c r="W604" s="74"/>
    </row>
    <row r="605" spans="1:56" x14ac:dyDescent="0.25">
      <c r="A605" s="74">
        <v>49</v>
      </c>
      <c r="B605" s="250" t="s">
        <v>3646</v>
      </c>
      <c r="C605" s="250" t="s">
        <v>951</v>
      </c>
      <c r="D605" s="74" t="s">
        <v>1024</v>
      </c>
      <c r="E605" s="180">
        <v>1</v>
      </c>
      <c r="F605" s="74">
        <v>20</v>
      </c>
      <c r="G605" s="74" t="s">
        <v>3647</v>
      </c>
      <c r="H605" s="74" t="s">
        <v>963</v>
      </c>
      <c r="I605" s="74" t="s">
        <v>1026</v>
      </c>
      <c r="J605" s="75">
        <v>6060221107003</v>
      </c>
      <c r="K605" s="181">
        <v>45196</v>
      </c>
      <c r="L605" s="74"/>
      <c r="M605" s="181"/>
      <c r="N605" s="74"/>
      <c r="O605" s="74"/>
      <c r="P605" s="74"/>
      <c r="Q605" s="74"/>
      <c r="R605" s="75"/>
      <c r="S605" s="181"/>
      <c r="T605" s="74"/>
      <c r="U605" s="74"/>
      <c r="V605" s="74"/>
      <c r="W605" s="74"/>
    </row>
    <row r="606" spans="1:56" x14ac:dyDescent="0.25">
      <c r="A606" s="74">
        <v>50</v>
      </c>
      <c r="B606" s="250" t="s">
        <v>3190</v>
      </c>
      <c r="C606" s="250" t="s">
        <v>951</v>
      </c>
      <c r="D606" s="74" t="s">
        <v>1045</v>
      </c>
      <c r="E606" s="180">
        <v>2.09</v>
      </c>
      <c r="F606" s="74">
        <v>20</v>
      </c>
      <c r="G606" s="74" t="s">
        <v>3648</v>
      </c>
      <c r="H606" s="74" t="s">
        <v>963</v>
      </c>
      <c r="I606" s="74" t="s">
        <v>1026</v>
      </c>
      <c r="J606" s="75">
        <v>6020230224984</v>
      </c>
      <c r="K606" s="181">
        <v>45194</v>
      </c>
      <c r="L606" s="74"/>
      <c r="M606" s="181"/>
      <c r="N606" s="74"/>
      <c r="O606" s="74"/>
      <c r="P606" s="74"/>
      <c r="Q606" s="74"/>
      <c r="R606" s="75"/>
      <c r="S606" s="181"/>
      <c r="T606" s="74"/>
      <c r="U606" s="74"/>
      <c r="V606" s="74"/>
      <c r="W606" s="74"/>
    </row>
    <row r="607" spans="1:56" x14ac:dyDescent="0.25">
      <c r="A607" s="74">
        <v>52</v>
      </c>
      <c r="B607" s="250" t="s">
        <v>3814</v>
      </c>
      <c r="C607" s="250" t="s">
        <v>951</v>
      </c>
      <c r="D607" s="74" t="s">
        <v>1039</v>
      </c>
      <c r="E607" s="180">
        <v>1.2</v>
      </c>
      <c r="F607" s="74">
        <v>20</v>
      </c>
      <c r="G607" s="74" t="s">
        <v>3815</v>
      </c>
      <c r="H607" s="74" t="s">
        <v>964</v>
      </c>
      <c r="I607" s="74" t="s">
        <v>1026</v>
      </c>
      <c r="J607" s="75">
        <v>6010220626434</v>
      </c>
      <c r="K607" s="181">
        <v>45208</v>
      </c>
      <c r="L607" s="74"/>
      <c r="M607" s="181"/>
      <c r="N607" s="74"/>
      <c r="O607" s="74"/>
      <c r="P607" s="74"/>
      <c r="Q607" s="74"/>
      <c r="R607" s="75"/>
      <c r="S607" s="181"/>
      <c r="T607" s="74"/>
      <c r="U607" s="74"/>
      <c r="V607" s="74"/>
      <c r="W607" s="74"/>
    </row>
    <row r="608" spans="1:56" x14ac:dyDescent="0.25">
      <c r="A608" s="74">
        <v>14</v>
      </c>
      <c r="B608" s="250" t="s">
        <v>1825</v>
      </c>
      <c r="C608" s="250" t="s">
        <v>951</v>
      </c>
      <c r="D608" s="74" t="s">
        <v>1045</v>
      </c>
      <c r="E608" s="180">
        <v>49</v>
      </c>
      <c r="F608" s="74">
        <v>110</v>
      </c>
      <c r="G608" s="74" t="s">
        <v>1826</v>
      </c>
      <c r="H608" s="74"/>
      <c r="I608" s="74" t="s">
        <v>1026</v>
      </c>
      <c r="J608" s="75">
        <v>6020221020902</v>
      </c>
      <c r="K608" s="181">
        <v>44838</v>
      </c>
      <c r="L608" s="74"/>
      <c r="M608" s="181"/>
      <c r="N608" s="74"/>
      <c r="O608" s="74" t="s">
        <v>25</v>
      </c>
      <c r="P608" s="74" t="s">
        <v>25</v>
      </c>
      <c r="Q608" s="74" t="s">
        <v>25</v>
      </c>
      <c r="R608" s="75"/>
      <c r="S608" s="181"/>
      <c r="T608" s="74"/>
      <c r="U608" s="74"/>
      <c r="V608" s="74"/>
      <c r="W608" s="74"/>
    </row>
    <row r="609" spans="1:23" x14ac:dyDescent="0.25">
      <c r="A609" s="74">
        <v>52</v>
      </c>
      <c r="B609" s="250" t="s">
        <v>3909</v>
      </c>
      <c r="C609" s="250" t="s">
        <v>951</v>
      </c>
      <c r="D609" s="74" t="s">
        <v>1039</v>
      </c>
      <c r="E609" s="180">
        <v>2.99</v>
      </c>
      <c r="F609" s="74">
        <v>20</v>
      </c>
      <c r="G609" s="74" t="s">
        <v>3910</v>
      </c>
      <c r="H609" s="74" t="s">
        <v>963</v>
      </c>
      <c r="I609" s="74" t="s">
        <v>1026</v>
      </c>
      <c r="J609" s="75">
        <v>6010230443440</v>
      </c>
      <c r="K609" s="181">
        <v>45215</v>
      </c>
      <c r="L609" s="74"/>
      <c r="M609" s="74"/>
      <c r="N609" s="74"/>
      <c r="O609" s="74"/>
      <c r="P609" s="74" t="s">
        <v>3911</v>
      </c>
      <c r="Q609" s="74"/>
      <c r="R609" s="74"/>
      <c r="S609" s="74"/>
      <c r="T609" s="74"/>
      <c r="U609" s="74"/>
      <c r="V609" s="74"/>
      <c r="W609" s="74"/>
    </row>
    <row r="610" spans="1:23" x14ac:dyDescent="0.25">
      <c r="A610" s="74">
        <v>53</v>
      </c>
      <c r="B610" s="250" t="s">
        <v>3912</v>
      </c>
      <c r="C610" s="250" t="s">
        <v>951</v>
      </c>
      <c r="D610" s="74" t="s">
        <v>1039</v>
      </c>
      <c r="E610" s="196">
        <v>4.4800000000000004</v>
      </c>
      <c r="F610" s="74">
        <v>20</v>
      </c>
      <c r="G610" s="74" t="s">
        <v>3913</v>
      </c>
      <c r="H610" s="74" t="s">
        <v>963</v>
      </c>
      <c r="I610" s="74" t="s">
        <v>1026</v>
      </c>
      <c r="J610" s="75">
        <v>6010221134528</v>
      </c>
      <c r="K610" s="181">
        <v>45218</v>
      </c>
      <c r="L610" s="74"/>
      <c r="M610" s="181"/>
      <c r="N610" s="74"/>
      <c r="O610" s="74" t="s">
        <v>25</v>
      </c>
      <c r="P610" s="74" t="s">
        <v>25</v>
      </c>
      <c r="Q610" s="74" t="s">
        <v>25</v>
      </c>
      <c r="R610" s="75"/>
      <c r="S610" s="181"/>
      <c r="T610" s="74"/>
      <c r="U610" s="74"/>
      <c r="V610" s="74"/>
      <c r="W610" s="74"/>
    </row>
    <row r="611" spans="1:23" x14ac:dyDescent="0.25">
      <c r="A611" s="74">
        <v>54</v>
      </c>
      <c r="B611" s="250" t="s">
        <v>3914</v>
      </c>
      <c r="C611" s="250" t="s">
        <v>951</v>
      </c>
      <c r="D611" s="74" t="s">
        <v>1029</v>
      </c>
      <c r="E611" s="196">
        <v>38.045999999999999</v>
      </c>
      <c r="F611" s="74">
        <v>110</v>
      </c>
      <c r="G611" s="74" t="s">
        <v>3915</v>
      </c>
      <c r="H611" s="74" t="s">
        <v>963</v>
      </c>
      <c r="I611" s="74" t="s">
        <v>1026</v>
      </c>
      <c r="J611" s="75">
        <v>6040230416563</v>
      </c>
      <c r="K611" s="181">
        <v>45218</v>
      </c>
      <c r="L611" s="74"/>
      <c r="M611" s="181"/>
      <c r="N611" s="74"/>
      <c r="O611" s="74" t="s">
        <v>25</v>
      </c>
      <c r="P611" s="74" t="s">
        <v>25</v>
      </c>
      <c r="Q611" s="74" t="s">
        <v>25</v>
      </c>
      <c r="R611" s="75"/>
      <c r="S611" s="181"/>
      <c r="T611" s="74"/>
      <c r="U611" s="74"/>
      <c r="V611" s="74"/>
      <c r="W611" s="74"/>
    </row>
    <row r="612" spans="1:23" x14ac:dyDescent="0.25">
      <c r="A612" s="74">
        <v>55</v>
      </c>
      <c r="B612" s="250" t="s">
        <v>3916</v>
      </c>
      <c r="C612" s="250" t="s">
        <v>951</v>
      </c>
      <c r="D612" s="74" t="s">
        <v>1045</v>
      </c>
      <c r="E612" s="196">
        <v>1.39</v>
      </c>
      <c r="F612" s="74">
        <v>10</v>
      </c>
      <c r="G612" s="74" t="s">
        <v>3917</v>
      </c>
      <c r="H612" s="74" t="s">
        <v>964</v>
      </c>
      <c r="I612" s="74" t="s">
        <v>1026</v>
      </c>
      <c r="J612" s="75">
        <v>6020230932967</v>
      </c>
      <c r="K612" s="181">
        <v>45229</v>
      </c>
      <c r="L612" s="74" t="s">
        <v>4138</v>
      </c>
      <c r="M612" s="181">
        <v>45272</v>
      </c>
      <c r="N612" s="74"/>
      <c r="O612" s="74" t="s">
        <v>25</v>
      </c>
      <c r="P612" s="74" t="s">
        <v>25</v>
      </c>
      <c r="Q612" s="74" t="s">
        <v>25</v>
      </c>
      <c r="R612" s="75"/>
      <c r="S612" s="181"/>
      <c r="T612" s="74"/>
      <c r="U612" s="74"/>
      <c r="V612" s="74"/>
      <c r="W612" s="74"/>
    </row>
    <row r="613" spans="1:23" x14ac:dyDescent="0.25">
      <c r="A613" s="74">
        <v>56</v>
      </c>
      <c r="B613" s="250" t="s">
        <v>3918</v>
      </c>
      <c r="C613" s="250" t="s">
        <v>951</v>
      </c>
      <c r="D613" s="74" t="s">
        <v>1045</v>
      </c>
      <c r="E613" s="196">
        <v>3.6</v>
      </c>
      <c r="F613" s="74">
        <v>20</v>
      </c>
      <c r="G613" s="74" t="s">
        <v>3919</v>
      </c>
      <c r="H613" s="74" t="s">
        <v>963</v>
      </c>
      <c r="I613" s="74" t="s">
        <v>1026</v>
      </c>
      <c r="J613" s="75">
        <v>6020230224945</v>
      </c>
      <c r="K613" s="181">
        <v>45237</v>
      </c>
      <c r="L613" s="74"/>
      <c r="M613" s="181"/>
      <c r="N613" s="74"/>
      <c r="O613" s="74"/>
      <c r="P613" s="74"/>
      <c r="Q613" s="74"/>
      <c r="R613" s="75"/>
      <c r="S613" s="181"/>
      <c r="T613" s="74"/>
      <c r="U613" s="74"/>
      <c r="V613" s="74"/>
      <c r="W613" s="74"/>
    </row>
    <row r="614" spans="1:23" x14ac:dyDescent="0.25">
      <c r="A614" s="74">
        <v>57</v>
      </c>
      <c r="B614" s="250" t="s">
        <v>3920</v>
      </c>
      <c r="C614" s="250" t="s">
        <v>951</v>
      </c>
      <c r="D614" s="74" t="s">
        <v>1045</v>
      </c>
      <c r="E614" s="196">
        <v>4.0990000000000002</v>
      </c>
      <c r="F614" s="74">
        <v>20</v>
      </c>
      <c r="G614" s="74" t="s">
        <v>3921</v>
      </c>
      <c r="H614" s="74" t="s">
        <v>964</v>
      </c>
      <c r="I614" s="74" t="s">
        <v>1026</v>
      </c>
      <c r="J614" s="75">
        <v>6020230528131</v>
      </c>
      <c r="K614" s="181">
        <v>45233</v>
      </c>
      <c r="L614" s="74"/>
      <c r="M614" s="181"/>
      <c r="N614" s="74"/>
      <c r="O614" s="74"/>
      <c r="P614" s="74"/>
      <c r="Q614" s="74"/>
      <c r="R614" s="75"/>
      <c r="S614" s="181"/>
      <c r="T614" s="74"/>
      <c r="U614" s="74"/>
      <c r="V614" s="74"/>
      <c r="W614" s="74"/>
    </row>
    <row r="615" spans="1:23" x14ac:dyDescent="0.25">
      <c r="A615" s="74">
        <v>58</v>
      </c>
      <c r="B615" s="250" t="s">
        <v>3922</v>
      </c>
      <c r="C615" s="250" t="s">
        <v>951</v>
      </c>
      <c r="D615" s="74" t="s">
        <v>1039</v>
      </c>
      <c r="E615" s="196">
        <v>4.5</v>
      </c>
      <c r="F615" s="74">
        <v>20</v>
      </c>
      <c r="G615" s="74" t="s">
        <v>3923</v>
      </c>
      <c r="H615" s="74" t="s">
        <v>963</v>
      </c>
      <c r="I615" s="74" t="s">
        <v>1026</v>
      </c>
      <c r="J615" s="75">
        <v>6010220728019</v>
      </c>
      <c r="K615" s="181">
        <v>45245</v>
      </c>
      <c r="L615" s="74"/>
      <c r="M615" s="181"/>
      <c r="N615" s="74"/>
      <c r="O615" s="74"/>
      <c r="P615" s="74"/>
      <c r="Q615" s="74"/>
      <c r="R615" s="75"/>
      <c r="S615" s="181"/>
      <c r="T615" s="74"/>
      <c r="U615" s="74"/>
      <c r="V615" s="74"/>
      <c r="W615" s="74"/>
    </row>
    <row r="616" spans="1:23" x14ac:dyDescent="0.25">
      <c r="A616" s="74">
        <v>59</v>
      </c>
      <c r="B616" s="250" t="s">
        <v>3924</v>
      </c>
      <c r="C616" s="250" t="s">
        <v>951</v>
      </c>
      <c r="D616" s="74" t="s">
        <v>1029</v>
      </c>
      <c r="E616" s="196">
        <v>2.2000000000000002</v>
      </c>
      <c r="F616" s="74">
        <v>20</v>
      </c>
      <c r="G616" s="74" t="s">
        <v>3925</v>
      </c>
      <c r="H616" s="74" t="s">
        <v>963</v>
      </c>
      <c r="I616" s="74" t="s">
        <v>1026</v>
      </c>
      <c r="J616" s="75">
        <v>6040220710499</v>
      </c>
      <c r="K616" s="181">
        <v>45238</v>
      </c>
      <c r="L616" s="74"/>
      <c r="M616" s="181"/>
      <c r="N616" s="74"/>
      <c r="O616" s="74"/>
      <c r="P616" s="74"/>
      <c r="Q616" s="74"/>
      <c r="R616" s="75"/>
      <c r="S616" s="181"/>
      <c r="T616" s="74"/>
      <c r="U616" s="74"/>
      <c r="V616" s="74"/>
      <c r="W616" s="74"/>
    </row>
    <row r="617" spans="1:23" x14ac:dyDescent="0.25">
      <c r="A617" s="74">
        <v>60</v>
      </c>
      <c r="B617" s="250" t="s">
        <v>3926</v>
      </c>
      <c r="C617" s="250" t="s">
        <v>951</v>
      </c>
      <c r="D617" s="74" t="s">
        <v>1039</v>
      </c>
      <c r="E617" s="196">
        <v>2.5</v>
      </c>
      <c r="F617" s="74">
        <v>20</v>
      </c>
      <c r="G617" s="74" t="s">
        <v>3927</v>
      </c>
      <c r="H617" s="74" t="s">
        <v>963</v>
      </c>
      <c r="I617" s="74" t="s">
        <v>1026</v>
      </c>
      <c r="J617" s="75">
        <v>6010230645670</v>
      </c>
      <c r="K617" s="181">
        <v>45243</v>
      </c>
      <c r="L617" s="74"/>
      <c r="M617" s="181"/>
      <c r="N617" s="74"/>
      <c r="O617" s="74"/>
      <c r="P617" s="74"/>
      <c r="Q617" s="74"/>
      <c r="R617" s="75"/>
      <c r="S617" s="181"/>
      <c r="T617" s="74"/>
      <c r="U617" s="74"/>
      <c r="V617" s="74"/>
      <c r="W617" s="74"/>
    </row>
    <row r="618" spans="1:23" x14ac:dyDescent="0.25">
      <c r="A618" s="74">
        <v>61</v>
      </c>
      <c r="B618" s="250" t="s">
        <v>3928</v>
      </c>
      <c r="C618" s="250" t="s">
        <v>951</v>
      </c>
      <c r="D618" s="74" t="s">
        <v>1038</v>
      </c>
      <c r="E618" s="196">
        <v>1.2250000000000001</v>
      </c>
      <c r="F618" s="74">
        <v>20</v>
      </c>
      <c r="G618" s="74" t="s">
        <v>3929</v>
      </c>
      <c r="H618" s="74" t="s">
        <v>964</v>
      </c>
      <c r="I618" s="74" t="s">
        <v>1026</v>
      </c>
      <c r="J618" s="75">
        <v>6030230825372</v>
      </c>
      <c r="K618" s="181">
        <v>45243</v>
      </c>
      <c r="L618" s="74"/>
      <c r="M618" s="181"/>
      <c r="N618" s="74"/>
      <c r="O618" s="74"/>
      <c r="P618" s="74"/>
      <c r="Q618" s="74"/>
      <c r="R618" s="75"/>
      <c r="S618" s="181"/>
      <c r="T618" s="74"/>
      <c r="U618" s="74"/>
      <c r="V618" s="74"/>
      <c r="W618" s="74"/>
    </row>
    <row r="619" spans="1:23" x14ac:dyDescent="0.25">
      <c r="A619" s="74">
        <v>62</v>
      </c>
      <c r="B619" s="250" t="s">
        <v>3930</v>
      </c>
      <c r="C619" s="250" t="s">
        <v>951</v>
      </c>
      <c r="D619" s="74" t="s">
        <v>1029</v>
      </c>
      <c r="E619" s="74">
        <v>4.95</v>
      </c>
      <c r="F619" s="74">
        <v>20</v>
      </c>
      <c r="G619" s="74" t="s">
        <v>3931</v>
      </c>
      <c r="H619" s="74" t="s">
        <v>963</v>
      </c>
      <c r="I619" s="74" t="s">
        <v>1026</v>
      </c>
      <c r="J619" s="75">
        <v>6040230315741</v>
      </c>
      <c r="K619" s="181">
        <v>45251</v>
      </c>
      <c r="L619" s="74"/>
      <c r="M619" s="181"/>
      <c r="N619" s="74"/>
      <c r="O619" s="74"/>
      <c r="P619" s="74"/>
      <c r="Q619" s="74"/>
      <c r="R619" s="75"/>
      <c r="S619" s="181"/>
      <c r="T619" s="74"/>
      <c r="U619" s="74"/>
      <c r="V619" s="74"/>
      <c r="W619" s="74"/>
    </row>
    <row r="620" spans="1:23" x14ac:dyDescent="0.25">
      <c r="A620" s="74">
        <v>63</v>
      </c>
      <c r="B620" s="250" t="s">
        <v>4042</v>
      </c>
      <c r="C620" s="250" t="s">
        <v>951</v>
      </c>
      <c r="D620" s="74" t="s">
        <v>1039</v>
      </c>
      <c r="E620" s="180">
        <v>33.896000000000001</v>
      </c>
      <c r="F620" s="74">
        <v>110</v>
      </c>
      <c r="G620" s="74" t="s">
        <v>4043</v>
      </c>
      <c r="H620" s="74" t="s">
        <v>963</v>
      </c>
      <c r="I620" s="74" t="s">
        <v>1026</v>
      </c>
      <c r="J620" s="75">
        <v>6010221033781</v>
      </c>
      <c r="K620" s="181">
        <v>45265</v>
      </c>
      <c r="L620" s="74"/>
      <c r="M620" s="181"/>
      <c r="N620" s="74"/>
      <c r="O620" s="74"/>
      <c r="P620" s="74"/>
      <c r="Q620" s="74"/>
      <c r="R620" s="75"/>
      <c r="S620" s="181"/>
      <c r="T620" s="74"/>
      <c r="U620" s="74"/>
      <c r="V620" s="74"/>
      <c r="W620" s="74"/>
    </row>
    <row r="621" spans="1:23" x14ac:dyDescent="0.25">
      <c r="A621" s="74">
        <v>64</v>
      </c>
      <c r="B621" s="250" t="s">
        <v>2982</v>
      </c>
      <c r="C621" s="250" t="s">
        <v>951</v>
      </c>
      <c r="D621" s="74" t="s">
        <v>1039</v>
      </c>
      <c r="E621" s="180">
        <v>3.72</v>
      </c>
      <c r="F621" s="74">
        <v>20</v>
      </c>
      <c r="G621" s="74" t="s">
        <v>4044</v>
      </c>
      <c r="H621" s="74" t="s">
        <v>4045</v>
      </c>
      <c r="I621" s="74" t="s">
        <v>1026</v>
      </c>
      <c r="J621" s="75">
        <v>6010231154429</v>
      </c>
      <c r="K621" s="181">
        <v>45254</v>
      </c>
      <c r="L621" s="74" t="s">
        <v>4046</v>
      </c>
      <c r="M621" s="181">
        <v>45257</v>
      </c>
      <c r="N621" s="74"/>
      <c r="O621" s="74"/>
      <c r="P621" s="74"/>
      <c r="Q621" s="74"/>
      <c r="R621" s="75"/>
      <c r="S621" s="181"/>
      <c r="T621" s="74"/>
      <c r="U621" s="74"/>
      <c r="V621" s="74"/>
      <c r="W621" s="74"/>
    </row>
    <row r="622" spans="1:23" x14ac:dyDescent="0.25">
      <c r="A622" s="74">
        <v>65</v>
      </c>
      <c r="B622" s="250" t="s">
        <v>4139</v>
      </c>
      <c r="C622" s="250" t="s">
        <v>951</v>
      </c>
      <c r="D622" s="74" t="s">
        <v>1039</v>
      </c>
      <c r="E622" s="196">
        <v>4.9279999999999999</v>
      </c>
      <c r="F622" s="74">
        <v>20</v>
      </c>
      <c r="G622" s="74" t="s">
        <v>4140</v>
      </c>
      <c r="H622" s="74" t="s">
        <v>963</v>
      </c>
      <c r="I622" s="74" t="s">
        <v>1026</v>
      </c>
      <c r="J622" s="75">
        <v>6010221033482</v>
      </c>
      <c r="K622" s="181">
        <v>45266</v>
      </c>
      <c r="L622" s="74"/>
      <c r="M622" s="181"/>
      <c r="N622" s="74"/>
      <c r="O622" s="74"/>
      <c r="P622" s="74"/>
      <c r="Q622" s="74"/>
      <c r="R622" s="75"/>
      <c r="S622" s="181"/>
      <c r="T622" s="74"/>
      <c r="U622" s="74"/>
      <c r="V622" s="74"/>
      <c r="W622" s="74"/>
    </row>
    <row r="623" spans="1:23" x14ac:dyDescent="0.25">
      <c r="A623" s="74">
        <v>66</v>
      </c>
      <c r="B623" s="250" t="s">
        <v>4141</v>
      </c>
      <c r="C623" s="250" t="s">
        <v>951</v>
      </c>
      <c r="D623" s="74" t="s">
        <v>1024</v>
      </c>
      <c r="E623" s="196">
        <v>4.9989999999999997</v>
      </c>
      <c r="F623" s="74">
        <v>20</v>
      </c>
      <c r="G623" s="74" t="s">
        <v>4142</v>
      </c>
      <c r="H623" s="74" t="s">
        <v>963</v>
      </c>
      <c r="I623" s="74" t="s">
        <v>1026</v>
      </c>
      <c r="J623" s="75">
        <v>6060230609634</v>
      </c>
      <c r="K623" s="181">
        <v>45267</v>
      </c>
      <c r="L623" s="74"/>
      <c r="M623" s="181"/>
      <c r="N623" s="74"/>
      <c r="O623" s="74"/>
      <c r="P623" s="74"/>
      <c r="Q623" s="74"/>
      <c r="R623" s="75"/>
      <c r="S623" s="181"/>
      <c r="T623" s="74"/>
      <c r="U623" s="74"/>
      <c r="V623" s="74"/>
      <c r="W623" s="74"/>
    </row>
    <row r="624" spans="1:23" x14ac:dyDescent="0.25">
      <c r="A624" s="74">
        <v>67</v>
      </c>
      <c r="B624" s="250" t="s">
        <v>4270</v>
      </c>
      <c r="C624" s="250" t="s">
        <v>951</v>
      </c>
      <c r="D624" s="74" t="s">
        <v>1045</v>
      </c>
      <c r="E624" s="180">
        <v>2.774</v>
      </c>
      <c r="F624" s="74">
        <v>20</v>
      </c>
      <c r="G624" s="74" t="s">
        <v>4271</v>
      </c>
      <c r="H624" s="74" t="s">
        <v>963</v>
      </c>
      <c r="I624" s="74" t="s">
        <v>1026</v>
      </c>
      <c r="J624" s="75">
        <v>6020220415820</v>
      </c>
      <c r="K624" s="181">
        <v>45281</v>
      </c>
      <c r="L624" s="74"/>
      <c r="M624" s="181"/>
      <c r="N624" s="74"/>
      <c r="O624" s="74"/>
      <c r="P624" s="74"/>
      <c r="Q624" s="74"/>
      <c r="R624" s="75"/>
      <c r="S624" s="181"/>
      <c r="T624" s="74"/>
      <c r="U624" s="74"/>
      <c r="V624" s="74"/>
      <c r="W624" s="74"/>
    </row>
    <row r="625" spans="1:23" x14ac:dyDescent="0.25">
      <c r="A625" s="74">
        <v>68</v>
      </c>
      <c r="B625" s="250" t="s">
        <v>4272</v>
      </c>
      <c r="C625" s="250" t="s">
        <v>951</v>
      </c>
      <c r="D625" s="74" t="s">
        <v>1039</v>
      </c>
      <c r="E625" s="180">
        <v>5</v>
      </c>
      <c r="F625" s="74">
        <v>20</v>
      </c>
      <c r="G625" s="74" t="s">
        <v>4273</v>
      </c>
      <c r="H625" s="74" t="s">
        <v>963</v>
      </c>
      <c r="I625" s="74" t="s">
        <v>1026</v>
      </c>
      <c r="J625" s="75">
        <v>6010230443478</v>
      </c>
      <c r="K625" s="181">
        <v>45281</v>
      </c>
      <c r="L625" s="74"/>
      <c r="M625" s="181"/>
      <c r="N625" s="74"/>
      <c r="O625" s="74"/>
      <c r="P625" s="74"/>
      <c r="Q625" s="74"/>
      <c r="R625" s="75"/>
      <c r="S625" s="181"/>
      <c r="T625" s="74"/>
      <c r="U625" s="74"/>
      <c r="V625" s="74"/>
      <c r="W625" s="74"/>
    </row>
    <row r="626" spans="1:23" x14ac:dyDescent="0.25">
      <c r="A626" s="74">
        <v>69</v>
      </c>
      <c r="B626" s="250" t="s">
        <v>4604</v>
      </c>
      <c r="C626" s="250" t="s">
        <v>951</v>
      </c>
      <c r="D626" s="74" t="s">
        <v>1029</v>
      </c>
      <c r="E626" s="74">
        <v>3.3250000000000002</v>
      </c>
      <c r="F626" s="74">
        <v>20</v>
      </c>
      <c r="G626" s="74" t="s">
        <v>4605</v>
      </c>
      <c r="H626" s="74" t="s">
        <v>4045</v>
      </c>
      <c r="I626" s="74" t="s">
        <v>1026</v>
      </c>
      <c r="J626" s="75">
        <v>6040240100193</v>
      </c>
      <c r="K626" s="181">
        <v>45308</v>
      </c>
      <c r="L626" s="74" t="s">
        <v>4606</v>
      </c>
      <c r="M626" s="181">
        <v>45324</v>
      </c>
      <c r="N626" s="74"/>
      <c r="O626" s="74"/>
      <c r="P626" s="74"/>
      <c r="Q626" s="74"/>
      <c r="R626" s="75"/>
      <c r="S626" s="181"/>
      <c r="T626" s="74"/>
      <c r="U626" s="74"/>
      <c r="V626" s="74"/>
      <c r="W626" s="74"/>
    </row>
    <row r="627" spans="1:23" x14ac:dyDescent="0.25">
      <c r="A627" s="74">
        <v>70</v>
      </c>
      <c r="B627" s="250" t="s">
        <v>4607</v>
      </c>
      <c r="C627" s="250" t="s">
        <v>951</v>
      </c>
      <c r="D627" s="74" t="s">
        <v>4608</v>
      </c>
      <c r="E627" s="74">
        <v>40</v>
      </c>
      <c r="F627" s="74">
        <v>110</v>
      </c>
      <c r="G627" s="74" t="s">
        <v>4609</v>
      </c>
      <c r="H627" s="74" t="s">
        <v>963</v>
      </c>
      <c r="I627" s="74" t="s">
        <v>1026</v>
      </c>
      <c r="J627" s="75">
        <v>6020220718762</v>
      </c>
      <c r="K627" s="181">
        <v>45330</v>
      </c>
      <c r="L627" s="74"/>
      <c r="M627" s="181"/>
      <c r="N627" s="74"/>
      <c r="O627" s="74"/>
      <c r="P627" s="74"/>
      <c r="Q627" s="74"/>
      <c r="R627" s="75"/>
      <c r="S627" s="181"/>
      <c r="T627" s="74"/>
      <c r="U627" s="74"/>
      <c r="V627" s="74"/>
      <c r="W627" s="74"/>
    </row>
    <row r="628" spans="1:23" x14ac:dyDescent="0.25">
      <c r="A628" s="74">
        <v>71</v>
      </c>
      <c r="B628" s="250" t="s">
        <v>4610</v>
      </c>
      <c r="C628" s="250" t="s">
        <v>951</v>
      </c>
      <c r="D628" s="74" t="s">
        <v>1045</v>
      </c>
      <c r="E628" s="74">
        <v>39</v>
      </c>
      <c r="F628" s="74">
        <v>110</v>
      </c>
      <c r="G628" s="74" t="s">
        <v>4611</v>
      </c>
      <c r="H628" s="74" t="s">
        <v>963</v>
      </c>
      <c r="I628" s="74" t="s">
        <v>1026</v>
      </c>
      <c r="J628" s="75">
        <v>6020221122065</v>
      </c>
      <c r="K628" s="181">
        <v>45320</v>
      </c>
      <c r="L628" s="74"/>
      <c r="M628" s="181"/>
      <c r="N628" s="74"/>
      <c r="O628" s="74"/>
      <c r="P628" s="74"/>
      <c r="Q628" s="74"/>
      <c r="R628" s="75"/>
      <c r="S628" s="181"/>
      <c r="T628" s="74"/>
      <c r="U628" s="74"/>
      <c r="V628" s="74"/>
      <c r="W628" s="74"/>
    </row>
    <row r="629" spans="1:23" x14ac:dyDescent="0.25">
      <c r="A629" s="74">
        <v>72</v>
      </c>
      <c r="B629" s="250" t="s">
        <v>4612</v>
      </c>
      <c r="C629" s="250" t="s">
        <v>951</v>
      </c>
      <c r="D629" s="74" t="s">
        <v>1045</v>
      </c>
      <c r="E629" s="74">
        <v>9.9</v>
      </c>
      <c r="F629" s="74">
        <v>20</v>
      </c>
      <c r="G629" s="74" t="s">
        <v>4613</v>
      </c>
      <c r="H629" s="74" t="s">
        <v>963</v>
      </c>
      <c r="I629" s="74" t="s">
        <v>1026</v>
      </c>
      <c r="J629" s="75">
        <v>6020221122933</v>
      </c>
      <c r="K629" s="181">
        <v>45322</v>
      </c>
      <c r="L629" s="74"/>
      <c r="M629" s="181"/>
      <c r="N629" s="74"/>
      <c r="O629" s="74"/>
      <c r="P629" s="74"/>
      <c r="Q629" s="74"/>
      <c r="R629" s="75"/>
      <c r="S629" s="181"/>
      <c r="T629" s="74"/>
      <c r="U629" s="74"/>
      <c r="V629" s="74"/>
      <c r="W629" s="74"/>
    </row>
    <row r="630" spans="1:23" x14ac:dyDescent="0.25">
      <c r="A630" s="74">
        <v>73</v>
      </c>
      <c r="B630" s="250" t="s">
        <v>4614</v>
      </c>
      <c r="C630" s="250" t="s">
        <v>951</v>
      </c>
      <c r="D630" s="74" t="s">
        <v>1045</v>
      </c>
      <c r="E630" s="74">
        <v>27</v>
      </c>
      <c r="F630" s="74">
        <v>110</v>
      </c>
      <c r="G630" s="74" t="s">
        <v>4611</v>
      </c>
      <c r="H630" s="74" t="s">
        <v>963</v>
      </c>
      <c r="I630" s="74" t="s">
        <v>1026</v>
      </c>
      <c r="J630" s="75">
        <v>6020230225639</v>
      </c>
      <c r="K630" s="181">
        <v>45314</v>
      </c>
      <c r="L630" s="74"/>
      <c r="M630" s="181"/>
      <c r="N630" s="74"/>
      <c r="O630" s="74"/>
      <c r="P630" s="74"/>
      <c r="Q630" s="74"/>
      <c r="R630" s="75"/>
      <c r="S630" s="181"/>
      <c r="T630" s="74"/>
      <c r="U630" s="74"/>
      <c r="V630" s="74"/>
      <c r="W630" s="74"/>
    </row>
    <row r="631" spans="1:23" x14ac:dyDescent="0.25">
      <c r="A631" s="74">
        <v>74</v>
      </c>
      <c r="B631" s="250" t="s">
        <v>4615</v>
      </c>
      <c r="C631" s="250" t="s">
        <v>951</v>
      </c>
      <c r="D631" s="74" t="s">
        <v>1039</v>
      </c>
      <c r="E631" s="74">
        <v>1</v>
      </c>
      <c r="F631" s="74">
        <v>20</v>
      </c>
      <c r="G631" s="74" t="s">
        <v>4616</v>
      </c>
      <c r="H631" s="74" t="s">
        <v>963</v>
      </c>
      <c r="I631" s="74" t="s">
        <v>1026</v>
      </c>
      <c r="J631" s="75">
        <v>6010230341897</v>
      </c>
      <c r="K631" s="181">
        <v>45337</v>
      </c>
      <c r="L631" s="74"/>
      <c r="M631" s="181"/>
      <c r="N631" s="74"/>
      <c r="O631" s="74"/>
      <c r="P631" s="74"/>
      <c r="Q631" s="74"/>
      <c r="R631" s="75"/>
      <c r="S631" s="181"/>
      <c r="T631" s="74"/>
      <c r="U631" s="74"/>
      <c r="V631" s="74"/>
      <c r="W631" s="74"/>
    </row>
    <row r="632" spans="1:23" x14ac:dyDescent="0.25">
      <c r="A632" s="74">
        <v>75</v>
      </c>
      <c r="B632" s="250" t="s">
        <v>4617</v>
      </c>
      <c r="C632" s="250" t="s">
        <v>951</v>
      </c>
      <c r="D632" s="74" t="s">
        <v>1045</v>
      </c>
      <c r="E632" s="74">
        <v>3</v>
      </c>
      <c r="F632" s="74">
        <v>20</v>
      </c>
      <c r="G632" s="74" t="s">
        <v>4618</v>
      </c>
      <c r="H632" s="74" t="s">
        <v>963</v>
      </c>
      <c r="I632" s="74" t="s">
        <v>1026</v>
      </c>
      <c r="J632" s="75">
        <v>6020230528712</v>
      </c>
      <c r="K632" s="181">
        <v>45328</v>
      </c>
      <c r="L632" s="74"/>
      <c r="M632" s="181"/>
      <c r="N632" s="74"/>
      <c r="O632" s="74"/>
      <c r="P632" s="74"/>
      <c r="Q632" s="74"/>
      <c r="R632" s="75"/>
      <c r="S632" s="181"/>
      <c r="T632" s="74"/>
      <c r="U632" s="74"/>
      <c r="V632" s="74"/>
      <c r="W632" s="74"/>
    </row>
    <row r="633" spans="1:23" x14ac:dyDescent="0.25">
      <c r="A633" s="74">
        <v>76</v>
      </c>
      <c r="B633" s="250" t="s">
        <v>4619</v>
      </c>
      <c r="C633" s="250" t="s">
        <v>951</v>
      </c>
      <c r="D633" s="74" t="s">
        <v>1033</v>
      </c>
      <c r="E633" s="74">
        <v>1</v>
      </c>
      <c r="F633" s="74">
        <v>20</v>
      </c>
      <c r="G633" s="74" t="s">
        <v>4620</v>
      </c>
      <c r="H633" s="74" t="s">
        <v>963</v>
      </c>
      <c r="I633" s="74" t="s">
        <v>1026</v>
      </c>
      <c r="J633" s="75">
        <v>6050231116343</v>
      </c>
      <c r="K633" s="181">
        <v>45336</v>
      </c>
      <c r="L633" s="74"/>
      <c r="M633" s="181"/>
      <c r="N633" s="74"/>
      <c r="O633" s="74"/>
      <c r="P633" s="74"/>
      <c r="Q633" s="74"/>
      <c r="R633" s="75"/>
      <c r="S633" s="181"/>
      <c r="T633" s="74"/>
      <c r="U633" s="74"/>
      <c r="V633" s="74"/>
      <c r="W633" s="74"/>
    </row>
    <row r="634" spans="1:23" x14ac:dyDescent="0.25">
      <c r="A634" s="74">
        <v>77</v>
      </c>
      <c r="B634" s="250" t="s">
        <v>4621</v>
      </c>
      <c r="C634" s="250" t="s">
        <v>951</v>
      </c>
      <c r="D634" s="74" t="s">
        <v>1033</v>
      </c>
      <c r="E634" s="74">
        <v>1</v>
      </c>
      <c r="F634" s="74">
        <v>20</v>
      </c>
      <c r="G634" s="74" t="s">
        <v>4622</v>
      </c>
      <c r="H634" s="74" t="s">
        <v>963</v>
      </c>
      <c r="I634" s="74" t="s">
        <v>1026</v>
      </c>
      <c r="J634" s="75">
        <v>6050231116345</v>
      </c>
      <c r="K634" s="181">
        <v>45334</v>
      </c>
      <c r="L634" s="74"/>
      <c r="M634" s="181"/>
      <c r="N634" s="74"/>
      <c r="O634" s="74"/>
      <c r="P634" s="74"/>
      <c r="Q634" s="74"/>
      <c r="R634" s="75"/>
      <c r="S634" s="181"/>
      <c r="T634" s="74"/>
      <c r="U634" s="74"/>
      <c r="V634" s="74"/>
      <c r="W634" s="74"/>
    </row>
    <row r="635" spans="1:23" x14ac:dyDescent="0.25">
      <c r="A635" s="74">
        <v>78</v>
      </c>
      <c r="B635" s="250" t="s">
        <v>4623</v>
      </c>
      <c r="C635" s="250" t="s">
        <v>951</v>
      </c>
      <c r="D635" s="74" t="s">
        <v>1033</v>
      </c>
      <c r="E635" s="74">
        <v>1</v>
      </c>
      <c r="F635" s="74">
        <v>20</v>
      </c>
      <c r="G635" s="74" t="s">
        <v>4624</v>
      </c>
      <c r="H635" s="74" t="s">
        <v>963</v>
      </c>
      <c r="I635" s="74" t="s">
        <v>1026</v>
      </c>
      <c r="J635" s="75">
        <v>6050231216587</v>
      </c>
      <c r="K635" s="181">
        <v>45335</v>
      </c>
      <c r="L635" s="74"/>
      <c r="M635" s="181"/>
      <c r="N635" s="74"/>
      <c r="O635" s="74"/>
      <c r="P635" s="74"/>
      <c r="Q635" s="74"/>
      <c r="R635" s="75"/>
      <c r="S635" s="181"/>
      <c r="T635" s="74"/>
      <c r="U635" s="74"/>
      <c r="V635" s="74"/>
      <c r="W635" s="74"/>
    </row>
    <row r="636" spans="1:23" x14ac:dyDescent="0.25">
      <c r="A636" s="74">
        <v>79</v>
      </c>
      <c r="B636" s="250" t="s">
        <v>4625</v>
      </c>
      <c r="C636" s="250" t="s">
        <v>951</v>
      </c>
      <c r="D636" s="74" t="s">
        <v>1029</v>
      </c>
      <c r="E636" s="196">
        <v>4.95</v>
      </c>
      <c r="F636" s="74">
        <v>20</v>
      </c>
      <c r="G636" s="74" t="s">
        <v>3931</v>
      </c>
      <c r="H636" s="74" t="s">
        <v>963</v>
      </c>
      <c r="I636" s="74" t="s">
        <v>1026</v>
      </c>
      <c r="J636" s="75">
        <v>6040230315744</v>
      </c>
      <c r="K636" s="181">
        <v>45338</v>
      </c>
      <c r="L636" s="74"/>
      <c r="M636" s="181"/>
      <c r="N636" s="74"/>
      <c r="O636" s="74"/>
      <c r="P636" s="74"/>
      <c r="Q636" s="74"/>
      <c r="R636" s="75"/>
      <c r="S636" s="181"/>
      <c r="T636" s="74"/>
      <c r="U636" s="74"/>
      <c r="V636" s="74"/>
      <c r="W636" s="74"/>
    </row>
    <row r="637" spans="1:23" x14ac:dyDescent="0.25">
      <c r="A637" s="74">
        <v>80</v>
      </c>
      <c r="B637" s="250" t="s">
        <v>4626</v>
      </c>
      <c r="C637" s="250" t="s">
        <v>951</v>
      </c>
      <c r="D637" s="74" t="s">
        <v>1039</v>
      </c>
      <c r="E637" s="196">
        <v>58.432000000000002</v>
      </c>
      <c r="F637" s="74">
        <v>110</v>
      </c>
      <c r="G637" s="74" t="s">
        <v>4627</v>
      </c>
      <c r="H637" s="74" t="s">
        <v>964</v>
      </c>
      <c r="I637" s="74" t="s">
        <v>1026</v>
      </c>
      <c r="J637" s="75">
        <v>6010230849665</v>
      </c>
      <c r="K637" s="181">
        <v>45348</v>
      </c>
      <c r="L637" s="74"/>
      <c r="M637" s="181"/>
      <c r="N637" s="74"/>
      <c r="O637" s="74"/>
      <c r="P637" s="74"/>
      <c r="Q637" s="74"/>
      <c r="R637" s="75"/>
      <c r="S637" s="181"/>
      <c r="T637" s="74"/>
      <c r="U637" s="74"/>
      <c r="V637" s="74"/>
      <c r="W637" s="74"/>
    </row>
    <row r="638" spans="1:23" x14ac:dyDescent="0.25">
      <c r="A638" s="74">
        <v>81</v>
      </c>
      <c r="B638" s="250" t="s">
        <v>4709</v>
      </c>
      <c r="C638" s="250" t="s">
        <v>951</v>
      </c>
      <c r="D638" s="74" t="s">
        <v>1045</v>
      </c>
      <c r="E638" s="196">
        <v>41.4</v>
      </c>
      <c r="F638" s="74">
        <v>110</v>
      </c>
      <c r="G638" s="74" t="s">
        <v>4710</v>
      </c>
      <c r="H638" s="74" t="s">
        <v>963</v>
      </c>
      <c r="I638" s="74" t="s">
        <v>1026</v>
      </c>
      <c r="J638" s="75">
        <v>6020220617977</v>
      </c>
      <c r="K638" s="181">
        <v>45364</v>
      </c>
      <c r="L638" s="74"/>
      <c r="M638" s="181"/>
      <c r="N638" s="74"/>
      <c r="O638" s="74"/>
      <c r="P638" s="74"/>
      <c r="Q638" s="74"/>
      <c r="R638" s="75"/>
      <c r="S638" s="181"/>
      <c r="T638" s="74"/>
      <c r="U638" s="74"/>
      <c r="V638" s="74"/>
      <c r="W638" s="74"/>
    </row>
    <row r="639" spans="1:23" x14ac:dyDescent="0.25">
      <c r="A639" s="74">
        <v>82</v>
      </c>
      <c r="B639" s="250" t="s">
        <v>4711</v>
      </c>
      <c r="C639" s="250" t="s">
        <v>951</v>
      </c>
      <c r="D639" s="74" t="s">
        <v>4712</v>
      </c>
      <c r="E639" s="196">
        <v>48</v>
      </c>
      <c r="F639" s="74">
        <v>110</v>
      </c>
      <c r="G639" s="74" t="s">
        <v>4713</v>
      </c>
      <c r="H639" s="74" t="s">
        <v>963</v>
      </c>
      <c r="I639" s="74" t="s">
        <v>1026</v>
      </c>
      <c r="J639" s="75">
        <v>6040220710732</v>
      </c>
      <c r="K639" s="181">
        <v>45372</v>
      </c>
      <c r="L639" s="74"/>
      <c r="M639" s="181"/>
      <c r="N639" s="74"/>
      <c r="O639" s="74"/>
      <c r="P639" s="74"/>
      <c r="Q639" s="74"/>
      <c r="R639" s="75"/>
      <c r="S639" s="181"/>
      <c r="T639" s="74"/>
      <c r="U639" s="74"/>
      <c r="V639" s="74"/>
      <c r="W639" s="74"/>
    </row>
    <row r="640" spans="1:23" x14ac:dyDescent="0.25">
      <c r="A640" s="74">
        <v>83</v>
      </c>
      <c r="B640" s="250" t="s">
        <v>4714</v>
      </c>
      <c r="C640" s="250" t="s">
        <v>951</v>
      </c>
      <c r="D640" s="74" t="s">
        <v>1045</v>
      </c>
      <c r="E640" s="196">
        <v>9</v>
      </c>
      <c r="F640" s="74">
        <v>20</v>
      </c>
      <c r="G640" s="74" t="s">
        <v>4715</v>
      </c>
      <c r="H640" s="74" t="s">
        <v>963</v>
      </c>
      <c r="I640" s="74" t="s">
        <v>1026</v>
      </c>
      <c r="J640" s="75">
        <v>6020230124289</v>
      </c>
      <c r="K640" s="181">
        <v>45359</v>
      </c>
      <c r="L640" s="74"/>
      <c r="M640" s="181"/>
      <c r="N640" s="74"/>
      <c r="O640" s="74"/>
      <c r="P640" s="74"/>
      <c r="Q640" s="74"/>
      <c r="R640" s="75"/>
      <c r="S640" s="181"/>
      <c r="T640" s="74"/>
      <c r="U640" s="74"/>
      <c r="V640" s="74"/>
      <c r="W640" s="74"/>
    </row>
    <row r="641" spans="1:23" x14ac:dyDescent="0.25">
      <c r="A641" s="74">
        <v>84</v>
      </c>
      <c r="B641" s="250" t="s">
        <v>4716</v>
      </c>
      <c r="C641" s="250" t="s">
        <v>951</v>
      </c>
      <c r="D641" s="74" t="s">
        <v>4608</v>
      </c>
      <c r="E641" s="196">
        <v>28.8</v>
      </c>
      <c r="F641" s="74">
        <v>110</v>
      </c>
      <c r="G641" s="74" t="s">
        <v>4717</v>
      </c>
      <c r="H641" s="74" t="s">
        <v>963</v>
      </c>
      <c r="I641" s="74" t="s">
        <v>1026</v>
      </c>
      <c r="J641" s="75">
        <v>6020230124299</v>
      </c>
      <c r="K641" s="181">
        <v>45357</v>
      </c>
      <c r="L641" s="74"/>
      <c r="M641" s="181"/>
      <c r="N641" s="74"/>
      <c r="O641" s="74"/>
      <c r="P641" s="74"/>
      <c r="Q641" s="74"/>
      <c r="R641" s="75"/>
      <c r="S641" s="181"/>
      <c r="T641" s="74"/>
      <c r="U641" s="74"/>
      <c r="V641" s="74"/>
      <c r="W641" s="74"/>
    </row>
    <row r="642" spans="1:23" x14ac:dyDescent="0.25">
      <c r="A642" s="74">
        <v>85</v>
      </c>
      <c r="B642" s="250" t="s">
        <v>4716</v>
      </c>
      <c r="C642" s="250" t="s">
        <v>951</v>
      </c>
      <c r="D642" s="74" t="s">
        <v>1045</v>
      </c>
      <c r="E642" s="196">
        <v>26.4</v>
      </c>
      <c r="F642" s="74">
        <v>110</v>
      </c>
      <c r="G642" s="74" t="s">
        <v>4717</v>
      </c>
      <c r="H642" s="74" t="s">
        <v>963</v>
      </c>
      <c r="I642" s="74" t="s">
        <v>1026</v>
      </c>
      <c r="J642" s="75">
        <v>6020230124301</v>
      </c>
      <c r="K642" s="181">
        <v>45358</v>
      </c>
      <c r="L642" s="74"/>
      <c r="M642" s="181"/>
      <c r="N642" s="74"/>
      <c r="O642" s="74"/>
      <c r="P642" s="74"/>
      <c r="Q642" s="74"/>
      <c r="R642" s="75"/>
      <c r="S642" s="181"/>
      <c r="T642" s="74"/>
      <c r="U642" s="74"/>
      <c r="V642" s="74"/>
      <c r="W642" s="74"/>
    </row>
    <row r="643" spans="1:23" x14ac:dyDescent="0.25">
      <c r="A643" s="74">
        <v>86</v>
      </c>
      <c r="B643" s="250" t="s">
        <v>4718</v>
      </c>
      <c r="C643" s="250" t="s">
        <v>951</v>
      </c>
      <c r="D643" s="74" t="s">
        <v>1045</v>
      </c>
      <c r="E643" s="196">
        <v>4.5</v>
      </c>
      <c r="F643" s="74">
        <v>20</v>
      </c>
      <c r="G643" s="74" t="s">
        <v>4719</v>
      </c>
      <c r="H643" s="74" t="s">
        <v>963</v>
      </c>
      <c r="I643" s="74" t="s">
        <v>1026</v>
      </c>
      <c r="J643" s="75">
        <v>6020230225005</v>
      </c>
      <c r="K643" s="181">
        <v>45370</v>
      </c>
      <c r="L643" s="74"/>
      <c r="M643" s="181"/>
      <c r="N643" s="74"/>
      <c r="O643" s="74"/>
      <c r="P643" s="74"/>
      <c r="Q643" s="74"/>
      <c r="R643" s="75"/>
      <c r="S643" s="181"/>
      <c r="T643" s="74"/>
      <c r="U643" s="74"/>
      <c r="V643" s="74"/>
      <c r="W643" s="74"/>
    </row>
    <row r="644" spans="1:23" x14ac:dyDescent="0.25">
      <c r="A644" s="74">
        <v>87</v>
      </c>
      <c r="B644" s="250" t="s">
        <v>3276</v>
      </c>
      <c r="C644" s="250" t="s">
        <v>951</v>
      </c>
      <c r="D644" s="74" t="s">
        <v>1039</v>
      </c>
      <c r="E644" s="196">
        <v>4.83</v>
      </c>
      <c r="F644" s="74">
        <v>20</v>
      </c>
      <c r="G644" s="74" t="s">
        <v>4720</v>
      </c>
      <c r="H644" s="74" t="s">
        <v>963</v>
      </c>
      <c r="I644" s="74" t="s">
        <v>1026</v>
      </c>
      <c r="J644" s="75">
        <v>6010231255269</v>
      </c>
      <c r="K644" s="181">
        <v>45365</v>
      </c>
      <c r="L644" s="74"/>
      <c r="M644" s="181"/>
      <c r="N644" s="74"/>
      <c r="O644" s="74"/>
      <c r="P644" s="74"/>
      <c r="Q644" s="74"/>
      <c r="R644" s="75"/>
      <c r="S644" s="181"/>
      <c r="T644" s="74"/>
      <c r="U644" s="74"/>
      <c r="V644" s="74"/>
      <c r="W644" s="74"/>
    </row>
    <row r="645" spans="1:23" x14ac:dyDescent="0.25">
      <c r="A645" s="74">
        <v>88</v>
      </c>
      <c r="B645" s="250" t="s">
        <v>4874</v>
      </c>
      <c r="C645" s="250" t="s">
        <v>951</v>
      </c>
      <c r="D645" s="74" t="s">
        <v>4608</v>
      </c>
      <c r="E645" s="196">
        <v>95</v>
      </c>
      <c r="F645" s="74">
        <v>110</v>
      </c>
      <c r="G645" s="74" t="s">
        <v>4875</v>
      </c>
      <c r="H645" s="74" t="s">
        <v>963</v>
      </c>
      <c r="I645" s="74" t="s">
        <v>1026</v>
      </c>
      <c r="J645" s="75">
        <v>6020240302590</v>
      </c>
      <c r="K645" s="181">
        <v>45387</v>
      </c>
      <c r="L645" s="74"/>
      <c r="M645" s="181"/>
      <c r="N645" s="74"/>
      <c r="O645" s="74"/>
      <c r="P645" s="74"/>
      <c r="Q645" s="74"/>
      <c r="R645" s="75"/>
      <c r="S645" s="181"/>
      <c r="T645" s="74"/>
      <c r="U645" s="74"/>
      <c r="V645" s="74"/>
      <c r="W645" s="74"/>
    </row>
    <row r="646" spans="1:23" x14ac:dyDescent="0.25">
      <c r="A646" s="74">
        <v>89</v>
      </c>
      <c r="B646" s="250" t="s">
        <v>2984</v>
      </c>
      <c r="C646" s="250" t="s">
        <v>951</v>
      </c>
      <c r="D646" s="74" t="s">
        <v>4876</v>
      </c>
      <c r="E646" s="196">
        <v>1.8</v>
      </c>
      <c r="F646" s="74">
        <v>20</v>
      </c>
      <c r="G646" s="74" t="s">
        <v>2985</v>
      </c>
      <c r="H646" s="74" t="s">
        <v>3178</v>
      </c>
      <c r="I646" s="74" t="s">
        <v>1026</v>
      </c>
      <c r="J646" s="75">
        <v>6030240402629</v>
      </c>
      <c r="K646" s="181">
        <v>45392</v>
      </c>
      <c r="L646" s="74" t="s">
        <v>4877</v>
      </c>
      <c r="M646" s="181">
        <v>45399</v>
      </c>
      <c r="N646" s="74"/>
      <c r="O646" s="74"/>
      <c r="P646" s="74"/>
      <c r="Q646" s="74"/>
      <c r="R646" s="75"/>
      <c r="S646" s="181"/>
      <c r="T646" s="74"/>
      <c r="U646" s="74"/>
      <c r="V646" s="74"/>
      <c r="W646" s="74"/>
    </row>
    <row r="647" spans="1:23" x14ac:dyDescent="0.25">
      <c r="A647" s="74">
        <v>90</v>
      </c>
      <c r="B647" s="250" t="s">
        <v>4878</v>
      </c>
      <c r="C647" s="250" t="s">
        <v>951</v>
      </c>
      <c r="D647" s="74" t="s">
        <v>4608</v>
      </c>
      <c r="E647" s="196">
        <v>50.225000000000001</v>
      </c>
      <c r="F647" s="74">
        <v>110</v>
      </c>
      <c r="G647" s="74" t="s">
        <v>4879</v>
      </c>
      <c r="H647" s="74" t="s">
        <v>963</v>
      </c>
      <c r="I647" s="74" t="s">
        <v>1026</v>
      </c>
      <c r="J647" s="75">
        <v>6020240403779</v>
      </c>
      <c r="K647" s="181">
        <v>45393</v>
      </c>
      <c r="L647" s="74"/>
      <c r="M647" s="181"/>
      <c r="N647" s="74"/>
      <c r="O647" s="74"/>
      <c r="P647" s="74"/>
      <c r="Q647" s="74"/>
      <c r="R647" s="75"/>
      <c r="S647" s="181"/>
      <c r="T647" s="74"/>
      <c r="U647" s="74"/>
      <c r="V647" s="74"/>
      <c r="W647" s="74"/>
    </row>
    <row r="648" spans="1:23" x14ac:dyDescent="0.25">
      <c r="A648" s="74">
        <v>91</v>
      </c>
      <c r="B648" s="250" t="s">
        <v>4880</v>
      </c>
      <c r="C648" s="250" t="s">
        <v>951</v>
      </c>
      <c r="D648" s="74" t="s">
        <v>1045</v>
      </c>
      <c r="E648" s="196">
        <v>4.4000000000000004</v>
      </c>
      <c r="F648" s="74">
        <v>20</v>
      </c>
      <c r="G648" s="74" t="s">
        <v>4881</v>
      </c>
      <c r="H648" s="74" t="s">
        <v>963</v>
      </c>
      <c r="I648" s="74" t="s">
        <v>1026</v>
      </c>
      <c r="J648" s="75">
        <v>6020221021756</v>
      </c>
      <c r="K648" s="181">
        <v>45392</v>
      </c>
      <c r="L648" s="74"/>
      <c r="M648" s="181"/>
      <c r="N648" s="74"/>
      <c r="O648" s="74"/>
      <c r="P648" s="74"/>
      <c r="Q648" s="74"/>
      <c r="R648" s="75"/>
      <c r="S648" s="181"/>
      <c r="T648" s="74"/>
      <c r="U648" s="74"/>
      <c r="V648" s="74"/>
      <c r="W648" s="74"/>
    </row>
    <row r="649" spans="1:23" x14ac:dyDescent="0.25">
      <c r="A649" s="74">
        <v>92</v>
      </c>
      <c r="B649" s="250" t="s">
        <v>4882</v>
      </c>
      <c r="C649" s="250" t="s">
        <v>951</v>
      </c>
      <c r="D649" s="74" t="s">
        <v>1045</v>
      </c>
      <c r="E649" s="196">
        <v>4.95</v>
      </c>
      <c r="F649" s="74">
        <v>20</v>
      </c>
      <c r="G649" s="74" t="s">
        <v>4883</v>
      </c>
      <c r="H649" s="74" t="s">
        <v>963</v>
      </c>
      <c r="I649" s="74" t="s">
        <v>1026</v>
      </c>
      <c r="J649" s="75">
        <v>6020231135670</v>
      </c>
      <c r="K649" s="181">
        <v>45386</v>
      </c>
      <c r="L649" s="74"/>
      <c r="M649" s="181"/>
      <c r="N649" s="74"/>
      <c r="O649" s="74"/>
      <c r="P649" s="74"/>
      <c r="Q649" s="74"/>
      <c r="R649" s="75"/>
      <c r="S649" s="181"/>
      <c r="T649" s="74"/>
      <c r="U649" s="74"/>
      <c r="V649" s="74"/>
      <c r="W649" s="74"/>
    </row>
    <row r="650" spans="1:23" x14ac:dyDescent="0.25">
      <c r="A650" s="74">
        <v>93</v>
      </c>
      <c r="B650" s="250" t="s">
        <v>4884</v>
      </c>
      <c r="C650" s="250" t="s">
        <v>951</v>
      </c>
      <c r="D650" s="74" t="s">
        <v>1045</v>
      </c>
      <c r="E650" s="196">
        <v>48.118000000000002</v>
      </c>
      <c r="F650" s="74">
        <v>110</v>
      </c>
      <c r="G650" s="74" t="s">
        <v>4885</v>
      </c>
      <c r="H650" s="74" t="s">
        <v>963</v>
      </c>
      <c r="I650" s="74" t="s">
        <v>1026</v>
      </c>
      <c r="J650" s="75">
        <v>6020230224981</v>
      </c>
      <c r="K650" s="181">
        <v>45377</v>
      </c>
      <c r="L650" s="74"/>
      <c r="M650" s="181"/>
      <c r="N650" s="74"/>
      <c r="O650" s="74"/>
      <c r="P650" s="74"/>
      <c r="Q650" s="74"/>
      <c r="R650" s="75"/>
      <c r="S650" s="181"/>
      <c r="T650" s="74"/>
      <c r="U650" s="74"/>
      <c r="V650" s="74"/>
      <c r="W650" s="74"/>
    </row>
    <row r="651" spans="1:23" x14ac:dyDescent="0.25">
      <c r="A651" s="74">
        <v>94</v>
      </c>
      <c r="B651" s="250" t="s">
        <v>4993</v>
      </c>
      <c r="C651" s="250" t="s">
        <v>951</v>
      </c>
      <c r="D651" s="74" t="s">
        <v>4994</v>
      </c>
      <c r="E651" s="196">
        <v>46</v>
      </c>
      <c r="F651" s="74">
        <v>110</v>
      </c>
      <c r="G651" s="74" t="s">
        <v>1037</v>
      </c>
      <c r="H651" s="74" t="s">
        <v>4045</v>
      </c>
      <c r="I651" s="74" t="s">
        <v>1026</v>
      </c>
      <c r="J651" s="75">
        <v>6060240401522</v>
      </c>
      <c r="K651" s="181">
        <v>45404</v>
      </c>
      <c r="L651" s="74" t="s">
        <v>4995</v>
      </c>
      <c r="M651" s="181">
        <v>45411</v>
      </c>
      <c r="N651" s="74"/>
      <c r="O651" s="74"/>
      <c r="P651" s="74"/>
      <c r="Q651" s="74"/>
      <c r="R651" s="75"/>
      <c r="S651" s="181"/>
      <c r="T651" s="74"/>
      <c r="U651" s="74"/>
      <c r="V651" s="74"/>
      <c r="W651" s="74"/>
    </row>
    <row r="652" spans="1:23" x14ac:dyDescent="0.25">
      <c r="A652" s="74">
        <v>95</v>
      </c>
      <c r="B652" s="250" t="s">
        <v>4996</v>
      </c>
      <c r="C652" s="250" t="s">
        <v>951</v>
      </c>
      <c r="D652" s="74" t="s">
        <v>4608</v>
      </c>
      <c r="E652" s="196">
        <v>59.15</v>
      </c>
      <c r="F652" s="74">
        <v>110</v>
      </c>
      <c r="G652" s="74" t="s">
        <v>4997</v>
      </c>
      <c r="H652" s="74" t="s">
        <v>963</v>
      </c>
      <c r="I652" s="74" t="s">
        <v>1026</v>
      </c>
      <c r="J652" s="75">
        <v>6020240504729</v>
      </c>
      <c r="K652" s="181">
        <v>45421</v>
      </c>
      <c r="L652" s="74"/>
      <c r="M652" s="181"/>
      <c r="N652" s="74"/>
      <c r="O652" s="74"/>
      <c r="P652" s="74"/>
      <c r="Q652" s="74"/>
      <c r="R652" s="75"/>
      <c r="S652" s="181"/>
      <c r="T652" s="74"/>
      <c r="U652" s="74"/>
      <c r="V652" s="74"/>
      <c r="W652" s="74"/>
    </row>
    <row r="653" spans="1:23" x14ac:dyDescent="0.25">
      <c r="A653" s="74">
        <v>96</v>
      </c>
      <c r="B653" s="250" t="s">
        <v>1027</v>
      </c>
      <c r="C653" s="250" t="s">
        <v>951</v>
      </c>
      <c r="D653" s="74" t="s">
        <v>4712</v>
      </c>
      <c r="E653" s="196">
        <v>2.9</v>
      </c>
      <c r="F653" s="74">
        <v>20</v>
      </c>
      <c r="G653" s="74" t="s">
        <v>4998</v>
      </c>
      <c r="H653" s="74" t="s">
        <v>963</v>
      </c>
      <c r="I653" s="74" t="s">
        <v>1026</v>
      </c>
      <c r="J653" s="75">
        <v>6040230316235</v>
      </c>
      <c r="K653" s="181">
        <v>45411</v>
      </c>
      <c r="L653" s="74"/>
      <c r="M653" s="181"/>
      <c r="N653" s="74"/>
      <c r="O653" s="74"/>
      <c r="P653" s="74"/>
      <c r="Q653" s="74"/>
      <c r="R653" s="75"/>
      <c r="S653" s="181"/>
      <c r="T653" s="74"/>
      <c r="U653" s="74"/>
      <c r="V653" s="74"/>
      <c r="W653" s="74"/>
    </row>
    <row r="654" spans="1:23" x14ac:dyDescent="0.25">
      <c r="A654" s="74">
        <v>97</v>
      </c>
      <c r="B654" s="250" t="s">
        <v>4999</v>
      </c>
      <c r="C654" s="250" t="s">
        <v>951</v>
      </c>
      <c r="D654" s="74" t="s">
        <v>1033</v>
      </c>
      <c r="E654" s="196">
        <v>3.3</v>
      </c>
      <c r="F654" s="74">
        <v>20</v>
      </c>
      <c r="G654" s="74" t="s">
        <v>5000</v>
      </c>
      <c r="H654" s="74" t="s">
        <v>963</v>
      </c>
      <c r="I654" s="74" t="s">
        <v>1026</v>
      </c>
      <c r="J654" s="75">
        <v>6050230412842</v>
      </c>
      <c r="K654" s="181">
        <v>45400</v>
      </c>
      <c r="L654" s="74"/>
      <c r="M654" s="181"/>
      <c r="N654" s="74"/>
      <c r="O654" s="74"/>
      <c r="P654" s="74"/>
      <c r="Q654" s="74"/>
      <c r="R654" s="75"/>
      <c r="S654" s="181"/>
      <c r="T654" s="74"/>
      <c r="U654" s="74"/>
      <c r="V654" s="74"/>
      <c r="W654" s="74"/>
    </row>
    <row r="655" spans="1:23" x14ac:dyDescent="0.25">
      <c r="A655" s="74">
        <v>98</v>
      </c>
      <c r="B655" s="250" t="s">
        <v>5001</v>
      </c>
      <c r="C655" s="250" t="s">
        <v>951</v>
      </c>
      <c r="D655" s="74" t="s">
        <v>1033</v>
      </c>
      <c r="E655" s="196">
        <v>2</v>
      </c>
      <c r="F655" s="74">
        <v>20</v>
      </c>
      <c r="G655" s="74" t="s">
        <v>5002</v>
      </c>
      <c r="H655" s="74" t="s">
        <v>963</v>
      </c>
      <c r="I655" s="74" t="s">
        <v>1026</v>
      </c>
      <c r="J655" s="75">
        <v>6050230613558</v>
      </c>
      <c r="K655" s="181">
        <v>45433</v>
      </c>
      <c r="L655" s="74"/>
      <c r="M655" s="181"/>
      <c r="N655" s="74"/>
      <c r="O655" s="74"/>
      <c r="P655" s="74"/>
      <c r="Q655" s="74"/>
      <c r="R655" s="75"/>
      <c r="S655" s="181"/>
      <c r="T655" s="74"/>
      <c r="U655" s="74"/>
      <c r="V655" s="74"/>
      <c r="W655" s="74"/>
    </row>
    <row r="656" spans="1:23" x14ac:dyDescent="0.25">
      <c r="A656" s="74">
        <v>99</v>
      </c>
      <c r="B656" s="250" t="s">
        <v>2980</v>
      </c>
      <c r="C656" s="250" t="s">
        <v>951</v>
      </c>
      <c r="D656" s="74" t="s">
        <v>1039</v>
      </c>
      <c r="E656" s="180">
        <v>4.8</v>
      </c>
      <c r="F656" s="74">
        <v>20</v>
      </c>
      <c r="G656" s="74" t="s">
        <v>2981</v>
      </c>
      <c r="H656" s="74" t="s">
        <v>963</v>
      </c>
      <c r="I656" s="74" t="s">
        <v>1026</v>
      </c>
      <c r="J656" s="75">
        <v>6010231153568</v>
      </c>
      <c r="K656" s="181">
        <v>45240</v>
      </c>
      <c r="L656" s="74" t="s">
        <v>5003</v>
      </c>
      <c r="M656" s="181">
        <v>45411</v>
      </c>
      <c r="N656" s="74"/>
      <c r="O656" s="74"/>
      <c r="P656" s="74"/>
      <c r="Q656" s="74"/>
      <c r="R656" s="75"/>
      <c r="S656" s="181"/>
      <c r="T656" s="74"/>
      <c r="U656" s="74"/>
      <c r="V656" s="74"/>
      <c r="W656" s="74"/>
    </row>
    <row r="657" spans="1:23" x14ac:dyDescent="0.25">
      <c r="A657" s="74">
        <v>100</v>
      </c>
      <c r="B657" s="250" t="s">
        <v>5004</v>
      </c>
      <c r="C657" s="250" t="s">
        <v>951</v>
      </c>
      <c r="D657" s="74" t="s">
        <v>1039</v>
      </c>
      <c r="E657" s="196">
        <v>2.35</v>
      </c>
      <c r="F657" s="74">
        <v>10</v>
      </c>
      <c r="G657" s="74" t="s">
        <v>5005</v>
      </c>
      <c r="H657" s="74" t="s">
        <v>963</v>
      </c>
      <c r="I657" s="74" t="s">
        <v>1026</v>
      </c>
      <c r="J657" s="75">
        <v>6010231255690</v>
      </c>
      <c r="K657" s="181">
        <v>45447</v>
      </c>
      <c r="L657" s="74"/>
      <c r="M657" s="181"/>
      <c r="N657" s="74"/>
      <c r="O657" s="74"/>
      <c r="P657" s="74"/>
      <c r="Q657" s="74"/>
      <c r="R657" s="75"/>
      <c r="S657" s="181"/>
      <c r="T657" s="74"/>
      <c r="U657" s="74"/>
      <c r="V657" s="74"/>
      <c r="W657" s="74"/>
    </row>
    <row r="658" spans="1:23" x14ac:dyDescent="0.25">
      <c r="A658" s="74">
        <v>101</v>
      </c>
      <c r="B658" s="250" t="s">
        <v>3194</v>
      </c>
      <c r="C658" s="250" t="s">
        <v>951</v>
      </c>
      <c r="D658" s="74" t="s">
        <v>1045</v>
      </c>
      <c r="E658" s="196">
        <v>8.17</v>
      </c>
      <c r="F658" s="74">
        <v>20</v>
      </c>
      <c r="G658" s="74" t="s">
        <v>3195</v>
      </c>
      <c r="H658" s="74" t="s">
        <v>963</v>
      </c>
      <c r="I658" s="74" t="s">
        <v>1026</v>
      </c>
      <c r="J658" s="75">
        <v>6020220516864</v>
      </c>
      <c r="K658" s="181">
        <v>45460</v>
      </c>
      <c r="L658" s="74"/>
      <c r="M658" s="181"/>
      <c r="N658" s="74"/>
      <c r="O658" s="74"/>
      <c r="P658" s="74"/>
      <c r="Q658" s="74"/>
      <c r="R658" s="75"/>
      <c r="S658" s="181"/>
      <c r="T658" s="74"/>
      <c r="U658" s="74" t="s">
        <v>5006</v>
      </c>
      <c r="V658" s="74"/>
      <c r="W658" s="74"/>
    </row>
    <row r="659" spans="1:23" x14ac:dyDescent="0.25">
      <c r="A659" s="74">
        <v>102</v>
      </c>
      <c r="B659" s="250" t="s">
        <v>5007</v>
      </c>
      <c r="C659" s="250" t="s">
        <v>951</v>
      </c>
      <c r="D659" s="74" t="s">
        <v>5008</v>
      </c>
      <c r="E659" s="196">
        <v>6.65</v>
      </c>
      <c r="F659" s="74">
        <v>20</v>
      </c>
      <c r="G659" s="74" t="s">
        <v>5009</v>
      </c>
      <c r="H659" s="74" t="s">
        <v>963</v>
      </c>
      <c r="I659" s="74" t="s">
        <v>1026</v>
      </c>
      <c r="J659" s="75">
        <v>6050220507550</v>
      </c>
      <c r="K659" s="181">
        <v>45461</v>
      </c>
      <c r="L659" s="74"/>
      <c r="M659" s="181"/>
      <c r="N659" s="74"/>
      <c r="O659" s="74"/>
      <c r="P659" s="74"/>
      <c r="Q659" s="74"/>
      <c r="R659" s="75"/>
      <c r="S659" s="181"/>
      <c r="T659" s="74"/>
      <c r="U659" s="74"/>
      <c r="V659" s="74"/>
      <c r="W659" s="74"/>
    </row>
    <row r="660" spans="1:23" x14ac:dyDescent="0.25">
      <c r="A660" s="74">
        <v>103</v>
      </c>
      <c r="B660" s="250" t="s">
        <v>5010</v>
      </c>
      <c r="C660" s="250" t="s">
        <v>951</v>
      </c>
      <c r="D660" s="74" t="s">
        <v>1033</v>
      </c>
      <c r="E660" s="196">
        <v>15</v>
      </c>
      <c r="F660" s="74">
        <v>110</v>
      </c>
      <c r="G660" s="74" t="s">
        <v>5011</v>
      </c>
      <c r="H660" s="74" t="s">
        <v>963</v>
      </c>
      <c r="I660" s="74" t="s">
        <v>1026</v>
      </c>
      <c r="J660" s="75">
        <v>6050221009716</v>
      </c>
      <c r="K660" s="181">
        <v>45441</v>
      </c>
      <c r="L660" s="74"/>
      <c r="M660" s="181"/>
      <c r="N660" s="74"/>
      <c r="O660" s="74"/>
      <c r="P660" s="74"/>
      <c r="Q660" s="74"/>
      <c r="R660" s="75"/>
      <c r="S660" s="181"/>
      <c r="T660" s="74"/>
      <c r="U660" s="74"/>
      <c r="V660" s="74"/>
      <c r="W660" s="74"/>
    </row>
    <row r="661" spans="1:23" x14ac:dyDescent="0.25">
      <c r="A661" s="74">
        <v>104</v>
      </c>
      <c r="B661" s="250" t="s">
        <v>4999</v>
      </c>
      <c r="C661" s="250" t="s">
        <v>951</v>
      </c>
      <c r="D661" s="74" t="s">
        <v>1033</v>
      </c>
      <c r="E661" s="196">
        <v>6.8</v>
      </c>
      <c r="F661" s="74">
        <v>20</v>
      </c>
      <c r="G661" s="74" t="s">
        <v>5012</v>
      </c>
      <c r="H661" s="74" t="s">
        <v>963</v>
      </c>
      <c r="I661" s="74" t="s">
        <v>1026</v>
      </c>
      <c r="J661" s="75">
        <v>6050230412829</v>
      </c>
      <c r="K661" s="181">
        <v>45462</v>
      </c>
      <c r="L661" s="74"/>
      <c r="M661" s="181"/>
      <c r="N661" s="74"/>
      <c r="O661" s="74"/>
      <c r="P661" s="74"/>
      <c r="Q661" s="74"/>
      <c r="R661" s="75"/>
      <c r="S661" s="181"/>
      <c r="T661" s="74"/>
      <c r="U661" s="74"/>
      <c r="V661" s="74"/>
      <c r="W661" s="74"/>
    </row>
    <row r="662" spans="1:23" x14ac:dyDescent="0.25">
      <c r="A662" s="74">
        <v>105</v>
      </c>
      <c r="B662" s="250" t="s">
        <v>5013</v>
      </c>
      <c r="C662" s="250" t="s">
        <v>951</v>
      </c>
      <c r="D662" s="74" t="s">
        <v>1033</v>
      </c>
      <c r="E662" s="196">
        <v>49.9</v>
      </c>
      <c r="F662" s="74">
        <v>110</v>
      </c>
      <c r="G662" s="74" t="s">
        <v>5014</v>
      </c>
      <c r="H662" s="74" t="s">
        <v>963</v>
      </c>
      <c r="I662" s="74" t="s">
        <v>1026</v>
      </c>
      <c r="J662" s="75">
        <v>6050230714269</v>
      </c>
      <c r="K662" s="181">
        <v>45440</v>
      </c>
      <c r="L662" s="74"/>
      <c r="M662" s="181"/>
      <c r="N662" s="74"/>
      <c r="O662" s="74"/>
      <c r="P662" s="74"/>
      <c r="Q662" s="74"/>
      <c r="R662" s="75"/>
      <c r="S662" s="181"/>
      <c r="T662" s="74"/>
      <c r="U662" s="74"/>
      <c r="V662" s="74"/>
      <c r="W662" s="74"/>
    </row>
    <row r="663" spans="1:23" x14ac:dyDescent="0.25">
      <c r="A663" s="74">
        <v>106</v>
      </c>
      <c r="B663" s="250" t="s">
        <v>5015</v>
      </c>
      <c r="C663" s="250" t="s">
        <v>951</v>
      </c>
      <c r="D663" s="74" t="s">
        <v>1039</v>
      </c>
      <c r="E663" s="196">
        <v>32.1</v>
      </c>
      <c r="F663" s="74">
        <v>110</v>
      </c>
      <c r="G663" s="74" t="s">
        <v>5016</v>
      </c>
      <c r="H663" s="74" t="s">
        <v>963</v>
      </c>
      <c r="I663" s="74" t="s">
        <v>1026</v>
      </c>
      <c r="J663" s="75">
        <v>6010230748125</v>
      </c>
      <c r="K663" s="181">
        <v>45448</v>
      </c>
      <c r="L663" s="74"/>
      <c r="M663" s="181"/>
      <c r="N663" s="74"/>
      <c r="O663" s="74"/>
      <c r="P663" s="74"/>
      <c r="Q663" s="74"/>
      <c r="R663" s="75"/>
      <c r="S663" s="181"/>
      <c r="T663" s="74"/>
      <c r="U663" s="74"/>
      <c r="V663" s="74"/>
      <c r="W663" s="74"/>
    </row>
    <row r="664" spans="1:23" x14ac:dyDescent="0.25">
      <c r="A664" s="74">
        <v>107</v>
      </c>
      <c r="B664" s="250" t="s">
        <v>1803</v>
      </c>
      <c r="C664" s="250" t="s">
        <v>951</v>
      </c>
      <c r="D664" s="74" t="s">
        <v>4712</v>
      </c>
      <c r="E664" s="196">
        <v>2</v>
      </c>
      <c r="F664" s="74">
        <v>20</v>
      </c>
      <c r="G664" s="74" t="s">
        <v>5291</v>
      </c>
      <c r="H664" s="74" t="s">
        <v>4045</v>
      </c>
      <c r="I664" s="74" t="s">
        <v>1026</v>
      </c>
      <c r="J664" s="75">
        <v>6040240704323</v>
      </c>
      <c r="K664" s="181">
        <v>45484</v>
      </c>
      <c r="L664" s="74" t="s">
        <v>5292</v>
      </c>
      <c r="M664" s="181">
        <v>45496</v>
      </c>
      <c r="N664" s="74"/>
      <c r="O664" s="74"/>
      <c r="P664" s="74"/>
      <c r="Q664" s="74"/>
      <c r="R664" s="74"/>
      <c r="S664" s="74"/>
      <c r="T664" s="74"/>
      <c r="U664" s="74"/>
      <c r="V664" s="74"/>
      <c r="W664" s="74"/>
    </row>
    <row r="665" spans="1:23" x14ac:dyDescent="0.25">
      <c r="A665" s="74">
        <v>108</v>
      </c>
      <c r="B665" s="250" t="s">
        <v>5293</v>
      </c>
      <c r="C665" s="250" t="s">
        <v>951</v>
      </c>
      <c r="D665" s="74" t="s">
        <v>1029</v>
      </c>
      <c r="E665" s="196">
        <v>3.25</v>
      </c>
      <c r="F665" s="74">
        <v>20</v>
      </c>
      <c r="G665" s="74" t="s">
        <v>5294</v>
      </c>
      <c r="H665" s="74" t="s">
        <v>963</v>
      </c>
      <c r="I665" s="74" t="s">
        <v>1026</v>
      </c>
      <c r="J665" s="75">
        <v>6040220509633</v>
      </c>
      <c r="K665" s="181">
        <v>45477</v>
      </c>
      <c r="L665" s="74"/>
      <c r="M665" s="74"/>
      <c r="N665" s="74"/>
      <c r="O665" s="74"/>
      <c r="P665" s="74"/>
      <c r="Q665" s="74"/>
      <c r="R665" s="74"/>
      <c r="S665" s="74"/>
      <c r="T665" s="74"/>
      <c r="U665" s="74"/>
      <c r="V665" s="74"/>
      <c r="W665" s="74"/>
    </row>
    <row r="666" spans="1:23" x14ac:dyDescent="0.25">
      <c r="A666" s="74">
        <v>109</v>
      </c>
      <c r="B666" s="250" t="s">
        <v>5295</v>
      </c>
      <c r="C666" s="250" t="s">
        <v>951</v>
      </c>
      <c r="D666" s="74" t="s">
        <v>1039</v>
      </c>
      <c r="E666" s="196">
        <v>4.2</v>
      </c>
      <c r="F666" s="74">
        <v>20</v>
      </c>
      <c r="G666" s="74" t="s">
        <v>5296</v>
      </c>
      <c r="H666" s="74" t="s">
        <v>963</v>
      </c>
      <c r="I666" s="74" t="s">
        <v>1026</v>
      </c>
      <c r="J666" s="75">
        <v>6010230341846</v>
      </c>
      <c r="K666" s="181">
        <v>45470</v>
      </c>
      <c r="L666" s="74"/>
      <c r="M666" s="74"/>
      <c r="N666" s="74"/>
      <c r="O666" s="74"/>
      <c r="P666" s="74"/>
      <c r="Q666" s="74"/>
      <c r="R666" s="74"/>
      <c r="S666" s="74"/>
      <c r="T666" s="74"/>
      <c r="U666" s="74"/>
      <c r="V666" s="74"/>
      <c r="W666" s="74"/>
    </row>
    <row r="667" spans="1:23" x14ac:dyDescent="0.25">
      <c r="A667" s="74">
        <v>110</v>
      </c>
      <c r="B667" s="250" t="s">
        <v>5297</v>
      </c>
      <c r="C667" s="250" t="s">
        <v>951</v>
      </c>
      <c r="D667" s="74" t="s">
        <v>1024</v>
      </c>
      <c r="E667" s="196">
        <v>4.99</v>
      </c>
      <c r="F667" s="74">
        <v>20</v>
      </c>
      <c r="G667" s="74" t="s">
        <v>5298</v>
      </c>
      <c r="H667" s="74" t="s">
        <v>963</v>
      </c>
      <c r="I667" s="74" t="s">
        <v>1026</v>
      </c>
      <c r="J667" s="75">
        <v>6060230609632</v>
      </c>
      <c r="K667" s="181">
        <v>45496</v>
      </c>
      <c r="L667" s="74"/>
      <c r="M667" s="74"/>
      <c r="N667" s="74"/>
      <c r="O667" s="74"/>
      <c r="P667" s="74"/>
      <c r="Q667" s="74"/>
      <c r="R667" s="74"/>
      <c r="S667" s="74"/>
      <c r="T667" s="74"/>
      <c r="U667" s="74"/>
      <c r="V667" s="74"/>
      <c r="W667" s="74"/>
    </row>
    <row r="668" spans="1:23" x14ac:dyDescent="0.25">
      <c r="A668" s="74">
        <v>111</v>
      </c>
      <c r="B668" s="250" t="s">
        <v>4094</v>
      </c>
      <c r="C668" s="250" t="s">
        <v>951</v>
      </c>
      <c r="D668" s="74" t="s">
        <v>1039</v>
      </c>
      <c r="E668" s="196">
        <v>3</v>
      </c>
      <c r="F668" s="74">
        <v>20</v>
      </c>
      <c r="G668" s="74" t="s">
        <v>5299</v>
      </c>
      <c r="H668" s="74" t="s">
        <v>963</v>
      </c>
      <c r="I668" s="74" t="s">
        <v>1026</v>
      </c>
      <c r="J668" s="75">
        <v>6010230748047</v>
      </c>
      <c r="K668" s="181">
        <v>45485</v>
      </c>
      <c r="L668" s="74"/>
      <c r="M668" s="74"/>
      <c r="N668" s="74"/>
      <c r="O668" s="74"/>
      <c r="P668" s="74"/>
      <c r="Q668" s="74"/>
      <c r="R668" s="74"/>
      <c r="S668" s="74"/>
      <c r="T668" s="74"/>
      <c r="U668" s="74"/>
      <c r="V668" s="74"/>
      <c r="W668" s="74"/>
    </row>
    <row r="669" spans="1:23" x14ac:dyDescent="0.25">
      <c r="A669" s="74">
        <v>112</v>
      </c>
      <c r="B669" s="250" t="s">
        <v>5300</v>
      </c>
      <c r="C669" s="250" t="s">
        <v>951</v>
      </c>
      <c r="D669" s="74" t="s">
        <v>1024</v>
      </c>
      <c r="E669" s="196">
        <v>49.95</v>
      </c>
      <c r="F669" s="74">
        <v>110</v>
      </c>
      <c r="G669" s="74" t="s">
        <v>5301</v>
      </c>
      <c r="H669" s="74" t="s">
        <v>963</v>
      </c>
      <c r="I669" s="74" t="s">
        <v>1026</v>
      </c>
      <c r="J669" s="75">
        <v>6060230810396</v>
      </c>
      <c r="K669" s="181">
        <v>45470</v>
      </c>
      <c r="L669" s="74"/>
      <c r="M669" s="74"/>
      <c r="N669" s="74"/>
      <c r="O669" s="74"/>
      <c r="P669" s="74"/>
      <c r="Q669" s="74"/>
      <c r="R669" s="74"/>
      <c r="S669" s="74"/>
      <c r="T669" s="74"/>
      <c r="U669" s="74"/>
      <c r="V669" s="74"/>
      <c r="W669" s="74"/>
    </row>
    <row r="670" spans="1:23" x14ac:dyDescent="0.25">
      <c r="A670" s="74">
        <v>113</v>
      </c>
      <c r="B670" s="250" t="s">
        <v>5302</v>
      </c>
      <c r="C670" s="250" t="s">
        <v>951</v>
      </c>
      <c r="D670" s="74" t="s">
        <v>1045</v>
      </c>
      <c r="E670" s="196">
        <v>1.95</v>
      </c>
      <c r="F670" s="74">
        <v>20</v>
      </c>
      <c r="G670" s="74" t="s">
        <v>5303</v>
      </c>
      <c r="H670" s="74" t="s">
        <v>963</v>
      </c>
      <c r="I670" s="74" t="s">
        <v>1026</v>
      </c>
      <c r="J670" s="75">
        <v>6020231034070</v>
      </c>
      <c r="K670" s="181">
        <v>45478</v>
      </c>
      <c r="L670" s="74"/>
      <c r="M670" s="74"/>
      <c r="N670" s="74"/>
      <c r="O670" s="74"/>
      <c r="P670" s="74"/>
      <c r="Q670" s="74"/>
      <c r="R670" s="74"/>
      <c r="S670" s="74"/>
      <c r="T670" s="74"/>
      <c r="U670" s="74"/>
      <c r="V670" s="74"/>
      <c r="W670" s="74"/>
    </row>
    <row r="671" spans="1:23" x14ac:dyDescent="0.25">
      <c r="A671" s="74">
        <v>114</v>
      </c>
      <c r="B671" s="250" t="s">
        <v>5304</v>
      </c>
      <c r="C671" s="250" t="s">
        <v>951</v>
      </c>
      <c r="D671" s="74" t="s">
        <v>1029</v>
      </c>
      <c r="E671" s="196">
        <v>4.95</v>
      </c>
      <c r="F671" s="74">
        <v>20</v>
      </c>
      <c r="G671" s="74" t="s">
        <v>5305</v>
      </c>
      <c r="H671" s="74" t="s">
        <v>963</v>
      </c>
      <c r="I671" s="74" t="s">
        <v>1026</v>
      </c>
      <c r="J671" s="75">
        <v>6040230315745</v>
      </c>
      <c r="K671" s="181">
        <v>45280</v>
      </c>
      <c r="L671" s="74" t="s">
        <v>5306</v>
      </c>
      <c r="M671" s="181">
        <v>45483</v>
      </c>
      <c r="N671" s="74"/>
      <c r="O671" s="74"/>
      <c r="P671" s="74"/>
      <c r="Q671" s="74"/>
      <c r="R671" s="74"/>
      <c r="S671" s="74"/>
      <c r="T671" s="74"/>
      <c r="U671" s="74"/>
      <c r="V671" s="74"/>
      <c r="W671" s="74"/>
    </row>
    <row r="672" spans="1:23" x14ac:dyDescent="0.25">
      <c r="A672" s="74">
        <v>115</v>
      </c>
      <c r="B672" s="250" t="s">
        <v>5589</v>
      </c>
      <c r="C672" s="250" t="s">
        <v>951</v>
      </c>
      <c r="D672" s="74" t="s">
        <v>1029</v>
      </c>
      <c r="E672" s="196">
        <v>9.9</v>
      </c>
      <c r="F672" s="74">
        <v>20</v>
      </c>
      <c r="G672" s="74" t="s">
        <v>5590</v>
      </c>
      <c r="H672" s="74" t="s">
        <v>963</v>
      </c>
      <c r="I672" s="74" t="s">
        <v>1026</v>
      </c>
      <c r="J672" s="75">
        <v>6040230214787</v>
      </c>
      <c r="K672" s="181">
        <v>45504</v>
      </c>
      <c r="L672" s="74"/>
      <c r="M672" s="74"/>
      <c r="N672" s="74"/>
      <c r="O672" s="74"/>
      <c r="P672" s="74"/>
      <c r="Q672" s="74"/>
      <c r="R672" s="74"/>
      <c r="S672" s="74"/>
      <c r="T672" s="74"/>
      <c r="U672" s="74"/>
      <c r="V672" s="74"/>
      <c r="W672" s="74"/>
    </row>
    <row r="673" spans="1:23" x14ac:dyDescent="0.25">
      <c r="A673" s="74">
        <v>116</v>
      </c>
      <c r="B673" s="250" t="s">
        <v>2419</v>
      </c>
      <c r="C673" s="250" t="s">
        <v>951</v>
      </c>
      <c r="D673" s="74" t="s">
        <v>1045</v>
      </c>
      <c r="E673" s="196">
        <v>42.9</v>
      </c>
      <c r="F673" s="74">
        <v>110</v>
      </c>
      <c r="G673" s="74" t="s">
        <v>5591</v>
      </c>
      <c r="H673" s="74" t="s">
        <v>963</v>
      </c>
      <c r="I673" s="74" t="s">
        <v>1026</v>
      </c>
      <c r="J673" s="75">
        <v>6020230225600</v>
      </c>
      <c r="K673" s="181">
        <v>45512</v>
      </c>
      <c r="L673" s="74"/>
      <c r="M673" s="74"/>
      <c r="N673" s="74"/>
      <c r="O673" s="74"/>
      <c r="P673" s="74"/>
      <c r="Q673" s="74"/>
      <c r="R673" s="74"/>
      <c r="S673" s="74"/>
      <c r="T673" s="74"/>
      <c r="U673" s="74"/>
      <c r="V673" s="74"/>
      <c r="W673" s="74"/>
    </row>
    <row r="674" spans="1:23" x14ac:dyDescent="0.25">
      <c r="A674" s="74">
        <v>117</v>
      </c>
      <c r="B674" s="250" t="s">
        <v>5592</v>
      </c>
      <c r="C674" s="250" t="s">
        <v>951</v>
      </c>
      <c r="D674" s="74" t="s">
        <v>1045</v>
      </c>
      <c r="E674" s="196">
        <v>45.216000000000001</v>
      </c>
      <c r="F674" s="74">
        <v>110</v>
      </c>
      <c r="G674" s="74" t="s">
        <v>5593</v>
      </c>
      <c r="H674" s="74" t="s">
        <v>963</v>
      </c>
      <c r="I674" s="74" t="s">
        <v>1026</v>
      </c>
      <c r="J674" s="75">
        <v>6020230528827</v>
      </c>
      <c r="K674" s="181">
        <v>45505</v>
      </c>
      <c r="L674" s="74"/>
      <c r="M674" s="74"/>
      <c r="N674" s="74"/>
      <c r="O674" s="74"/>
      <c r="P674" s="74"/>
      <c r="Q674" s="74"/>
      <c r="R674" s="74"/>
      <c r="S674" s="74"/>
      <c r="T674" s="74"/>
      <c r="U674" s="74"/>
      <c r="V674" s="74"/>
      <c r="W674" s="74"/>
    </row>
    <row r="675" spans="1:23" x14ac:dyDescent="0.25">
      <c r="A675" s="74">
        <v>118</v>
      </c>
      <c r="B675" s="250" t="s">
        <v>5594</v>
      </c>
      <c r="C675" s="250" t="s">
        <v>951</v>
      </c>
      <c r="D675" s="74" t="s">
        <v>1045</v>
      </c>
      <c r="E675" s="196">
        <v>45.216000000000001</v>
      </c>
      <c r="F675" s="74">
        <v>110</v>
      </c>
      <c r="G675" s="74" t="s">
        <v>5595</v>
      </c>
      <c r="H675" s="74" t="s">
        <v>963</v>
      </c>
      <c r="I675" s="74" t="s">
        <v>1026</v>
      </c>
      <c r="J675" s="75">
        <v>6020230528831</v>
      </c>
      <c r="K675" s="181">
        <v>45502</v>
      </c>
      <c r="L675" s="74"/>
      <c r="M675" s="74"/>
      <c r="N675" s="74"/>
      <c r="O675" s="74"/>
      <c r="P675" s="74"/>
      <c r="Q675" s="74"/>
      <c r="R675" s="74"/>
      <c r="S675" s="74"/>
      <c r="T675" s="74"/>
      <c r="U675" s="74"/>
      <c r="V675" s="74"/>
      <c r="W675" s="74"/>
    </row>
    <row r="676" spans="1:23" x14ac:dyDescent="0.25">
      <c r="A676" s="74">
        <v>119</v>
      </c>
      <c r="B676" s="250" t="s">
        <v>5596</v>
      </c>
      <c r="C676" s="250" t="s">
        <v>951</v>
      </c>
      <c r="D676" s="74" t="s">
        <v>4876</v>
      </c>
      <c r="E676" s="196">
        <v>3.85</v>
      </c>
      <c r="F676" s="74">
        <v>20</v>
      </c>
      <c r="G676" s="74" t="s">
        <v>5597</v>
      </c>
      <c r="H676" s="74" t="s">
        <v>963</v>
      </c>
      <c r="I676" s="74" t="s">
        <v>1026</v>
      </c>
      <c r="J676" s="75">
        <v>6030230724452</v>
      </c>
      <c r="K676" s="181">
        <v>45509</v>
      </c>
      <c r="L676" s="74"/>
      <c r="M676" s="74"/>
      <c r="N676" s="74"/>
      <c r="O676" s="74"/>
      <c r="P676" s="74"/>
      <c r="Q676" s="74"/>
      <c r="R676" s="74"/>
      <c r="S676" s="74"/>
      <c r="T676" s="74"/>
      <c r="U676" s="74"/>
      <c r="V676" s="74"/>
      <c r="W676" s="74"/>
    </row>
    <row r="677" spans="1:23" x14ac:dyDescent="0.25">
      <c r="A677" s="74">
        <v>120</v>
      </c>
      <c r="B677" s="250" t="s">
        <v>5704</v>
      </c>
      <c r="C677" s="250" t="s">
        <v>951</v>
      </c>
      <c r="D677" s="74" t="s">
        <v>5705</v>
      </c>
      <c r="E677" s="74">
        <v>5</v>
      </c>
      <c r="F677" s="74">
        <v>20</v>
      </c>
      <c r="G677" s="74" t="s">
        <v>5706</v>
      </c>
      <c r="H677" s="74" t="s">
        <v>963</v>
      </c>
      <c r="I677" s="74" t="s">
        <v>1026</v>
      </c>
      <c r="J677" s="75">
        <v>6010240303423</v>
      </c>
      <c r="K677" s="181">
        <v>45562</v>
      </c>
      <c r="L677" s="74"/>
      <c r="M677" s="74"/>
      <c r="N677" s="74"/>
      <c r="O677" s="74"/>
      <c r="P677" s="74"/>
      <c r="Q677" s="74"/>
      <c r="R677" s="74"/>
      <c r="S677" s="74"/>
      <c r="T677" s="74"/>
      <c r="U677" s="74"/>
      <c r="V677" s="74"/>
      <c r="W677" s="74"/>
    </row>
    <row r="678" spans="1:23" x14ac:dyDescent="0.25">
      <c r="A678" s="74">
        <v>121</v>
      </c>
      <c r="B678" s="250" t="s">
        <v>5707</v>
      </c>
      <c r="C678" s="250" t="s">
        <v>951</v>
      </c>
      <c r="D678" s="74" t="s">
        <v>5705</v>
      </c>
      <c r="E678" s="74">
        <v>3</v>
      </c>
      <c r="F678" s="74">
        <v>20</v>
      </c>
      <c r="G678" s="74" t="s">
        <v>5708</v>
      </c>
      <c r="H678" s="74" t="s">
        <v>963</v>
      </c>
      <c r="I678" s="74" t="s">
        <v>1026</v>
      </c>
      <c r="J678" s="75">
        <v>6010230848395</v>
      </c>
      <c r="K678" s="181">
        <v>45518</v>
      </c>
      <c r="L678" s="74"/>
      <c r="M678" s="74"/>
      <c r="N678" s="74"/>
      <c r="O678" s="74"/>
      <c r="P678" s="74"/>
      <c r="Q678" s="74"/>
      <c r="R678" s="74"/>
      <c r="S678" s="74"/>
      <c r="T678" s="74"/>
      <c r="U678" s="74"/>
      <c r="V678" s="74"/>
      <c r="W678" s="74"/>
    </row>
    <row r="679" spans="1:23" x14ac:dyDescent="0.25">
      <c r="A679" s="74">
        <v>122</v>
      </c>
      <c r="B679" s="647" t="s">
        <v>5944</v>
      </c>
      <c r="C679" s="250" t="s">
        <v>5945</v>
      </c>
      <c r="D679" s="74" t="s">
        <v>4994</v>
      </c>
      <c r="E679" s="196">
        <v>3.4</v>
      </c>
      <c r="F679" s="74">
        <v>20</v>
      </c>
      <c r="G679" s="74" t="s">
        <v>5946</v>
      </c>
      <c r="H679" s="74" t="s">
        <v>964</v>
      </c>
      <c r="I679" s="74" t="s">
        <v>1026</v>
      </c>
      <c r="J679" s="75">
        <v>6060240200458</v>
      </c>
      <c r="K679" s="181">
        <v>45576</v>
      </c>
      <c r="L679" s="74"/>
      <c r="M679" s="74"/>
      <c r="N679" s="74"/>
      <c r="O679" s="74"/>
      <c r="P679" s="74"/>
      <c r="Q679" s="74"/>
      <c r="R679" s="74"/>
      <c r="S679" s="74"/>
      <c r="T679" s="74"/>
      <c r="U679" s="74"/>
      <c r="V679" s="74"/>
      <c r="W679" s="74"/>
    </row>
    <row r="680" spans="1:23" x14ac:dyDescent="0.25">
      <c r="A680" s="74">
        <v>123</v>
      </c>
      <c r="B680" s="647" t="s">
        <v>5947</v>
      </c>
      <c r="C680" s="250" t="s">
        <v>5948</v>
      </c>
      <c r="D680" s="74" t="s">
        <v>4994</v>
      </c>
      <c r="E680" s="196">
        <v>3.6749999999999998</v>
      </c>
      <c r="F680" s="74">
        <v>20</v>
      </c>
      <c r="G680" s="74" t="s">
        <v>5949</v>
      </c>
      <c r="H680" s="74" t="s">
        <v>963</v>
      </c>
      <c r="I680" s="74" t="s">
        <v>1026</v>
      </c>
      <c r="J680" s="75">
        <v>6060240200533</v>
      </c>
      <c r="K680" s="181">
        <v>45617</v>
      </c>
      <c r="L680" s="74"/>
      <c r="M680" s="74"/>
      <c r="N680" s="74"/>
      <c r="O680" s="74"/>
      <c r="P680" s="74"/>
      <c r="Q680" s="74"/>
      <c r="R680" s="74"/>
      <c r="S680" s="74"/>
      <c r="T680" s="74"/>
      <c r="U680" s="74"/>
      <c r="V680" s="74"/>
      <c r="W680" s="74"/>
    </row>
    <row r="681" spans="1:23" x14ac:dyDescent="0.25">
      <c r="A681" s="74">
        <v>124</v>
      </c>
      <c r="B681" s="647" t="s">
        <v>5950</v>
      </c>
      <c r="C681" s="250" t="s">
        <v>1828</v>
      </c>
      <c r="D681" s="74" t="s">
        <v>5705</v>
      </c>
      <c r="E681" s="196">
        <v>2.4990000000000001</v>
      </c>
      <c r="F681" s="74">
        <v>20</v>
      </c>
      <c r="G681" s="74" t="s">
        <v>5951</v>
      </c>
      <c r="H681" s="74" t="s">
        <v>963</v>
      </c>
      <c r="I681" s="74" t="s">
        <v>1026</v>
      </c>
      <c r="J681" s="75">
        <v>6010240405470</v>
      </c>
      <c r="K681" s="181">
        <v>45589</v>
      </c>
      <c r="L681" s="74"/>
      <c r="M681" s="74"/>
      <c r="N681" s="74"/>
      <c r="O681" s="74"/>
      <c r="P681" s="74"/>
      <c r="Q681" s="74"/>
      <c r="R681" s="74"/>
      <c r="S681" s="74"/>
      <c r="T681" s="74"/>
      <c r="U681" s="74"/>
      <c r="V681" s="74"/>
      <c r="W681" s="74"/>
    </row>
    <row r="682" spans="1:23" x14ac:dyDescent="0.25">
      <c r="A682" s="74">
        <v>125</v>
      </c>
      <c r="B682" s="647" t="s">
        <v>5952</v>
      </c>
      <c r="C682" s="250" t="s">
        <v>5953</v>
      </c>
      <c r="D682" s="74" t="s">
        <v>5705</v>
      </c>
      <c r="E682" s="196">
        <v>1</v>
      </c>
      <c r="F682" s="74">
        <v>20</v>
      </c>
      <c r="G682" s="74" t="s">
        <v>5954</v>
      </c>
      <c r="H682" s="74" t="s">
        <v>963</v>
      </c>
      <c r="I682" s="74" t="s">
        <v>1026</v>
      </c>
      <c r="J682" s="75">
        <v>6010241014711</v>
      </c>
      <c r="K682" s="181">
        <v>45603</v>
      </c>
      <c r="L682" s="74"/>
      <c r="M682" s="74"/>
      <c r="N682" s="74"/>
      <c r="O682" s="74"/>
      <c r="P682" s="74"/>
      <c r="Q682" s="74"/>
      <c r="R682" s="74"/>
      <c r="S682" s="74"/>
      <c r="T682" s="74"/>
      <c r="U682" s="74"/>
      <c r="V682" s="74"/>
      <c r="W682" s="74"/>
    </row>
    <row r="683" spans="1:23" x14ac:dyDescent="0.25">
      <c r="A683" s="74">
        <v>126</v>
      </c>
      <c r="B683" s="647" t="s">
        <v>4760</v>
      </c>
      <c r="C683" s="250" t="s">
        <v>1029</v>
      </c>
      <c r="D683" s="74" t="s">
        <v>4712</v>
      </c>
      <c r="E683" s="196">
        <v>48</v>
      </c>
      <c r="F683" s="74">
        <v>110</v>
      </c>
      <c r="G683" s="74" t="s">
        <v>4713</v>
      </c>
      <c r="H683" s="74" t="s">
        <v>963</v>
      </c>
      <c r="I683" s="74" t="s">
        <v>1026</v>
      </c>
      <c r="J683" s="75">
        <v>6040241006795</v>
      </c>
      <c r="K683" s="181">
        <v>45607</v>
      </c>
      <c r="L683" s="74"/>
      <c r="M683" s="74"/>
      <c r="N683" s="74"/>
      <c r="O683" s="74"/>
      <c r="P683" s="74"/>
      <c r="Q683" s="74"/>
      <c r="R683" s="74"/>
      <c r="S683" s="74"/>
      <c r="T683" s="74"/>
      <c r="U683" s="74"/>
      <c r="V683" s="74"/>
      <c r="W683" s="74"/>
    </row>
    <row r="684" spans="1:23" x14ac:dyDescent="0.25">
      <c r="A684" s="74">
        <v>128</v>
      </c>
      <c r="B684" s="647" t="s">
        <v>5955</v>
      </c>
      <c r="C684" s="250" t="s">
        <v>5956</v>
      </c>
      <c r="D684" s="74" t="s">
        <v>1045</v>
      </c>
      <c r="E684" s="196">
        <v>1.3</v>
      </c>
      <c r="F684" s="74">
        <v>20</v>
      </c>
      <c r="G684" s="74" t="s">
        <v>5957</v>
      </c>
      <c r="H684" s="74" t="s">
        <v>963</v>
      </c>
      <c r="I684" s="74" t="s">
        <v>1026</v>
      </c>
      <c r="J684" s="75">
        <v>6020230124425</v>
      </c>
      <c r="K684" s="181">
        <v>45608</v>
      </c>
      <c r="L684" s="74"/>
      <c r="M684" s="74"/>
      <c r="N684" s="74"/>
      <c r="O684" s="74"/>
      <c r="P684" s="74"/>
      <c r="Q684" s="74"/>
      <c r="R684" s="74"/>
      <c r="S684" s="74"/>
      <c r="T684" s="74"/>
      <c r="U684" s="74"/>
      <c r="V684" s="74"/>
      <c r="W684" s="74"/>
    </row>
    <row r="685" spans="1:23" x14ac:dyDescent="0.25">
      <c r="A685" s="74">
        <v>129</v>
      </c>
      <c r="B685" s="647" t="s">
        <v>5958</v>
      </c>
      <c r="C685" s="250" t="s">
        <v>5959</v>
      </c>
      <c r="D685" s="74" t="s">
        <v>4712</v>
      </c>
      <c r="E685" s="196">
        <v>2.93</v>
      </c>
      <c r="F685" s="74">
        <v>20</v>
      </c>
      <c r="G685" s="74" t="s">
        <v>5960</v>
      </c>
      <c r="H685" s="74" t="s">
        <v>963</v>
      </c>
      <c r="I685" s="74" t="s">
        <v>1026</v>
      </c>
      <c r="J685" s="75">
        <v>6040230416605</v>
      </c>
      <c r="K685" s="181">
        <v>45582</v>
      </c>
      <c r="L685" s="74"/>
      <c r="M685" s="74"/>
      <c r="N685" s="74"/>
      <c r="O685" s="74"/>
      <c r="P685" s="74"/>
      <c r="Q685" s="74"/>
      <c r="R685" s="74"/>
      <c r="S685" s="74"/>
      <c r="T685" s="74"/>
      <c r="U685" s="74"/>
      <c r="V685" s="74"/>
      <c r="W685" s="74"/>
    </row>
    <row r="686" spans="1:23" x14ac:dyDescent="0.25">
      <c r="A686" s="74">
        <v>130</v>
      </c>
      <c r="B686" s="647" t="s">
        <v>5961</v>
      </c>
      <c r="C686" s="250" t="s">
        <v>5962</v>
      </c>
      <c r="D686" s="74" t="s">
        <v>1029</v>
      </c>
      <c r="E686" s="196">
        <v>4.3</v>
      </c>
      <c r="F686" s="74">
        <v>20</v>
      </c>
      <c r="G686" s="74" t="s">
        <v>5963</v>
      </c>
      <c r="H686" s="74" t="s">
        <v>963</v>
      </c>
      <c r="I686" s="74" t="s">
        <v>1026</v>
      </c>
      <c r="J686" s="75">
        <v>6040230517356</v>
      </c>
      <c r="K686" s="181">
        <v>45615</v>
      </c>
      <c r="L686" s="74"/>
      <c r="M686" s="74"/>
      <c r="N686" s="74"/>
      <c r="O686" s="74"/>
      <c r="P686" s="74"/>
      <c r="Q686" s="74"/>
      <c r="R686" s="74"/>
      <c r="S686" s="74"/>
      <c r="T686" s="74"/>
      <c r="U686" s="74"/>
      <c r="V686" s="74"/>
      <c r="W686" s="74"/>
    </row>
    <row r="687" spans="1:23" x14ac:dyDescent="0.25">
      <c r="A687" s="74">
        <v>131</v>
      </c>
      <c r="B687" s="647" t="s">
        <v>5964</v>
      </c>
      <c r="C687" s="250" t="s">
        <v>5953</v>
      </c>
      <c r="D687" s="74" t="s">
        <v>5705</v>
      </c>
      <c r="E687" s="196">
        <v>2.35</v>
      </c>
      <c r="F687" s="74">
        <v>10</v>
      </c>
      <c r="G687" s="74" t="s">
        <v>5005</v>
      </c>
      <c r="H687" s="74" t="s">
        <v>4045</v>
      </c>
      <c r="I687" s="74" t="s">
        <v>1026</v>
      </c>
      <c r="J687" s="75">
        <v>6010240912886</v>
      </c>
      <c r="K687" s="181">
        <v>45547</v>
      </c>
      <c r="L687" s="74" t="s">
        <v>5965</v>
      </c>
      <c r="M687" s="181">
        <v>45566</v>
      </c>
      <c r="N687" s="74"/>
      <c r="O687" s="74"/>
      <c r="P687" s="74"/>
      <c r="Q687" s="74"/>
      <c r="R687" s="74"/>
      <c r="S687" s="74"/>
      <c r="T687" s="74"/>
      <c r="U687" s="74"/>
      <c r="V687" s="74"/>
      <c r="W687" s="74"/>
    </row>
    <row r="688" spans="1:23" x14ac:dyDescent="0.25">
      <c r="A688" s="74">
        <v>132</v>
      </c>
      <c r="B688" s="647" t="s">
        <v>3922</v>
      </c>
      <c r="C688" s="250" t="s">
        <v>5966</v>
      </c>
      <c r="D688" s="74" t="s">
        <v>1039</v>
      </c>
      <c r="E688" s="74">
        <v>4.5</v>
      </c>
      <c r="F688" s="74">
        <v>20</v>
      </c>
      <c r="G688" s="74" t="s">
        <v>3923</v>
      </c>
      <c r="H688" s="74" t="s">
        <v>963</v>
      </c>
      <c r="I688" s="74" t="s">
        <v>1026</v>
      </c>
      <c r="J688" s="75">
        <v>6010220728019</v>
      </c>
      <c r="K688" s="181">
        <v>45245</v>
      </c>
      <c r="L688" s="74" t="s">
        <v>5967</v>
      </c>
      <c r="M688" s="181">
        <v>45611</v>
      </c>
      <c r="N688" s="74"/>
      <c r="O688" s="74"/>
      <c r="P688" s="74"/>
      <c r="Q688" s="74"/>
      <c r="R688" s="74"/>
      <c r="S688" s="74"/>
      <c r="T688" s="74"/>
      <c r="U688" s="74"/>
      <c r="V688" s="74"/>
      <c r="W688" s="74"/>
    </row>
    <row r="689" spans="1:23" x14ac:dyDescent="0.25">
      <c r="A689" s="74">
        <v>133</v>
      </c>
      <c r="B689" s="647" t="s">
        <v>5968</v>
      </c>
      <c r="C689" s="250" t="s">
        <v>3274</v>
      </c>
      <c r="D689" s="74" t="s">
        <v>1039</v>
      </c>
      <c r="E689" s="74">
        <v>5</v>
      </c>
      <c r="F689" s="74">
        <v>20</v>
      </c>
      <c r="G689" s="74" t="s">
        <v>5969</v>
      </c>
      <c r="H689" s="74" t="s">
        <v>963</v>
      </c>
      <c r="I689" s="74" t="s">
        <v>1026</v>
      </c>
      <c r="J689" s="75">
        <v>6010230443481</v>
      </c>
      <c r="K689" s="181">
        <v>45253</v>
      </c>
      <c r="L689" s="74" t="s">
        <v>5970</v>
      </c>
      <c r="M689" s="181">
        <v>45616</v>
      </c>
      <c r="N689" s="74"/>
      <c r="O689" s="74"/>
      <c r="P689" s="74"/>
      <c r="Q689" s="74"/>
      <c r="R689" s="74"/>
      <c r="S689" s="74"/>
      <c r="T689" s="74"/>
      <c r="U689" s="74"/>
      <c r="V689" s="74"/>
      <c r="W689" s="74"/>
    </row>
    <row r="690" spans="1:23" ht="15.75" thickBot="1" x14ac:dyDescent="0.3">
      <c r="B690" s="461"/>
      <c r="C690" s="461"/>
      <c r="D690" s="461"/>
      <c r="E690" s="461"/>
      <c r="F690" s="461"/>
      <c r="G690" s="461"/>
      <c r="H690" s="461"/>
      <c r="I690" s="461"/>
      <c r="J690" s="462"/>
      <c r="K690" s="465"/>
      <c r="L690" s="469"/>
      <c r="M690" s="465"/>
      <c r="N690" s="461"/>
      <c r="O690" s="461"/>
      <c r="P690" s="461"/>
      <c r="Q690" s="461"/>
      <c r="R690" s="461"/>
      <c r="S690" s="461"/>
      <c r="T690" s="461"/>
      <c r="U690" s="461"/>
      <c r="V690" s="461"/>
      <c r="W690" s="461"/>
    </row>
    <row r="691" spans="1:23" x14ac:dyDescent="0.25">
      <c r="A691" s="31">
        <v>1</v>
      </c>
      <c r="B691" s="31" t="s">
        <v>1086</v>
      </c>
      <c r="C691" s="31" t="s">
        <v>1087</v>
      </c>
      <c r="D691" s="31" t="s">
        <v>1085</v>
      </c>
      <c r="E691" s="31">
        <v>49.35</v>
      </c>
      <c r="F691" s="31">
        <v>110</v>
      </c>
      <c r="G691" s="31" t="s">
        <v>1088</v>
      </c>
      <c r="H691" s="31" t="s">
        <v>1089</v>
      </c>
      <c r="I691" s="31" t="s">
        <v>1075</v>
      </c>
      <c r="J691" s="81">
        <v>7030210503872</v>
      </c>
      <c r="K691" s="82">
        <v>44491</v>
      </c>
      <c r="L691" s="583" t="s">
        <v>4049</v>
      </c>
      <c r="M691" s="584">
        <v>44853</v>
      </c>
      <c r="N691" s="31"/>
      <c r="O691" s="31" t="s">
        <v>25</v>
      </c>
      <c r="P691" s="31" t="s">
        <v>25</v>
      </c>
      <c r="Q691" s="31" t="s">
        <v>25</v>
      </c>
      <c r="R691" s="31"/>
      <c r="S691" s="31"/>
      <c r="T691" s="31"/>
      <c r="U691" s="31"/>
      <c r="V691" s="31">
        <v>49.35</v>
      </c>
      <c r="W691" s="90"/>
    </row>
    <row r="692" spans="1:23" x14ac:dyDescent="0.25">
      <c r="A692" s="31">
        <v>2</v>
      </c>
      <c r="B692" s="31" t="s">
        <v>1091</v>
      </c>
      <c r="C692" s="31" t="s">
        <v>1092</v>
      </c>
      <c r="D692" s="31" t="s">
        <v>1085</v>
      </c>
      <c r="E692" s="31">
        <v>4.7</v>
      </c>
      <c r="F692" s="31">
        <v>20</v>
      </c>
      <c r="G692" s="31" t="s">
        <v>1093</v>
      </c>
      <c r="H692" s="31" t="s">
        <v>1094</v>
      </c>
      <c r="I692" s="31" t="s">
        <v>1075</v>
      </c>
      <c r="J692" s="81">
        <v>7030210908310</v>
      </c>
      <c r="K692" s="82">
        <v>44594</v>
      </c>
      <c r="L692" s="583" t="s">
        <v>4084</v>
      </c>
      <c r="M692" s="584">
        <v>44923</v>
      </c>
      <c r="N692" s="31"/>
      <c r="O692" s="31" t="s">
        <v>25</v>
      </c>
      <c r="P692" s="31" t="s">
        <v>25</v>
      </c>
      <c r="Q692" s="31" t="s">
        <v>25</v>
      </c>
      <c r="R692" s="31"/>
      <c r="S692" s="31"/>
      <c r="T692" s="31"/>
      <c r="U692" s="31"/>
      <c r="V692" s="31">
        <v>4.7</v>
      </c>
      <c r="W692" s="91"/>
    </row>
    <row r="693" spans="1:23" x14ac:dyDescent="0.25">
      <c r="A693" s="31">
        <v>3</v>
      </c>
      <c r="B693" s="31" t="s">
        <v>1103</v>
      </c>
      <c r="C693" s="31" t="s">
        <v>1104</v>
      </c>
      <c r="D693" s="31" t="s">
        <v>1105</v>
      </c>
      <c r="E693" s="31">
        <v>70.349999999999994</v>
      </c>
      <c r="F693" s="31">
        <v>110</v>
      </c>
      <c r="G693" s="31" t="s">
        <v>1106</v>
      </c>
      <c r="H693" s="31" t="s">
        <v>1107</v>
      </c>
      <c r="I693" s="31" t="s">
        <v>1075</v>
      </c>
      <c r="J693" s="81">
        <v>701020244587</v>
      </c>
      <c r="K693" s="82" t="s">
        <v>1014</v>
      </c>
      <c r="L693" s="31">
        <v>5747</v>
      </c>
      <c r="M693" s="82">
        <v>44453</v>
      </c>
      <c r="N693" s="31"/>
      <c r="O693" s="31" t="s">
        <v>25</v>
      </c>
      <c r="P693" s="31" t="s">
        <v>25</v>
      </c>
      <c r="Q693" s="31" t="s">
        <v>25</v>
      </c>
      <c r="R693" s="31"/>
      <c r="S693" s="31"/>
      <c r="T693" s="31"/>
      <c r="U693" s="31"/>
      <c r="V693" s="31">
        <v>70.349999999999994</v>
      </c>
      <c r="W693" s="91"/>
    </row>
    <row r="694" spans="1:23" x14ac:dyDescent="0.25">
      <c r="A694" s="31">
        <v>4</v>
      </c>
      <c r="B694" s="31" t="s">
        <v>1337</v>
      </c>
      <c r="C694" s="31" t="s">
        <v>1338</v>
      </c>
      <c r="D694" s="31" t="s">
        <v>1085</v>
      </c>
      <c r="E694" s="31">
        <v>9.9700000000000006</v>
      </c>
      <c r="F694" s="31">
        <v>20</v>
      </c>
      <c r="G694" s="31" t="s">
        <v>1339</v>
      </c>
      <c r="H694" s="31" t="s">
        <v>1340</v>
      </c>
      <c r="I694" s="31" t="s">
        <v>1075</v>
      </c>
      <c r="J694" s="81">
        <v>7030211210127</v>
      </c>
      <c r="K694" s="82">
        <v>44679</v>
      </c>
      <c r="L694" s="182"/>
      <c r="M694" s="82"/>
      <c r="N694" s="31"/>
      <c r="O694" s="31" t="s">
        <v>25</v>
      </c>
      <c r="P694" s="31" t="s">
        <v>25</v>
      </c>
      <c r="Q694" s="31" t="s">
        <v>25</v>
      </c>
      <c r="R694" s="31"/>
      <c r="S694" s="31"/>
      <c r="T694" s="31"/>
      <c r="U694" s="31"/>
      <c r="V694" s="31">
        <v>9.9700000000000006</v>
      </c>
      <c r="W694" s="31"/>
    </row>
    <row r="695" spans="1:23" x14ac:dyDescent="0.25">
      <c r="A695" s="31">
        <v>5</v>
      </c>
      <c r="B695" s="31" t="s">
        <v>1183</v>
      </c>
      <c r="C695" s="31" t="s">
        <v>1184</v>
      </c>
      <c r="D695" s="31" t="s">
        <v>1085</v>
      </c>
      <c r="E695" s="31">
        <v>1.7</v>
      </c>
      <c r="F695" s="31">
        <v>20</v>
      </c>
      <c r="G695" s="31" t="s">
        <v>1185</v>
      </c>
      <c r="H695" s="31" t="s">
        <v>1186</v>
      </c>
      <c r="I695" s="31" t="s">
        <v>1075</v>
      </c>
      <c r="J695" s="81">
        <v>7030220110848</v>
      </c>
      <c r="K695" s="82">
        <v>44692</v>
      </c>
      <c r="L695" s="583" t="s">
        <v>4050</v>
      </c>
      <c r="M695" s="584">
        <v>45029</v>
      </c>
      <c r="N695" s="31"/>
      <c r="O695" s="31" t="s">
        <v>25</v>
      </c>
      <c r="P695" s="31" t="s">
        <v>25</v>
      </c>
      <c r="Q695" s="31" t="s">
        <v>25</v>
      </c>
      <c r="R695" s="31"/>
      <c r="S695" s="31"/>
      <c r="T695" s="31"/>
      <c r="U695" s="31"/>
      <c r="V695" s="31">
        <v>1.7</v>
      </c>
      <c r="W695" s="31"/>
    </row>
    <row r="696" spans="1:23" x14ac:dyDescent="0.25">
      <c r="A696" s="31">
        <v>6</v>
      </c>
      <c r="B696" s="31" t="s">
        <v>1341</v>
      </c>
      <c r="C696" s="31" t="s">
        <v>1342</v>
      </c>
      <c r="D696" s="31" t="s">
        <v>1085</v>
      </c>
      <c r="E696" s="31">
        <v>4.5</v>
      </c>
      <c r="F696" s="31">
        <v>20</v>
      </c>
      <c r="G696" s="31" t="s">
        <v>1343</v>
      </c>
      <c r="H696" s="31" t="s">
        <v>1344</v>
      </c>
      <c r="I696" s="31" t="s">
        <v>1075</v>
      </c>
      <c r="J696" s="81">
        <v>7030220211622</v>
      </c>
      <c r="K696" s="82">
        <v>44727</v>
      </c>
      <c r="L696" s="583" t="s">
        <v>4051</v>
      </c>
      <c r="M696" s="584">
        <v>45021</v>
      </c>
      <c r="N696" s="31"/>
      <c r="O696" s="31" t="s">
        <v>25</v>
      </c>
      <c r="P696" s="31" t="s">
        <v>25</v>
      </c>
      <c r="Q696" s="31" t="s">
        <v>25</v>
      </c>
      <c r="R696" s="31"/>
      <c r="S696" s="31"/>
      <c r="T696" s="31"/>
      <c r="U696" s="31"/>
      <c r="V696" s="31">
        <v>4.5</v>
      </c>
      <c r="W696" s="31"/>
    </row>
    <row r="697" spans="1:23" x14ac:dyDescent="0.25">
      <c r="A697" s="31">
        <v>7</v>
      </c>
      <c r="B697" s="31" t="s">
        <v>1347</v>
      </c>
      <c r="C697" s="31" t="s">
        <v>1348</v>
      </c>
      <c r="D697" s="31" t="s">
        <v>1080</v>
      </c>
      <c r="E697" s="31">
        <v>3.5</v>
      </c>
      <c r="F697" s="31">
        <v>20</v>
      </c>
      <c r="G697" s="31" t="s">
        <v>1349</v>
      </c>
      <c r="H697" s="31" t="s">
        <v>1350</v>
      </c>
      <c r="I697" s="31" t="s">
        <v>1075</v>
      </c>
      <c r="J697" s="81">
        <v>7040220611030</v>
      </c>
      <c r="K697" s="82" t="s">
        <v>1329</v>
      </c>
      <c r="L697" s="583" t="s">
        <v>4052</v>
      </c>
      <c r="M697" s="584">
        <v>45027</v>
      </c>
      <c r="N697" s="31"/>
      <c r="O697" s="31" t="s">
        <v>25</v>
      </c>
      <c r="P697" s="31" t="s">
        <v>25</v>
      </c>
      <c r="Q697" s="31" t="s">
        <v>25</v>
      </c>
      <c r="R697" s="31"/>
      <c r="S697" s="31"/>
      <c r="T697" s="31"/>
      <c r="U697" s="31"/>
      <c r="V697" s="31">
        <v>3.5</v>
      </c>
      <c r="W697" s="31"/>
    </row>
    <row r="698" spans="1:23" x14ac:dyDescent="0.25">
      <c r="A698" s="31">
        <v>8</v>
      </c>
      <c r="B698" s="31" t="s">
        <v>1347</v>
      </c>
      <c r="C698" s="31" t="s">
        <v>1351</v>
      </c>
      <c r="D698" s="31" t="s">
        <v>1080</v>
      </c>
      <c r="E698" s="31">
        <v>3.5</v>
      </c>
      <c r="F698" s="31">
        <v>20</v>
      </c>
      <c r="G698" s="31" t="s">
        <v>1349</v>
      </c>
      <c r="H698" s="31" t="s">
        <v>1352</v>
      </c>
      <c r="I698" s="31" t="s">
        <v>1075</v>
      </c>
      <c r="J698" s="81">
        <v>7040220611032</v>
      </c>
      <c r="K698" s="82" t="s">
        <v>1329</v>
      </c>
      <c r="L698" s="583" t="s">
        <v>4053</v>
      </c>
      <c r="M698" s="584">
        <v>45027</v>
      </c>
      <c r="N698" s="31"/>
      <c r="O698" s="31" t="s">
        <v>25</v>
      </c>
      <c r="P698" s="31" t="s">
        <v>25</v>
      </c>
      <c r="Q698" s="31" t="s">
        <v>25</v>
      </c>
      <c r="R698" s="31"/>
      <c r="S698" s="31"/>
      <c r="T698" s="31"/>
      <c r="U698" s="31"/>
      <c r="V698" s="31">
        <v>3.5</v>
      </c>
      <c r="W698" s="31"/>
    </row>
    <row r="699" spans="1:23" x14ac:dyDescent="0.25">
      <c r="A699" s="31">
        <v>9</v>
      </c>
      <c r="B699" s="31" t="s">
        <v>2989</v>
      </c>
      <c r="C699" s="31" t="s">
        <v>2990</v>
      </c>
      <c r="D699" s="31" t="s">
        <v>1085</v>
      </c>
      <c r="E699" s="182">
        <v>1.26</v>
      </c>
      <c r="F699" s="81">
        <v>20</v>
      </c>
      <c r="G699" s="31" t="s">
        <v>2991</v>
      </c>
      <c r="H699" s="31" t="s">
        <v>2992</v>
      </c>
      <c r="I699" s="31" t="s">
        <v>1075</v>
      </c>
      <c r="J699" s="81">
        <v>7030220211666</v>
      </c>
      <c r="K699" s="353" t="s">
        <v>2993</v>
      </c>
      <c r="L699" s="31" t="s">
        <v>2994</v>
      </c>
      <c r="M699" s="82">
        <v>45064</v>
      </c>
      <c r="N699" s="31"/>
      <c r="O699" s="31" t="s">
        <v>25</v>
      </c>
      <c r="P699" s="31" t="s">
        <v>25</v>
      </c>
      <c r="Q699" s="31" t="s">
        <v>25</v>
      </c>
      <c r="R699" s="31"/>
      <c r="S699" s="31"/>
      <c r="T699" s="31"/>
      <c r="U699" s="31"/>
      <c r="V699" s="354">
        <v>1.26</v>
      </c>
      <c r="W699" s="31"/>
    </row>
    <row r="700" spans="1:23" x14ac:dyDescent="0.25">
      <c r="A700" s="31">
        <v>10</v>
      </c>
      <c r="B700" s="31" t="s">
        <v>1700</v>
      </c>
      <c r="C700" s="31" t="s">
        <v>1090</v>
      </c>
      <c r="D700" s="31" t="s">
        <v>1090</v>
      </c>
      <c r="E700" s="31">
        <v>18.260000000000002</v>
      </c>
      <c r="F700" s="31">
        <v>110</v>
      </c>
      <c r="G700" s="31" t="s">
        <v>1701</v>
      </c>
      <c r="H700" s="31" t="s">
        <v>964</v>
      </c>
      <c r="I700" s="31" t="s">
        <v>1075</v>
      </c>
      <c r="J700" s="81">
        <v>7010220721457</v>
      </c>
      <c r="K700" s="82">
        <v>44803</v>
      </c>
      <c r="L700" s="583" t="s">
        <v>4054</v>
      </c>
      <c r="M700" s="584">
        <v>44867</v>
      </c>
      <c r="N700" s="31"/>
      <c r="O700" s="31" t="s">
        <v>25</v>
      </c>
      <c r="P700" s="31" t="s">
        <v>25</v>
      </c>
      <c r="Q700" s="31" t="s">
        <v>25</v>
      </c>
      <c r="R700" s="31"/>
      <c r="S700" s="31"/>
      <c r="T700" s="31"/>
      <c r="U700" s="31"/>
      <c r="V700" s="31">
        <v>18.260000000000002</v>
      </c>
      <c r="W700" s="31"/>
    </row>
    <row r="701" spans="1:23" x14ac:dyDescent="0.25">
      <c r="A701" s="31">
        <v>11</v>
      </c>
      <c r="B701" s="91" t="s">
        <v>1832</v>
      </c>
      <c r="C701" s="91" t="s">
        <v>1833</v>
      </c>
      <c r="D701" s="91" t="s">
        <v>1100</v>
      </c>
      <c r="E701" s="91">
        <v>2.1</v>
      </c>
      <c r="F701" s="91">
        <v>20</v>
      </c>
      <c r="G701" s="91" t="s">
        <v>1834</v>
      </c>
      <c r="H701" s="91" t="s">
        <v>1835</v>
      </c>
      <c r="I701" s="91" t="s">
        <v>1075</v>
      </c>
      <c r="J701" s="563">
        <v>7050220506008</v>
      </c>
      <c r="K701" s="188">
        <v>44825</v>
      </c>
      <c r="L701" s="583" t="s">
        <v>4055</v>
      </c>
      <c r="M701" s="584">
        <v>44847</v>
      </c>
      <c r="N701" s="91"/>
      <c r="O701" s="91" t="s">
        <v>25</v>
      </c>
      <c r="P701" s="91" t="s">
        <v>25</v>
      </c>
      <c r="Q701" s="91" t="s">
        <v>25</v>
      </c>
      <c r="R701" s="91"/>
      <c r="S701" s="91"/>
      <c r="T701" s="91"/>
      <c r="U701" s="91"/>
      <c r="V701" s="91">
        <v>2.1</v>
      </c>
      <c r="W701" s="91"/>
    </row>
    <row r="702" spans="1:23" x14ac:dyDescent="0.25">
      <c r="A702" s="31">
        <v>12</v>
      </c>
      <c r="B702" s="91" t="s">
        <v>1868</v>
      </c>
      <c r="C702" s="91" t="s">
        <v>1869</v>
      </c>
      <c r="D702" s="91" t="s">
        <v>1085</v>
      </c>
      <c r="E702" s="91">
        <v>49.95</v>
      </c>
      <c r="F702" s="91">
        <v>110</v>
      </c>
      <c r="G702" s="91" t="s">
        <v>1870</v>
      </c>
      <c r="H702" s="91" t="s">
        <v>1871</v>
      </c>
      <c r="I702" s="91" t="s">
        <v>1075</v>
      </c>
      <c r="J702" s="563">
        <v>7030220111130</v>
      </c>
      <c r="K702" s="188">
        <v>44844</v>
      </c>
      <c r="L702" s="583" t="s">
        <v>4056</v>
      </c>
      <c r="M702" s="584">
        <v>45198</v>
      </c>
      <c r="N702" s="91"/>
      <c r="O702" s="91" t="s">
        <v>25</v>
      </c>
      <c r="P702" s="91" t="s">
        <v>25</v>
      </c>
      <c r="Q702" s="91" t="s">
        <v>25</v>
      </c>
      <c r="R702" s="91"/>
      <c r="S702" s="91"/>
      <c r="T702" s="91"/>
      <c r="U702" s="91"/>
      <c r="V702" s="91">
        <v>49.95</v>
      </c>
      <c r="W702" s="91"/>
    </row>
    <row r="703" spans="1:23" x14ac:dyDescent="0.25">
      <c r="A703" s="31">
        <v>13</v>
      </c>
      <c r="B703" s="91" t="s">
        <v>1872</v>
      </c>
      <c r="C703" s="91" t="s">
        <v>1873</v>
      </c>
      <c r="D703" s="91" t="s">
        <v>1085</v>
      </c>
      <c r="E703" s="91">
        <v>49.95</v>
      </c>
      <c r="F703" s="91">
        <v>110</v>
      </c>
      <c r="G703" s="91" t="s">
        <v>1874</v>
      </c>
      <c r="H703" s="91" t="s">
        <v>1875</v>
      </c>
      <c r="I703" s="91" t="s">
        <v>1075</v>
      </c>
      <c r="J703" s="563">
        <v>7030220211243</v>
      </c>
      <c r="K703" s="188">
        <v>44844</v>
      </c>
      <c r="L703" s="583" t="s">
        <v>4057</v>
      </c>
      <c r="M703" s="584">
        <v>45198</v>
      </c>
      <c r="N703" s="91"/>
      <c r="O703" s="91" t="s">
        <v>25</v>
      </c>
      <c r="P703" s="91" t="s">
        <v>25</v>
      </c>
      <c r="Q703" s="91" t="s">
        <v>25</v>
      </c>
      <c r="R703" s="91"/>
      <c r="S703" s="91"/>
      <c r="T703" s="91"/>
      <c r="U703" s="91"/>
      <c r="V703" s="91">
        <v>49.95</v>
      </c>
      <c r="W703" s="91"/>
    </row>
    <row r="704" spans="1:23" x14ac:dyDescent="0.25">
      <c r="A704" s="31">
        <v>14</v>
      </c>
      <c r="B704" s="91" t="s">
        <v>1876</v>
      </c>
      <c r="C704" s="91" t="s">
        <v>1877</v>
      </c>
      <c r="D704" s="91" t="s">
        <v>1072</v>
      </c>
      <c r="E704" s="91">
        <v>1.1399999999999999</v>
      </c>
      <c r="F704" s="91">
        <v>20</v>
      </c>
      <c r="G704" s="91" t="s">
        <v>1878</v>
      </c>
      <c r="H704" s="91" t="s">
        <v>1879</v>
      </c>
      <c r="I704" s="91" t="s">
        <v>1075</v>
      </c>
      <c r="J704" s="563">
        <v>7020220915355</v>
      </c>
      <c r="K704" s="188">
        <v>44834</v>
      </c>
      <c r="L704" s="91" t="s">
        <v>1880</v>
      </c>
      <c r="M704" s="584">
        <v>44844</v>
      </c>
      <c r="N704" s="91"/>
      <c r="O704" s="91" t="s">
        <v>25</v>
      </c>
      <c r="P704" s="91" t="s">
        <v>25</v>
      </c>
      <c r="Q704" s="91" t="s">
        <v>25</v>
      </c>
      <c r="R704" s="91"/>
      <c r="S704" s="91"/>
      <c r="T704" s="91"/>
      <c r="U704" s="91"/>
      <c r="V704" s="91">
        <v>5</v>
      </c>
      <c r="W704" s="91"/>
    </row>
    <row r="705" spans="1:71" x14ac:dyDescent="0.25">
      <c r="A705" s="31">
        <v>15</v>
      </c>
      <c r="B705" s="91" t="s">
        <v>1942</v>
      </c>
      <c r="C705" s="91" t="s">
        <v>1084</v>
      </c>
      <c r="D705" s="91" t="s">
        <v>1085</v>
      </c>
      <c r="E705" s="91">
        <v>9.9469999999999992</v>
      </c>
      <c r="F705" s="91">
        <v>20</v>
      </c>
      <c r="G705" s="91" t="s">
        <v>1943</v>
      </c>
      <c r="H705" s="91" t="s">
        <v>1944</v>
      </c>
      <c r="I705" s="91" t="s">
        <v>1075</v>
      </c>
      <c r="J705" s="563">
        <v>7030210908263</v>
      </c>
      <c r="K705" s="188">
        <v>44831</v>
      </c>
      <c r="L705" s="91"/>
      <c r="M705" s="584"/>
      <c r="N705" s="91"/>
      <c r="O705" s="91" t="s">
        <v>25</v>
      </c>
      <c r="P705" s="91" t="s">
        <v>25</v>
      </c>
      <c r="Q705" s="91" t="s">
        <v>25</v>
      </c>
      <c r="R705" s="91"/>
      <c r="S705" s="91"/>
      <c r="T705" s="91"/>
      <c r="U705" s="91"/>
      <c r="V705" s="91">
        <v>9.9469999999999992</v>
      </c>
      <c r="W705" s="91"/>
    </row>
    <row r="706" spans="1:71" s="84" customFormat="1" ht="12.75" x14ac:dyDescent="0.2">
      <c r="A706" s="31">
        <v>16</v>
      </c>
      <c r="B706" s="91" t="s">
        <v>1945</v>
      </c>
      <c r="C706" s="91" t="s">
        <v>1132</v>
      </c>
      <c r="D706" s="91" t="s">
        <v>1072</v>
      </c>
      <c r="E706" s="91">
        <v>2.2000000000000002</v>
      </c>
      <c r="F706" s="91">
        <v>20</v>
      </c>
      <c r="G706" s="91" t="s">
        <v>1946</v>
      </c>
      <c r="H706" s="91" t="s">
        <v>1947</v>
      </c>
      <c r="I706" s="91" t="s">
        <v>1075</v>
      </c>
      <c r="J706" s="563">
        <v>7020210906235</v>
      </c>
      <c r="K706" s="188">
        <v>44827</v>
      </c>
      <c r="L706" s="91"/>
      <c r="M706" s="584"/>
      <c r="N706" s="91"/>
      <c r="O706" s="91" t="s">
        <v>25</v>
      </c>
      <c r="P706" s="91" t="s">
        <v>25</v>
      </c>
      <c r="Q706" s="91" t="s">
        <v>25</v>
      </c>
      <c r="R706" s="91"/>
      <c r="S706" s="91"/>
      <c r="T706" s="91"/>
      <c r="U706" s="91"/>
      <c r="V706" s="91">
        <v>2.2000000000000002</v>
      </c>
      <c r="W706" s="91"/>
      <c r="X706" s="85"/>
      <c r="Y706" s="85"/>
      <c r="Z706" s="88"/>
      <c r="AA706" s="85"/>
      <c r="AB706" s="85"/>
      <c r="AC706" s="85"/>
      <c r="AD706" s="85"/>
      <c r="AE706" s="85"/>
      <c r="AF706" s="85"/>
      <c r="AG706" s="85"/>
      <c r="AH706" s="85"/>
      <c r="AI706" s="85"/>
      <c r="AJ706" s="85"/>
      <c r="AK706" s="85"/>
      <c r="AL706" s="85"/>
      <c r="AM706" s="85"/>
      <c r="AN706" s="85"/>
      <c r="AO706" s="85"/>
      <c r="AP706" s="85"/>
      <c r="AQ706" s="85"/>
      <c r="AR706" s="85"/>
      <c r="AS706" s="85"/>
      <c r="AT706" s="85"/>
      <c r="AU706" s="85"/>
      <c r="AV706" s="85"/>
      <c r="AW706" s="85"/>
      <c r="AX706" s="85"/>
      <c r="AY706" s="85"/>
      <c r="AZ706" s="85"/>
      <c r="BA706" s="85"/>
      <c r="BB706" s="85"/>
      <c r="BC706" s="85"/>
      <c r="BD706" s="85"/>
      <c r="BE706" s="85"/>
      <c r="BF706" s="85"/>
      <c r="BG706" s="85"/>
      <c r="BH706" s="85"/>
      <c r="BI706" s="85"/>
      <c r="BJ706" s="85"/>
      <c r="BK706" s="85"/>
      <c r="BL706" s="85"/>
      <c r="BM706" s="85"/>
      <c r="BN706" s="85"/>
      <c r="BO706" s="85"/>
      <c r="BP706" s="85"/>
      <c r="BQ706" s="85"/>
      <c r="BR706" s="85"/>
      <c r="BS706" s="85"/>
    </row>
    <row r="707" spans="1:71" s="84" customFormat="1" ht="12.75" x14ac:dyDescent="0.2">
      <c r="A707" s="31">
        <v>17</v>
      </c>
      <c r="B707" s="91" t="s">
        <v>1948</v>
      </c>
      <c r="C707" s="91" t="s">
        <v>1949</v>
      </c>
      <c r="D707" s="91" t="s">
        <v>1085</v>
      </c>
      <c r="E707" s="91">
        <v>2.0259200000000002</v>
      </c>
      <c r="F707" s="91">
        <v>20</v>
      </c>
      <c r="G707" s="91" t="s">
        <v>1950</v>
      </c>
      <c r="H707" s="91" t="s">
        <v>1951</v>
      </c>
      <c r="I707" s="91" t="s">
        <v>1075</v>
      </c>
      <c r="J707" s="563">
        <v>7030220211459</v>
      </c>
      <c r="K707" s="188">
        <v>44834</v>
      </c>
      <c r="L707" s="585" t="s">
        <v>4058</v>
      </c>
      <c r="M707" s="584">
        <v>45189</v>
      </c>
      <c r="N707" s="91"/>
      <c r="O707" s="91" t="s">
        <v>25</v>
      </c>
      <c r="P707" s="91" t="s">
        <v>25</v>
      </c>
      <c r="Q707" s="91" t="s">
        <v>25</v>
      </c>
      <c r="R707" s="91"/>
      <c r="S707" s="91"/>
      <c r="T707" s="91"/>
      <c r="U707" s="91"/>
      <c r="V707" s="91">
        <v>2.0259200000000002</v>
      </c>
      <c r="W707" s="91"/>
      <c r="X707" s="85"/>
      <c r="Y707" s="85"/>
      <c r="Z707" s="88"/>
      <c r="AA707" s="85"/>
      <c r="AB707" s="85"/>
      <c r="AC707" s="85"/>
      <c r="AD707" s="85"/>
      <c r="AE707" s="85"/>
      <c r="AF707" s="85"/>
      <c r="AG707" s="85"/>
      <c r="AH707" s="85"/>
      <c r="AI707" s="85"/>
      <c r="AJ707" s="85"/>
      <c r="AK707" s="85"/>
      <c r="AL707" s="85"/>
      <c r="AM707" s="85"/>
      <c r="AN707" s="85"/>
      <c r="AO707" s="85"/>
      <c r="AP707" s="85"/>
      <c r="AQ707" s="85"/>
      <c r="AR707" s="85"/>
      <c r="AS707" s="85"/>
      <c r="AT707" s="85"/>
      <c r="AU707" s="85"/>
      <c r="AV707" s="85"/>
      <c r="AW707" s="85"/>
      <c r="AX707" s="85"/>
      <c r="AY707" s="85"/>
      <c r="AZ707" s="85"/>
      <c r="BA707" s="85"/>
      <c r="BB707" s="85"/>
      <c r="BC707" s="85"/>
      <c r="BD707" s="85"/>
      <c r="BE707" s="85"/>
      <c r="BF707" s="85"/>
      <c r="BG707" s="85"/>
      <c r="BH707" s="85"/>
      <c r="BI707" s="85"/>
      <c r="BJ707" s="85"/>
      <c r="BK707" s="85"/>
      <c r="BL707" s="85"/>
      <c r="BM707" s="85"/>
      <c r="BN707" s="85"/>
      <c r="BO707" s="85"/>
      <c r="BP707" s="85"/>
      <c r="BQ707" s="85"/>
      <c r="BR707" s="85"/>
      <c r="BS707" s="85"/>
    </row>
    <row r="708" spans="1:71" x14ac:dyDescent="0.25">
      <c r="A708" s="31">
        <v>18</v>
      </c>
      <c r="B708" s="91" t="s">
        <v>1952</v>
      </c>
      <c r="C708" s="91" t="s">
        <v>1953</v>
      </c>
      <c r="D708" s="91" t="s">
        <v>1085</v>
      </c>
      <c r="E708" s="91">
        <v>1.4</v>
      </c>
      <c r="F708" s="91">
        <v>20</v>
      </c>
      <c r="G708" s="91" t="s">
        <v>1954</v>
      </c>
      <c r="H708" s="91" t="s">
        <v>1955</v>
      </c>
      <c r="I708" s="91" t="s">
        <v>1075</v>
      </c>
      <c r="J708" s="563">
        <v>7030220211628</v>
      </c>
      <c r="K708" s="188">
        <v>44735</v>
      </c>
      <c r="L708" s="585" t="s">
        <v>4059</v>
      </c>
      <c r="M708" s="584">
        <v>45096</v>
      </c>
      <c r="N708" s="91"/>
      <c r="O708" s="91" t="s">
        <v>25</v>
      </c>
      <c r="P708" s="91" t="s">
        <v>25</v>
      </c>
      <c r="Q708" s="91" t="s">
        <v>25</v>
      </c>
      <c r="R708" s="91"/>
      <c r="S708" s="91"/>
      <c r="T708" s="91"/>
      <c r="U708" s="91"/>
      <c r="V708" s="91">
        <v>1.4</v>
      </c>
      <c r="W708" s="91"/>
    </row>
    <row r="709" spans="1:71" x14ac:dyDescent="0.25">
      <c r="A709" s="31">
        <v>19</v>
      </c>
      <c r="B709" s="91" t="s">
        <v>1956</v>
      </c>
      <c r="C709" s="91" t="s">
        <v>1957</v>
      </c>
      <c r="D709" s="91" t="s">
        <v>1090</v>
      </c>
      <c r="E709" s="91">
        <v>4.9039999999999999</v>
      </c>
      <c r="F709" s="91">
        <v>20</v>
      </c>
      <c r="G709" s="91" t="s">
        <v>1958</v>
      </c>
      <c r="H709" s="91" t="s">
        <v>1959</v>
      </c>
      <c r="I709" s="91" t="s">
        <v>1075</v>
      </c>
      <c r="J709" s="563">
        <v>7010220619986</v>
      </c>
      <c r="K709" s="188">
        <v>44852</v>
      </c>
      <c r="L709" s="585" t="s">
        <v>4060</v>
      </c>
      <c r="M709" s="584">
        <v>45217</v>
      </c>
      <c r="N709" s="91"/>
      <c r="O709" s="91" t="s">
        <v>25</v>
      </c>
      <c r="P709" s="91" t="s">
        <v>25</v>
      </c>
      <c r="Q709" s="91" t="s">
        <v>25</v>
      </c>
      <c r="R709" s="91"/>
      <c r="S709" s="91"/>
      <c r="T709" s="91"/>
      <c r="U709" s="91"/>
      <c r="V709" s="91">
        <v>4.9039999999999999</v>
      </c>
      <c r="W709" s="91"/>
    </row>
    <row r="710" spans="1:71" x14ac:dyDescent="0.25">
      <c r="A710" s="31">
        <v>20</v>
      </c>
      <c r="B710" s="91" t="s">
        <v>1960</v>
      </c>
      <c r="C710" s="91" t="s">
        <v>1961</v>
      </c>
      <c r="D710" s="91" t="s">
        <v>1072</v>
      </c>
      <c r="E710" s="91">
        <v>2.1</v>
      </c>
      <c r="F710" s="91">
        <v>20</v>
      </c>
      <c r="G710" s="91" t="s">
        <v>1962</v>
      </c>
      <c r="H710" s="91" t="s">
        <v>1963</v>
      </c>
      <c r="I710" s="91" t="s">
        <v>1075</v>
      </c>
      <c r="J710" s="563">
        <v>7020220915050</v>
      </c>
      <c r="K710" s="188">
        <v>44851</v>
      </c>
      <c r="L710" s="583" t="s">
        <v>4061</v>
      </c>
      <c r="M710" s="584">
        <v>44881</v>
      </c>
      <c r="N710" s="91"/>
      <c r="O710" s="91" t="s">
        <v>25</v>
      </c>
      <c r="P710" s="91" t="s">
        <v>25</v>
      </c>
      <c r="Q710" s="91" t="s">
        <v>25</v>
      </c>
      <c r="R710" s="91"/>
      <c r="S710" s="91"/>
      <c r="T710" s="91"/>
      <c r="U710" s="91"/>
      <c r="V710" s="91">
        <v>2.1</v>
      </c>
      <c r="W710" s="91"/>
    </row>
    <row r="711" spans="1:71" x14ac:dyDescent="0.25">
      <c r="A711" s="31">
        <v>21</v>
      </c>
      <c r="B711" s="91" t="s">
        <v>1964</v>
      </c>
      <c r="C711" s="91" t="s">
        <v>1965</v>
      </c>
      <c r="D711" s="91" t="s">
        <v>1085</v>
      </c>
      <c r="E711" s="91">
        <v>4.95</v>
      </c>
      <c r="F711" s="91">
        <v>20</v>
      </c>
      <c r="G711" s="91" t="s">
        <v>1870</v>
      </c>
      <c r="H711" s="91" t="s">
        <v>1966</v>
      </c>
      <c r="I711" s="91" t="s">
        <v>1075</v>
      </c>
      <c r="J711" s="563">
        <v>7030220211323</v>
      </c>
      <c r="K711" s="188">
        <v>44859</v>
      </c>
      <c r="L711" s="585" t="s">
        <v>4062</v>
      </c>
      <c r="M711" s="584">
        <v>45201</v>
      </c>
      <c r="N711" s="91"/>
      <c r="O711" s="91" t="s">
        <v>25</v>
      </c>
      <c r="P711" s="91" t="s">
        <v>25</v>
      </c>
      <c r="Q711" s="91" t="s">
        <v>25</v>
      </c>
      <c r="R711" s="91"/>
      <c r="S711" s="91"/>
      <c r="T711" s="91"/>
      <c r="U711" s="91"/>
      <c r="V711" s="91">
        <v>4.95</v>
      </c>
      <c r="W711" s="91"/>
    </row>
    <row r="712" spans="1:71" x14ac:dyDescent="0.25">
      <c r="A712" s="31">
        <v>22</v>
      </c>
      <c r="B712" s="91" t="s">
        <v>1967</v>
      </c>
      <c r="C712" s="91" t="s">
        <v>1965</v>
      </c>
      <c r="D712" s="91" t="s">
        <v>1085</v>
      </c>
      <c r="E712" s="91">
        <v>4.9000000000000004</v>
      </c>
      <c r="F712" s="91">
        <v>20</v>
      </c>
      <c r="G712" s="91" t="s">
        <v>1870</v>
      </c>
      <c r="H712" s="91" t="s">
        <v>1966</v>
      </c>
      <c r="I712" s="91" t="s">
        <v>1075</v>
      </c>
      <c r="J712" s="563">
        <v>7030220312167</v>
      </c>
      <c r="K712" s="188">
        <v>44859</v>
      </c>
      <c r="L712" s="585" t="s">
        <v>4063</v>
      </c>
      <c r="M712" s="584">
        <v>45201</v>
      </c>
      <c r="N712" s="91"/>
      <c r="O712" s="91" t="s">
        <v>25</v>
      </c>
      <c r="P712" s="91" t="s">
        <v>25</v>
      </c>
      <c r="Q712" s="91" t="s">
        <v>25</v>
      </c>
      <c r="R712" s="91"/>
      <c r="S712" s="91"/>
      <c r="T712" s="91"/>
      <c r="U712" s="91"/>
      <c r="V712" s="91">
        <v>4.9000000000000004</v>
      </c>
      <c r="W712" s="91"/>
    </row>
    <row r="713" spans="1:71" ht="30.75" customHeight="1" x14ac:dyDescent="0.25">
      <c r="A713" s="31">
        <v>23</v>
      </c>
      <c r="B713" s="91" t="s">
        <v>1968</v>
      </c>
      <c r="C713" s="91" t="s">
        <v>1969</v>
      </c>
      <c r="D713" s="91" t="s">
        <v>1085</v>
      </c>
      <c r="E713" s="91">
        <v>49.996000000000002</v>
      </c>
      <c r="F713" s="91">
        <v>110</v>
      </c>
      <c r="G713" s="91" t="s">
        <v>1970</v>
      </c>
      <c r="H713" s="91" t="s">
        <v>963</v>
      </c>
      <c r="I713" s="91" t="s">
        <v>1075</v>
      </c>
      <c r="J713" s="563">
        <v>7030220110994</v>
      </c>
      <c r="K713" s="188">
        <v>44872</v>
      </c>
      <c r="L713" s="585" t="s">
        <v>4064</v>
      </c>
      <c r="M713" s="584">
        <v>45236</v>
      </c>
      <c r="N713" s="91"/>
      <c r="O713" s="91" t="s">
        <v>25</v>
      </c>
      <c r="P713" s="91" t="s">
        <v>25</v>
      </c>
      <c r="Q713" s="91" t="s">
        <v>25</v>
      </c>
      <c r="R713" s="91"/>
      <c r="S713" s="91"/>
      <c r="T713" s="91"/>
      <c r="U713" s="91"/>
      <c r="V713" s="91">
        <v>49.996000000000002</v>
      </c>
      <c r="W713" s="91"/>
    </row>
    <row r="714" spans="1:71" x14ac:dyDescent="0.25">
      <c r="A714" s="31">
        <v>24</v>
      </c>
      <c r="B714" s="91" t="s">
        <v>1971</v>
      </c>
      <c r="C714" s="91" t="s">
        <v>1972</v>
      </c>
      <c r="D714" s="91" t="s">
        <v>1085</v>
      </c>
      <c r="E714" s="91">
        <v>49.996000000000002</v>
      </c>
      <c r="F714" s="91">
        <v>110</v>
      </c>
      <c r="G714" s="91" t="s">
        <v>1973</v>
      </c>
      <c r="H714" s="91" t="s">
        <v>963</v>
      </c>
      <c r="I714" s="91" t="s">
        <v>1075</v>
      </c>
      <c r="J714" s="563">
        <v>7030220111044</v>
      </c>
      <c r="K714" s="188">
        <v>44872</v>
      </c>
      <c r="L714" s="585" t="s">
        <v>4065</v>
      </c>
      <c r="M714" s="584">
        <v>45236</v>
      </c>
      <c r="N714" s="91"/>
      <c r="O714" s="91" t="s">
        <v>25</v>
      </c>
      <c r="P714" s="91" t="s">
        <v>25</v>
      </c>
      <c r="Q714" s="91" t="s">
        <v>25</v>
      </c>
      <c r="R714" s="91"/>
      <c r="S714" s="91"/>
      <c r="T714" s="91"/>
      <c r="U714" s="91"/>
      <c r="V714" s="91">
        <v>49.996000000000002</v>
      </c>
      <c r="W714" s="91"/>
    </row>
    <row r="715" spans="1:71" x14ac:dyDescent="0.25">
      <c r="A715" s="31">
        <v>25</v>
      </c>
      <c r="B715" s="91" t="s">
        <v>1974</v>
      </c>
      <c r="C715" s="91" t="s">
        <v>1975</v>
      </c>
      <c r="D715" s="91" t="s">
        <v>1085</v>
      </c>
      <c r="E715" s="91">
        <v>49.996000000000002</v>
      </c>
      <c r="F715" s="91">
        <v>110</v>
      </c>
      <c r="G715" s="91" t="s">
        <v>1870</v>
      </c>
      <c r="H715" s="91" t="s">
        <v>963</v>
      </c>
      <c r="I715" s="91" t="s">
        <v>1075</v>
      </c>
      <c r="J715" s="563">
        <v>7030220111063</v>
      </c>
      <c r="K715" s="188">
        <v>44866</v>
      </c>
      <c r="L715" s="585" t="s">
        <v>4066</v>
      </c>
      <c r="M715" s="584">
        <v>45231</v>
      </c>
      <c r="N715" s="91"/>
      <c r="O715" s="91" t="s">
        <v>25</v>
      </c>
      <c r="P715" s="91" t="s">
        <v>25</v>
      </c>
      <c r="Q715" s="91" t="s">
        <v>25</v>
      </c>
      <c r="R715" s="91"/>
      <c r="S715" s="91"/>
      <c r="T715" s="91"/>
      <c r="U715" s="91"/>
      <c r="V715" s="91">
        <v>49.996000000000002</v>
      </c>
      <c r="W715" s="91"/>
    </row>
    <row r="716" spans="1:71" x14ac:dyDescent="0.25">
      <c r="A716" s="31">
        <v>26</v>
      </c>
      <c r="B716" s="91" t="s">
        <v>1976</v>
      </c>
      <c r="C716" s="91" t="s">
        <v>1977</v>
      </c>
      <c r="D716" s="91" t="s">
        <v>1085</v>
      </c>
      <c r="E716" s="91">
        <v>49.996000000000002</v>
      </c>
      <c r="F716" s="91">
        <v>110</v>
      </c>
      <c r="G716" s="91" t="s">
        <v>1870</v>
      </c>
      <c r="H716" s="91" t="s">
        <v>963</v>
      </c>
      <c r="I716" s="91" t="s">
        <v>1075</v>
      </c>
      <c r="J716" s="563">
        <v>7030220111132</v>
      </c>
      <c r="K716" s="188">
        <v>44866</v>
      </c>
      <c r="L716" s="585" t="s">
        <v>4067</v>
      </c>
      <c r="M716" s="584">
        <v>45231</v>
      </c>
      <c r="N716" s="91"/>
      <c r="O716" s="91" t="s">
        <v>25</v>
      </c>
      <c r="P716" s="91" t="s">
        <v>25</v>
      </c>
      <c r="Q716" s="91" t="s">
        <v>25</v>
      </c>
      <c r="R716" s="91"/>
      <c r="S716" s="91"/>
      <c r="T716" s="91"/>
      <c r="U716" s="91"/>
      <c r="V716" s="91">
        <v>49.996000000000002</v>
      </c>
      <c r="W716" s="91"/>
    </row>
    <row r="717" spans="1:71" x14ac:dyDescent="0.25">
      <c r="A717" s="31">
        <v>27</v>
      </c>
      <c r="B717" s="91" t="s">
        <v>1337</v>
      </c>
      <c r="C717" s="91" t="s">
        <v>1978</v>
      </c>
      <c r="D717" s="91" t="s">
        <v>1085</v>
      </c>
      <c r="E717" s="91">
        <v>9.9700000000000006</v>
      </c>
      <c r="F717" s="91">
        <v>20</v>
      </c>
      <c r="G717" s="91" t="s">
        <v>1339</v>
      </c>
      <c r="H717" s="91" t="s">
        <v>963</v>
      </c>
      <c r="I717" s="91" t="s">
        <v>1075</v>
      </c>
      <c r="J717" s="563">
        <v>7030221118371</v>
      </c>
      <c r="K717" s="188">
        <v>44873</v>
      </c>
      <c r="L717" s="585" t="s">
        <v>4068</v>
      </c>
      <c r="M717" s="584">
        <v>45216</v>
      </c>
      <c r="N717" s="91"/>
      <c r="O717" s="91" t="s">
        <v>25</v>
      </c>
      <c r="P717" s="91" t="s">
        <v>25</v>
      </c>
      <c r="Q717" s="91" t="s">
        <v>25</v>
      </c>
      <c r="R717" s="91"/>
      <c r="S717" s="91"/>
      <c r="T717" s="91"/>
      <c r="U717" s="91"/>
      <c r="V717" s="91">
        <v>9.9700000000000006</v>
      </c>
      <c r="W717" s="91"/>
    </row>
    <row r="718" spans="1:71" x14ac:dyDescent="0.25">
      <c r="A718" s="31">
        <v>28</v>
      </c>
      <c r="B718" s="91" t="s">
        <v>2019</v>
      </c>
      <c r="C718" s="91" t="s">
        <v>2020</v>
      </c>
      <c r="D718" s="91" t="s">
        <v>1085</v>
      </c>
      <c r="E718" s="91">
        <v>3.44</v>
      </c>
      <c r="F718" s="91">
        <v>20</v>
      </c>
      <c r="G718" s="91" t="s">
        <v>2021</v>
      </c>
      <c r="H718" s="91" t="s">
        <v>963</v>
      </c>
      <c r="I718" s="91" t="s">
        <v>1075</v>
      </c>
      <c r="J718" s="563">
        <v>7030220715237</v>
      </c>
      <c r="K718" s="188">
        <v>44880</v>
      </c>
      <c r="L718" s="91"/>
      <c r="M718" s="584"/>
      <c r="N718" s="91"/>
      <c r="O718" s="91" t="s">
        <v>25</v>
      </c>
      <c r="P718" s="91" t="s">
        <v>25</v>
      </c>
      <c r="Q718" s="91" t="s">
        <v>25</v>
      </c>
      <c r="R718" s="91"/>
      <c r="S718" s="91"/>
      <c r="T718" s="91"/>
      <c r="U718" s="91"/>
      <c r="V718" s="91">
        <v>3.44</v>
      </c>
      <c r="W718" s="91"/>
    </row>
    <row r="719" spans="1:71" x14ac:dyDescent="0.25">
      <c r="A719" s="31">
        <v>29</v>
      </c>
      <c r="B719" s="31" t="s">
        <v>1095</v>
      </c>
      <c r="C719" s="31" t="s">
        <v>1096</v>
      </c>
      <c r="D719" s="31" t="s">
        <v>1085</v>
      </c>
      <c r="E719" s="31">
        <v>4.9000000000000004</v>
      </c>
      <c r="F719" s="31">
        <v>20</v>
      </c>
      <c r="G719" s="31" t="s">
        <v>1097</v>
      </c>
      <c r="H719" s="31" t="s">
        <v>1098</v>
      </c>
      <c r="I719" s="31" t="s">
        <v>1075</v>
      </c>
      <c r="J719" s="81">
        <v>7030210908335</v>
      </c>
      <c r="K719" s="82">
        <v>44581</v>
      </c>
      <c r="L719" s="585" t="s">
        <v>4083</v>
      </c>
      <c r="M719" s="584">
        <v>44925</v>
      </c>
      <c r="N719" s="31"/>
      <c r="O719" s="31" t="s">
        <v>25</v>
      </c>
      <c r="P719" s="31" t="s">
        <v>25</v>
      </c>
      <c r="Q719" s="31" t="s">
        <v>25</v>
      </c>
      <c r="R719" s="31"/>
      <c r="S719" s="31"/>
      <c r="T719" s="31"/>
      <c r="U719" s="31"/>
      <c r="V719" s="31">
        <v>4.7</v>
      </c>
      <c r="W719" s="91"/>
    </row>
    <row r="720" spans="1:71" x14ac:dyDescent="0.25">
      <c r="A720" s="31">
        <v>30</v>
      </c>
      <c r="B720" s="91" t="s">
        <v>2161</v>
      </c>
      <c r="C720" s="91" t="s">
        <v>2162</v>
      </c>
      <c r="D720" s="91" t="s">
        <v>1072</v>
      </c>
      <c r="E720" s="91">
        <v>2.5</v>
      </c>
      <c r="F720" s="91">
        <v>20</v>
      </c>
      <c r="G720" s="91" t="s">
        <v>2163</v>
      </c>
      <c r="H720" s="91" t="s">
        <v>2164</v>
      </c>
      <c r="I720" s="91" t="s">
        <v>1075</v>
      </c>
      <c r="J720" s="563">
        <v>7020220511474</v>
      </c>
      <c r="K720" s="188">
        <v>44937</v>
      </c>
      <c r="L720" s="585" t="s">
        <v>4070</v>
      </c>
      <c r="M720" s="584">
        <v>44992</v>
      </c>
      <c r="N720" s="91"/>
      <c r="O720" s="91" t="s">
        <v>25</v>
      </c>
      <c r="P720" s="91" t="s">
        <v>25</v>
      </c>
      <c r="Q720" s="91" t="s">
        <v>25</v>
      </c>
      <c r="R720" s="91"/>
      <c r="S720" s="91"/>
      <c r="T720" s="91"/>
      <c r="U720" s="91"/>
      <c r="V720" s="91">
        <v>2.5</v>
      </c>
      <c r="W720" s="91"/>
    </row>
    <row r="721" spans="1:56" x14ac:dyDescent="0.25">
      <c r="A721" s="31">
        <v>31</v>
      </c>
      <c r="B721" s="285" t="s">
        <v>2187</v>
      </c>
      <c r="C721" s="281" t="s">
        <v>2188</v>
      </c>
      <c r="D721" s="281" t="s">
        <v>1090</v>
      </c>
      <c r="E721" s="281">
        <v>3.9</v>
      </c>
      <c r="F721" s="281">
        <v>20</v>
      </c>
      <c r="G721" s="281" t="s">
        <v>2189</v>
      </c>
      <c r="H721" s="281" t="s">
        <v>2190</v>
      </c>
      <c r="I721" s="281" t="s">
        <v>1075</v>
      </c>
      <c r="J721" s="302">
        <v>7010220315928</v>
      </c>
      <c r="K721" s="282">
        <v>44939</v>
      </c>
      <c r="L721" s="585" t="s">
        <v>4071</v>
      </c>
      <c r="M721" s="584">
        <v>45077</v>
      </c>
      <c r="N721" s="281"/>
      <c r="O721" s="281" t="s">
        <v>25</v>
      </c>
      <c r="P721" s="281" t="s">
        <v>25</v>
      </c>
      <c r="Q721" s="281" t="s">
        <v>25</v>
      </c>
      <c r="R721" s="281"/>
      <c r="S721" s="281"/>
      <c r="T721" s="281"/>
      <c r="U721" s="281"/>
      <c r="V721" s="281">
        <v>3.9</v>
      </c>
      <c r="W721" s="281"/>
    </row>
    <row r="722" spans="1:56" s="219" customFormat="1" x14ac:dyDescent="0.25">
      <c r="A722" s="31">
        <v>32</v>
      </c>
      <c r="B722" s="285" t="s">
        <v>2191</v>
      </c>
      <c r="C722" s="281" t="s">
        <v>2192</v>
      </c>
      <c r="D722" s="281" t="s">
        <v>1072</v>
      </c>
      <c r="E722" s="281">
        <v>30.274999999999999</v>
      </c>
      <c r="F722" s="281">
        <v>110</v>
      </c>
      <c r="G722" s="281" t="s">
        <v>2193</v>
      </c>
      <c r="H722" s="281" t="s">
        <v>2194</v>
      </c>
      <c r="I722" s="281" t="s">
        <v>1075</v>
      </c>
      <c r="J722" s="302">
        <v>7020220310385</v>
      </c>
      <c r="K722" s="282">
        <v>44938</v>
      </c>
      <c r="L722" s="281"/>
      <c r="M722" s="584"/>
      <c r="N722" s="281"/>
      <c r="O722" s="281" t="s">
        <v>25</v>
      </c>
      <c r="P722" s="281" t="s">
        <v>25</v>
      </c>
      <c r="Q722" s="281" t="s">
        <v>25</v>
      </c>
      <c r="R722" s="281"/>
      <c r="S722" s="281"/>
      <c r="T722" s="281"/>
      <c r="U722" s="281"/>
      <c r="V722" s="281">
        <v>30.274999999999999</v>
      </c>
      <c r="W722" s="281"/>
      <c r="Y722" s="371"/>
    </row>
    <row r="723" spans="1:56" x14ac:dyDescent="0.25">
      <c r="A723" s="31">
        <v>33</v>
      </c>
      <c r="B723" s="285" t="s">
        <v>2201</v>
      </c>
      <c r="C723" s="281" t="s">
        <v>2202</v>
      </c>
      <c r="D723" s="281" t="s">
        <v>1090</v>
      </c>
      <c r="E723" s="281">
        <v>4.9000000000000004</v>
      </c>
      <c r="F723" s="281">
        <v>20</v>
      </c>
      <c r="G723" s="281" t="s">
        <v>2203</v>
      </c>
      <c r="H723" s="281" t="s">
        <v>2204</v>
      </c>
      <c r="I723" s="281" t="s">
        <v>1075</v>
      </c>
      <c r="J723" s="302">
        <v>7010221126666</v>
      </c>
      <c r="K723" s="282">
        <v>44945</v>
      </c>
      <c r="L723" s="281"/>
      <c r="M723" s="584"/>
      <c r="N723" s="281"/>
      <c r="O723" s="281"/>
      <c r="P723" s="281"/>
      <c r="Q723" s="281"/>
      <c r="R723" s="281"/>
      <c r="S723" s="281"/>
      <c r="T723" s="281"/>
      <c r="U723" s="281"/>
      <c r="V723" s="281">
        <v>4.9000000000000004</v>
      </c>
      <c r="W723" s="281"/>
    </row>
    <row r="724" spans="1:56" x14ac:dyDescent="0.25">
      <c r="A724" s="31">
        <v>34</v>
      </c>
      <c r="B724" s="285" t="s">
        <v>2205</v>
      </c>
      <c r="C724" s="281" t="s">
        <v>2206</v>
      </c>
      <c r="D724" s="281" t="s">
        <v>1085</v>
      </c>
      <c r="E724" s="281">
        <v>4.9000000000000004</v>
      </c>
      <c r="F724" s="281">
        <v>20</v>
      </c>
      <c r="G724" s="281" t="s">
        <v>2207</v>
      </c>
      <c r="H724" s="281" t="s">
        <v>2208</v>
      </c>
      <c r="I724" s="281" t="s">
        <v>1075</v>
      </c>
      <c r="J724" s="302">
        <v>7030221118449</v>
      </c>
      <c r="K724" s="282">
        <v>44951</v>
      </c>
      <c r="L724" s="281"/>
      <c r="M724" s="584"/>
      <c r="N724" s="281"/>
      <c r="O724" s="281" t="s">
        <v>2209</v>
      </c>
      <c r="P724" s="281"/>
      <c r="Q724" s="281"/>
      <c r="R724" s="281"/>
      <c r="S724" s="281"/>
      <c r="T724" s="281"/>
      <c r="U724" s="281"/>
      <c r="V724" s="281">
        <v>4.9000000000000004</v>
      </c>
      <c r="W724" s="281"/>
    </row>
    <row r="725" spans="1:56" x14ac:dyDescent="0.25">
      <c r="A725" s="31">
        <v>35</v>
      </c>
      <c r="B725" s="285" t="s">
        <v>2355</v>
      </c>
      <c r="C725" s="285" t="s">
        <v>2356</v>
      </c>
      <c r="D725" s="285" t="s">
        <v>1090</v>
      </c>
      <c r="E725" s="285">
        <v>7.4</v>
      </c>
      <c r="F725" s="285">
        <v>20</v>
      </c>
      <c r="G725" s="285" t="s">
        <v>2357</v>
      </c>
      <c r="H725" s="285" t="s">
        <v>2358</v>
      </c>
      <c r="I725" s="285" t="s">
        <v>1075</v>
      </c>
      <c r="J725" s="564">
        <v>7010220924429</v>
      </c>
      <c r="K725" s="295">
        <v>44979</v>
      </c>
      <c r="L725" s="285"/>
      <c r="M725" s="584"/>
      <c r="N725" s="285"/>
      <c r="O725" s="285" t="s">
        <v>25</v>
      </c>
      <c r="P725" s="285" t="s">
        <v>25</v>
      </c>
      <c r="Q725" s="285" t="s">
        <v>25</v>
      </c>
      <c r="R725" s="285"/>
      <c r="S725" s="285"/>
      <c r="T725" s="285"/>
      <c r="U725" s="285"/>
      <c r="V725" s="285">
        <v>7.4</v>
      </c>
      <c r="W725" s="285"/>
    </row>
    <row r="726" spans="1:56" x14ac:dyDescent="0.25">
      <c r="A726" s="31">
        <v>36</v>
      </c>
      <c r="B726" s="285" t="s">
        <v>2359</v>
      </c>
      <c r="C726" s="285" t="s">
        <v>2360</v>
      </c>
      <c r="D726" s="285" t="s">
        <v>1085</v>
      </c>
      <c r="E726" s="285">
        <v>2.8</v>
      </c>
      <c r="F726" s="285">
        <v>20</v>
      </c>
      <c r="G726" s="285" t="s">
        <v>2361</v>
      </c>
      <c r="H726" s="285" t="s">
        <v>2362</v>
      </c>
      <c r="I726" s="285" t="s">
        <v>1075</v>
      </c>
      <c r="J726" s="564">
        <v>7030220514216</v>
      </c>
      <c r="K726" s="295">
        <v>44973</v>
      </c>
      <c r="L726" s="285"/>
      <c r="M726" s="584"/>
      <c r="N726" s="285"/>
      <c r="O726" s="285" t="s">
        <v>25</v>
      </c>
      <c r="P726" s="285" t="s">
        <v>25</v>
      </c>
      <c r="Q726" s="285" t="s">
        <v>25</v>
      </c>
      <c r="R726" s="285"/>
      <c r="S726" s="285"/>
      <c r="T726" s="285"/>
      <c r="U726" s="285"/>
      <c r="V726" s="285">
        <v>2.8</v>
      </c>
      <c r="W726" s="285"/>
    </row>
    <row r="727" spans="1:56" x14ac:dyDescent="0.25">
      <c r="A727" s="31">
        <v>37</v>
      </c>
      <c r="B727" s="285" t="s">
        <v>2398</v>
      </c>
      <c r="C727" s="281" t="s">
        <v>2399</v>
      </c>
      <c r="D727" s="281" t="s">
        <v>1080</v>
      </c>
      <c r="E727" s="281">
        <v>60.2</v>
      </c>
      <c r="F727" s="281">
        <v>110</v>
      </c>
      <c r="G727" s="281" t="s">
        <v>2400</v>
      </c>
      <c r="H727" s="281" t="s">
        <v>2401</v>
      </c>
      <c r="I727" s="281" t="s">
        <v>1075</v>
      </c>
      <c r="J727" s="302">
        <v>7040221113588</v>
      </c>
      <c r="K727" s="282">
        <v>44985</v>
      </c>
      <c r="L727" s="585" t="s">
        <v>4072</v>
      </c>
      <c r="M727" s="586">
        <v>45141</v>
      </c>
      <c r="N727" s="281"/>
      <c r="O727" s="281" t="s">
        <v>25</v>
      </c>
      <c r="P727" s="281" t="s">
        <v>25</v>
      </c>
      <c r="Q727" s="281" t="s">
        <v>25</v>
      </c>
      <c r="R727" s="281"/>
      <c r="S727" s="281"/>
      <c r="T727" s="281"/>
      <c r="U727" s="281"/>
      <c r="V727" s="281">
        <v>60.2</v>
      </c>
      <c r="W727" s="281"/>
    </row>
    <row r="728" spans="1:56" x14ac:dyDescent="0.25">
      <c r="A728" s="31">
        <v>38</v>
      </c>
      <c r="B728" s="285" t="s">
        <v>2402</v>
      </c>
      <c r="C728" s="281" t="s">
        <v>2403</v>
      </c>
      <c r="D728" s="281" t="s">
        <v>1085</v>
      </c>
      <c r="E728" s="281">
        <v>3.1</v>
      </c>
      <c r="F728" s="281">
        <v>20</v>
      </c>
      <c r="G728" s="281" t="s">
        <v>2404</v>
      </c>
      <c r="H728" s="281" t="s">
        <v>2405</v>
      </c>
      <c r="I728" s="281" t="s">
        <v>1075</v>
      </c>
      <c r="J728" s="302">
        <v>7030220614477</v>
      </c>
      <c r="K728" s="282">
        <v>44992</v>
      </c>
      <c r="L728" s="281"/>
      <c r="M728" s="281"/>
      <c r="N728" s="281"/>
      <c r="O728" s="281" t="s">
        <v>25</v>
      </c>
      <c r="P728" s="281" t="s">
        <v>25</v>
      </c>
      <c r="Q728" s="281" t="s">
        <v>25</v>
      </c>
      <c r="R728" s="281"/>
      <c r="S728" s="281"/>
      <c r="T728" s="281"/>
      <c r="U728" s="281"/>
      <c r="V728" s="281">
        <v>3.1</v>
      </c>
      <c r="W728" s="281"/>
    </row>
    <row r="729" spans="1:56" x14ac:dyDescent="0.25">
      <c r="A729" s="31">
        <v>39</v>
      </c>
      <c r="B729" s="285" t="s">
        <v>2447</v>
      </c>
      <c r="C729" s="281" t="s">
        <v>1029</v>
      </c>
      <c r="D729" s="281" t="s">
        <v>1100</v>
      </c>
      <c r="E729" s="281">
        <v>3.02</v>
      </c>
      <c r="F729" s="281">
        <v>20</v>
      </c>
      <c r="G729" s="281" t="s">
        <v>2448</v>
      </c>
      <c r="H729" s="281" t="s">
        <v>2449</v>
      </c>
      <c r="I729" s="281" t="s">
        <v>1075</v>
      </c>
      <c r="J729" s="302">
        <v>7050220907618</v>
      </c>
      <c r="K729" s="282">
        <v>44993</v>
      </c>
      <c r="L729" s="585" t="s">
        <v>4073</v>
      </c>
      <c r="M729" s="586">
        <v>45138</v>
      </c>
      <c r="N729" s="281"/>
      <c r="O729" s="281" t="s">
        <v>25</v>
      </c>
      <c r="P729" s="281" t="s">
        <v>25</v>
      </c>
      <c r="Q729" s="281" t="s">
        <v>25</v>
      </c>
      <c r="R729" s="281"/>
      <c r="S729" s="281"/>
      <c r="T729" s="281"/>
      <c r="U729" s="281"/>
      <c r="V729" s="281">
        <v>3.02</v>
      </c>
      <c r="W729" s="281"/>
      <c r="Y729" s="102"/>
      <c r="Z729" s="87"/>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c r="BA729" s="70"/>
      <c r="BB729" s="70"/>
      <c r="BC729" s="70"/>
      <c r="BD729" s="70"/>
    </row>
    <row r="730" spans="1:56" x14ac:dyDescent="0.25">
      <c r="A730" s="31">
        <v>40</v>
      </c>
      <c r="B730" s="285" t="s">
        <v>2450</v>
      </c>
      <c r="C730" s="281" t="s">
        <v>1109</v>
      </c>
      <c r="D730" s="281" t="s">
        <v>1090</v>
      </c>
      <c r="E730" s="281">
        <v>6.4</v>
      </c>
      <c r="F730" s="281">
        <v>20</v>
      </c>
      <c r="G730" s="281" t="s">
        <v>2451</v>
      </c>
      <c r="H730" s="281" t="s">
        <v>2452</v>
      </c>
      <c r="I730" s="281" t="s">
        <v>1075</v>
      </c>
      <c r="J730" s="302">
        <v>7010230330910</v>
      </c>
      <c r="K730" s="282">
        <v>44991</v>
      </c>
      <c r="L730" s="281"/>
      <c r="M730" s="281"/>
      <c r="N730" s="281"/>
      <c r="O730" s="281" t="s">
        <v>25</v>
      </c>
      <c r="P730" s="281" t="s">
        <v>25</v>
      </c>
      <c r="Q730" s="281" t="s">
        <v>25</v>
      </c>
      <c r="R730" s="281"/>
      <c r="S730" s="281"/>
      <c r="T730" s="281"/>
      <c r="U730" s="281"/>
      <c r="V730" s="281">
        <v>6.4</v>
      </c>
      <c r="W730" s="281"/>
      <c r="Y730" s="102"/>
      <c r="Z730" s="87"/>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c r="BA730" s="70"/>
      <c r="BB730" s="70"/>
      <c r="BC730" s="70"/>
      <c r="BD730" s="70"/>
    </row>
    <row r="731" spans="1:56" x14ac:dyDescent="0.25">
      <c r="A731" s="31">
        <v>41</v>
      </c>
      <c r="B731" s="285" t="s">
        <v>2523</v>
      </c>
      <c r="C731" s="281" t="s">
        <v>2524</v>
      </c>
      <c r="D731" s="281" t="s">
        <v>1090</v>
      </c>
      <c r="E731" s="281">
        <v>1.5</v>
      </c>
      <c r="F731" s="281">
        <v>20</v>
      </c>
      <c r="G731" s="281" t="s">
        <v>2525</v>
      </c>
      <c r="H731" s="281" t="s">
        <v>964</v>
      </c>
      <c r="I731" s="281" t="s">
        <v>1075</v>
      </c>
      <c r="J731" s="302">
        <v>7010220518381</v>
      </c>
      <c r="K731" s="282">
        <v>45014</v>
      </c>
      <c r="L731" s="281"/>
      <c r="M731" s="281"/>
      <c r="N731" s="281"/>
      <c r="O731" s="281" t="s">
        <v>25</v>
      </c>
      <c r="P731" s="281" t="s">
        <v>25</v>
      </c>
      <c r="Q731" s="281" t="s">
        <v>25</v>
      </c>
      <c r="R731" s="281"/>
      <c r="S731" s="281"/>
      <c r="T731" s="281"/>
      <c r="U731" s="281"/>
      <c r="V731" s="281">
        <v>1.5</v>
      </c>
      <c r="W731" s="281"/>
      <c r="Y731" s="102"/>
      <c r="Z731" s="87"/>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c r="BA731" s="70"/>
      <c r="BB731" s="70"/>
      <c r="BC731" s="70"/>
      <c r="BD731" s="70"/>
    </row>
    <row r="732" spans="1:56" x14ac:dyDescent="0.25">
      <c r="A732" s="31">
        <v>42</v>
      </c>
      <c r="B732" s="285" t="s">
        <v>2526</v>
      </c>
      <c r="C732" s="281" t="s">
        <v>2527</v>
      </c>
      <c r="D732" s="281" t="s">
        <v>1090</v>
      </c>
      <c r="E732" s="281">
        <v>5</v>
      </c>
      <c r="F732" s="281">
        <v>20</v>
      </c>
      <c r="G732" s="281" t="s">
        <v>2528</v>
      </c>
      <c r="H732" s="281" t="s">
        <v>963</v>
      </c>
      <c r="I732" s="281" t="s">
        <v>1075</v>
      </c>
      <c r="J732" s="302">
        <v>7010220720650</v>
      </c>
      <c r="K732" s="282">
        <v>45014</v>
      </c>
      <c r="L732" s="281"/>
      <c r="M732" s="281"/>
      <c r="N732" s="281"/>
      <c r="O732" s="281" t="s">
        <v>25</v>
      </c>
      <c r="P732" s="281" t="s">
        <v>25</v>
      </c>
      <c r="Q732" s="281" t="s">
        <v>25</v>
      </c>
      <c r="R732" s="281"/>
      <c r="S732" s="281"/>
      <c r="T732" s="281"/>
      <c r="U732" s="281"/>
      <c r="V732" s="281">
        <v>5</v>
      </c>
      <c r="W732" s="281"/>
      <c r="Y732" s="102"/>
      <c r="Z732" s="87"/>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c r="BA732" s="70"/>
      <c r="BB732" s="70"/>
      <c r="BC732" s="70"/>
      <c r="BD732" s="70"/>
    </row>
    <row r="733" spans="1:56" x14ac:dyDescent="0.25">
      <c r="A733" s="31">
        <v>43</v>
      </c>
      <c r="B733" s="285" t="s">
        <v>2529</v>
      </c>
      <c r="C733" s="281" t="s">
        <v>2530</v>
      </c>
      <c r="D733" s="281" t="s">
        <v>1072</v>
      </c>
      <c r="E733" s="281">
        <v>1.53</v>
      </c>
      <c r="F733" s="281">
        <v>20</v>
      </c>
      <c r="G733" s="281" t="s">
        <v>2531</v>
      </c>
      <c r="H733" s="281" t="s">
        <v>963</v>
      </c>
      <c r="I733" s="281" t="s">
        <v>1075</v>
      </c>
      <c r="J733" s="302">
        <v>7020220814316</v>
      </c>
      <c r="K733" s="282">
        <v>45021</v>
      </c>
      <c r="L733" s="281"/>
      <c r="M733" s="281"/>
      <c r="N733" s="281"/>
      <c r="O733" s="281" t="s">
        <v>25</v>
      </c>
      <c r="P733" s="281" t="s">
        <v>25</v>
      </c>
      <c r="Q733" s="281" t="s">
        <v>25</v>
      </c>
      <c r="R733" s="281"/>
      <c r="S733" s="281"/>
      <c r="T733" s="281"/>
      <c r="U733" s="281"/>
      <c r="V733" s="281">
        <v>1.53</v>
      </c>
      <c r="W733" s="281"/>
      <c r="Y733" s="102"/>
      <c r="Z733" s="87"/>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c r="BA733" s="70"/>
      <c r="BB733" s="70"/>
      <c r="BC733" s="70"/>
      <c r="BD733" s="70"/>
    </row>
    <row r="734" spans="1:56" x14ac:dyDescent="0.25">
      <c r="A734" s="31">
        <v>44</v>
      </c>
      <c r="B734" s="285" t="s">
        <v>2532</v>
      </c>
      <c r="C734" s="281" t="s">
        <v>1132</v>
      </c>
      <c r="D734" s="281" t="s">
        <v>1072</v>
      </c>
      <c r="E734" s="281">
        <v>2.2000000000000002</v>
      </c>
      <c r="F734" s="281">
        <v>20</v>
      </c>
      <c r="G734" s="281" t="s">
        <v>2533</v>
      </c>
      <c r="H734" s="281" t="s">
        <v>963</v>
      </c>
      <c r="I734" s="281" t="s">
        <v>1075</v>
      </c>
      <c r="J734" s="302">
        <v>7020230319261</v>
      </c>
      <c r="K734" s="282">
        <v>45009</v>
      </c>
      <c r="L734" s="281"/>
      <c r="M734" s="281"/>
      <c r="N734" s="281"/>
      <c r="O734" s="281" t="s">
        <v>25</v>
      </c>
      <c r="P734" s="281" t="s">
        <v>25</v>
      </c>
      <c r="Q734" s="281" t="s">
        <v>25</v>
      </c>
      <c r="R734" s="281"/>
      <c r="S734" s="281"/>
      <c r="T734" s="281"/>
      <c r="U734" s="281"/>
      <c r="V734" s="281">
        <v>2.2000000000000002</v>
      </c>
      <c r="W734" s="281"/>
      <c r="Y734" s="102"/>
      <c r="Z734" s="87"/>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c r="BA734" s="70"/>
      <c r="BB734" s="70"/>
      <c r="BC734" s="70"/>
      <c r="BD734" s="70"/>
    </row>
    <row r="735" spans="1:56" x14ac:dyDescent="0.25">
      <c r="A735" s="31">
        <v>45</v>
      </c>
      <c r="B735" s="285" t="s">
        <v>2587</v>
      </c>
      <c r="C735" s="281" t="s">
        <v>2356</v>
      </c>
      <c r="D735" s="281" t="s">
        <v>1090</v>
      </c>
      <c r="E735" s="301">
        <v>4.3</v>
      </c>
      <c r="F735" s="281">
        <v>20</v>
      </c>
      <c r="G735" s="281" t="s">
        <v>2528</v>
      </c>
      <c r="H735" s="281" t="s">
        <v>964</v>
      </c>
      <c r="I735" s="281" t="s">
        <v>1075</v>
      </c>
      <c r="J735" s="302">
        <v>7010230432825</v>
      </c>
      <c r="K735" s="282">
        <v>45036</v>
      </c>
      <c r="L735" s="281"/>
      <c r="M735" s="281"/>
      <c r="N735" s="281"/>
      <c r="O735" s="281" t="s">
        <v>25</v>
      </c>
      <c r="P735" s="281" t="s">
        <v>25</v>
      </c>
      <c r="Q735" s="281" t="s">
        <v>25</v>
      </c>
      <c r="R735" s="281"/>
      <c r="S735" s="281"/>
      <c r="T735" s="281"/>
      <c r="U735" s="281"/>
      <c r="V735" s="281"/>
      <c r="W735" s="281"/>
      <c r="Y735" s="102"/>
      <c r="Z735" s="87"/>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c r="BA735" s="70"/>
      <c r="BB735" s="70"/>
      <c r="BC735" s="70"/>
      <c r="BD735" s="70"/>
    </row>
    <row r="736" spans="1:56" x14ac:dyDescent="0.25">
      <c r="A736" s="31">
        <v>46</v>
      </c>
      <c r="B736" s="285" t="s">
        <v>2849</v>
      </c>
      <c r="C736" s="281" t="s">
        <v>2850</v>
      </c>
      <c r="D736" s="281" t="s">
        <v>1080</v>
      </c>
      <c r="E736" s="293">
        <v>3.3</v>
      </c>
      <c r="F736" s="281">
        <v>20</v>
      </c>
      <c r="G736" s="281" t="s">
        <v>2851</v>
      </c>
      <c r="H736" s="281" t="s">
        <v>963</v>
      </c>
      <c r="I736" s="281" t="s">
        <v>1075</v>
      </c>
      <c r="J736" s="302">
        <v>7040220610508</v>
      </c>
      <c r="K736" s="282">
        <v>45035</v>
      </c>
      <c r="L736" s="585" t="s">
        <v>4074</v>
      </c>
      <c r="M736" s="586">
        <v>45163</v>
      </c>
      <c r="N736" s="281"/>
      <c r="O736" s="281" t="s">
        <v>25</v>
      </c>
      <c r="P736" s="281" t="s">
        <v>25</v>
      </c>
      <c r="Q736" s="281" t="s">
        <v>25</v>
      </c>
      <c r="R736" s="281"/>
      <c r="S736" s="281"/>
      <c r="T736" s="281"/>
      <c r="U736" s="281"/>
      <c r="V736" s="281"/>
      <c r="W736" s="281"/>
      <c r="Y736" s="102"/>
      <c r="Z736" s="87"/>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c r="BA736" s="70"/>
      <c r="BB736" s="70"/>
      <c r="BC736" s="70"/>
      <c r="BD736" s="70"/>
    </row>
    <row r="737" spans="1:56" x14ac:dyDescent="0.25">
      <c r="A737" s="31">
        <v>47</v>
      </c>
      <c r="B737" s="285" t="s">
        <v>2852</v>
      </c>
      <c r="C737" s="281" t="s">
        <v>2853</v>
      </c>
      <c r="D737" s="281" t="s">
        <v>1085</v>
      </c>
      <c r="E737" s="293">
        <v>3</v>
      </c>
      <c r="F737" s="281">
        <v>20</v>
      </c>
      <c r="G737" s="281" t="s">
        <v>2854</v>
      </c>
      <c r="H737" s="281" t="s">
        <v>963</v>
      </c>
      <c r="I737" s="281" t="s">
        <v>1075</v>
      </c>
      <c r="J737" s="302">
        <v>7030221017630</v>
      </c>
      <c r="K737" s="282">
        <v>45048</v>
      </c>
      <c r="L737" s="583" t="s">
        <v>4075</v>
      </c>
      <c r="M737" s="584">
        <v>45254</v>
      </c>
      <c r="N737" s="281"/>
      <c r="O737" s="281" t="s">
        <v>25</v>
      </c>
      <c r="P737" s="281" t="s">
        <v>25</v>
      </c>
      <c r="Q737" s="281" t="s">
        <v>25</v>
      </c>
      <c r="R737" s="281"/>
      <c r="S737" s="281"/>
      <c r="T737" s="281"/>
      <c r="U737" s="281"/>
      <c r="V737" s="281"/>
      <c r="W737" s="281"/>
      <c r="Y737" s="102"/>
      <c r="Z737" s="87"/>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c r="BA737" s="70"/>
      <c r="BB737" s="70"/>
      <c r="BC737" s="70"/>
      <c r="BD737" s="70"/>
    </row>
    <row r="738" spans="1:56" x14ac:dyDescent="0.25">
      <c r="A738" s="31">
        <v>48</v>
      </c>
      <c r="B738" s="285" t="s">
        <v>2855</v>
      </c>
      <c r="C738" s="281" t="s">
        <v>2856</v>
      </c>
      <c r="D738" s="281" t="s">
        <v>1085</v>
      </c>
      <c r="E738" s="293">
        <v>1.4</v>
      </c>
      <c r="F738" s="281">
        <v>20</v>
      </c>
      <c r="G738" s="281" t="s">
        <v>2857</v>
      </c>
      <c r="H738" s="281" t="s">
        <v>963</v>
      </c>
      <c r="I738" s="281" t="s">
        <v>1075</v>
      </c>
      <c r="J738" s="302">
        <v>7030230119954</v>
      </c>
      <c r="K738" s="282">
        <v>45043</v>
      </c>
      <c r="L738" s="281"/>
      <c r="M738" s="281"/>
      <c r="N738" s="281"/>
      <c r="O738" s="281" t="s">
        <v>25</v>
      </c>
      <c r="P738" s="281" t="s">
        <v>25</v>
      </c>
      <c r="Q738" s="281" t="s">
        <v>25</v>
      </c>
      <c r="R738" s="281"/>
      <c r="S738" s="281"/>
      <c r="T738" s="281"/>
      <c r="U738" s="281"/>
      <c r="V738" s="281"/>
      <c r="W738" s="281"/>
      <c r="Y738" s="102"/>
      <c r="Z738" s="87"/>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c r="BA738" s="70"/>
      <c r="BB738" s="70"/>
      <c r="BC738" s="70"/>
      <c r="BD738" s="70"/>
    </row>
    <row r="739" spans="1:56" x14ac:dyDescent="0.25">
      <c r="A739" s="31">
        <v>49</v>
      </c>
      <c r="B739" s="285" t="s">
        <v>2852</v>
      </c>
      <c r="C739" s="281" t="s">
        <v>2853</v>
      </c>
      <c r="D739" s="281" t="s">
        <v>1085</v>
      </c>
      <c r="E739" s="293">
        <v>3</v>
      </c>
      <c r="F739" s="281">
        <v>20</v>
      </c>
      <c r="G739" s="281" t="s">
        <v>2858</v>
      </c>
      <c r="H739" s="281" t="s">
        <v>963</v>
      </c>
      <c r="I739" s="281" t="s">
        <v>1075</v>
      </c>
      <c r="J739" s="302">
        <v>7030221118206</v>
      </c>
      <c r="K739" s="282">
        <v>45048</v>
      </c>
      <c r="L739" s="585" t="s">
        <v>4076</v>
      </c>
      <c r="M739" s="586">
        <v>45090</v>
      </c>
      <c r="N739" s="281"/>
      <c r="O739" s="281" t="s">
        <v>25</v>
      </c>
      <c r="P739" s="281" t="s">
        <v>25</v>
      </c>
      <c r="Q739" s="281" t="s">
        <v>25</v>
      </c>
      <c r="R739" s="281"/>
      <c r="S739" s="281"/>
      <c r="T739" s="281"/>
      <c r="U739" s="281"/>
      <c r="V739" s="281"/>
      <c r="W739" s="281"/>
    </row>
    <row r="740" spans="1:56" x14ac:dyDescent="0.25">
      <c r="A740" s="31">
        <v>50</v>
      </c>
      <c r="B740" s="285" t="s">
        <v>2859</v>
      </c>
      <c r="C740" s="281" t="s">
        <v>2860</v>
      </c>
      <c r="D740" s="281" t="s">
        <v>1085</v>
      </c>
      <c r="E740" s="293">
        <v>2.75</v>
      </c>
      <c r="F740" s="281">
        <v>20</v>
      </c>
      <c r="G740" s="281" t="s">
        <v>2861</v>
      </c>
      <c r="H740" s="281" t="s">
        <v>963</v>
      </c>
      <c r="I740" s="281" t="s">
        <v>1075</v>
      </c>
      <c r="J740" s="302">
        <v>7030221219012</v>
      </c>
      <c r="K740" s="282">
        <v>45048</v>
      </c>
      <c r="L740" s="585" t="s">
        <v>4077</v>
      </c>
      <c r="M740" s="586">
        <v>45142</v>
      </c>
      <c r="N740" s="281"/>
      <c r="O740" s="281" t="s">
        <v>25</v>
      </c>
      <c r="P740" s="281" t="s">
        <v>25</v>
      </c>
      <c r="Q740" s="281" t="s">
        <v>25</v>
      </c>
      <c r="R740" s="281"/>
      <c r="S740" s="281"/>
      <c r="T740" s="281"/>
      <c r="U740" s="281"/>
      <c r="V740" s="281"/>
      <c r="W740" s="281"/>
    </row>
    <row r="741" spans="1:56" x14ac:dyDescent="0.25">
      <c r="A741" s="31">
        <v>51</v>
      </c>
      <c r="B741" s="285" t="s">
        <v>2852</v>
      </c>
      <c r="C741" s="281" t="s">
        <v>2860</v>
      </c>
      <c r="D741" s="281" t="s">
        <v>1085</v>
      </c>
      <c r="E741" s="293">
        <v>2.4</v>
      </c>
      <c r="F741" s="281">
        <v>20</v>
      </c>
      <c r="G741" s="281" t="s">
        <v>2862</v>
      </c>
      <c r="H741" s="281" t="s">
        <v>963</v>
      </c>
      <c r="I741" s="281" t="s">
        <v>1075</v>
      </c>
      <c r="J741" s="302">
        <v>7030221219013</v>
      </c>
      <c r="K741" s="282">
        <v>45048</v>
      </c>
      <c r="L741" s="585" t="s">
        <v>4078</v>
      </c>
      <c r="M741" s="586">
        <v>45142</v>
      </c>
      <c r="N741" s="281"/>
      <c r="O741" s="281" t="s">
        <v>25</v>
      </c>
      <c r="P741" s="281" t="s">
        <v>25</v>
      </c>
      <c r="Q741" s="281" t="s">
        <v>25</v>
      </c>
      <c r="R741" s="281"/>
      <c r="S741" s="281"/>
      <c r="T741" s="281"/>
      <c r="U741" s="281"/>
      <c r="V741" s="281"/>
      <c r="W741" s="281"/>
    </row>
    <row r="742" spans="1:56" x14ac:dyDescent="0.25">
      <c r="A742" s="31">
        <v>52</v>
      </c>
      <c r="B742" s="285" t="s">
        <v>2865</v>
      </c>
      <c r="C742" s="281" t="s">
        <v>2866</v>
      </c>
      <c r="D742" s="281" t="s">
        <v>1072</v>
      </c>
      <c r="E742" s="281">
        <v>4.95</v>
      </c>
      <c r="F742" s="281">
        <v>20</v>
      </c>
      <c r="G742" s="281" t="s">
        <v>2867</v>
      </c>
      <c r="H742" s="281" t="s">
        <v>963</v>
      </c>
      <c r="I742" s="281" t="s">
        <v>1075</v>
      </c>
      <c r="J742" s="302">
        <v>7020220813952</v>
      </c>
      <c r="K742" s="282">
        <v>45061</v>
      </c>
      <c r="L742" s="281"/>
      <c r="M742" s="281"/>
      <c r="N742" s="281"/>
      <c r="O742" s="281" t="s">
        <v>25</v>
      </c>
      <c r="P742" s="281" t="s">
        <v>25</v>
      </c>
      <c r="Q742" s="281" t="s">
        <v>25</v>
      </c>
      <c r="R742" s="281"/>
      <c r="S742" s="281"/>
      <c r="T742" s="281"/>
      <c r="U742" s="281"/>
      <c r="V742" s="281"/>
      <c r="W742" s="281"/>
    </row>
    <row r="743" spans="1:56" x14ac:dyDescent="0.25">
      <c r="A743" s="31">
        <v>53</v>
      </c>
      <c r="B743" s="285" t="s">
        <v>2868</v>
      </c>
      <c r="C743" s="281" t="s">
        <v>2869</v>
      </c>
      <c r="D743" s="281" t="s">
        <v>2870</v>
      </c>
      <c r="E743" s="281">
        <v>49.8</v>
      </c>
      <c r="F743" s="281">
        <v>110</v>
      </c>
      <c r="G743" s="281" t="s">
        <v>2871</v>
      </c>
      <c r="H743" s="281" t="s">
        <v>963</v>
      </c>
      <c r="I743" s="281" t="s">
        <v>1075</v>
      </c>
      <c r="J743" s="302">
        <v>7060221206671</v>
      </c>
      <c r="K743" s="282">
        <v>45055</v>
      </c>
      <c r="L743" s="281"/>
      <c r="M743" s="281"/>
      <c r="N743" s="281"/>
      <c r="O743" s="281" t="s">
        <v>25</v>
      </c>
      <c r="P743" s="281" t="s">
        <v>25</v>
      </c>
      <c r="Q743" s="281" t="s">
        <v>25</v>
      </c>
      <c r="R743" s="281"/>
      <c r="S743" s="281"/>
      <c r="T743" s="281"/>
      <c r="U743" s="281"/>
      <c r="V743" s="281"/>
      <c r="W743" s="281"/>
    </row>
    <row r="744" spans="1:56" x14ac:dyDescent="0.25">
      <c r="A744" s="31">
        <v>54</v>
      </c>
      <c r="B744" s="285" t="s">
        <v>2872</v>
      </c>
      <c r="C744" s="281" t="s">
        <v>2873</v>
      </c>
      <c r="D744" s="281" t="s">
        <v>1090</v>
      </c>
      <c r="E744" s="281">
        <v>40.075000000000003</v>
      </c>
      <c r="F744" s="281">
        <v>20</v>
      </c>
      <c r="G744" s="281" t="s">
        <v>2874</v>
      </c>
      <c r="H744" s="281" t="s">
        <v>963</v>
      </c>
      <c r="I744" s="281" t="s">
        <v>1075</v>
      </c>
      <c r="J744" s="302">
        <v>7010220923079</v>
      </c>
      <c r="K744" s="282">
        <v>45057</v>
      </c>
      <c r="L744" s="281"/>
      <c r="M744" s="281"/>
      <c r="N744" s="281"/>
      <c r="O744" s="281" t="s">
        <v>25</v>
      </c>
      <c r="P744" s="281" t="s">
        <v>25</v>
      </c>
      <c r="Q744" s="281" t="s">
        <v>25</v>
      </c>
      <c r="R744" s="281"/>
      <c r="S744" s="281"/>
      <c r="T744" s="281"/>
      <c r="U744" s="281"/>
      <c r="V744" s="281"/>
      <c r="W744" s="281"/>
    </row>
    <row r="745" spans="1:56" x14ac:dyDescent="0.25">
      <c r="A745" s="31">
        <v>55</v>
      </c>
      <c r="B745" s="285" t="s">
        <v>2995</v>
      </c>
      <c r="C745" s="281" t="s">
        <v>1113</v>
      </c>
      <c r="D745" s="281" t="s">
        <v>1090</v>
      </c>
      <c r="E745" s="293">
        <v>3.7</v>
      </c>
      <c r="F745" s="281">
        <v>20</v>
      </c>
      <c r="G745" s="281" t="s">
        <v>2996</v>
      </c>
      <c r="H745" s="281" t="s">
        <v>963</v>
      </c>
      <c r="I745" s="281" t="s">
        <v>1075</v>
      </c>
      <c r="J745" s="302">
        <v>7010221026057</v>
      </c>
      <c r="K745" s="282">
        <v>45062</v>
      </c>
      <c r="L745" s="585" t="s">
        <v>4079</v>
      </c>
      <c r="M745" s="586">
        <v>45246</v>
      </c>
      <c r="N745" s="281"/>
      <c r="O745" s="281" t="s">
        <v>25</v>
      </c>
      <c r="P745" s="281" t="s">
        <v>25</v>
      </c>
      <c r="Q745" s="281" t="s">
        <v>25</v>
      </c>
      <c r="R745" s="281"/>
      <c r="S745" s="281"/>
      <c r="T745" s="281"/>
      <c r="U745" s="281"/>
      <c r="V745" s="281"/>
      <c r="W745" s="281"/>
    </row>
    <row r="746" spans="1:56" x14ac:dyDescent="0.25">
      <c r="A746" s="31">
        <v>56</v>
      </c>
      <c r="B746" s="285" t="s">
        <v>2997</v>
      </c>
      <c r="C746" s="281" t="s">
        <v>2998</v>
      </c>
      <c r="D746" s="281" t="s">
        <v>1090</v>
      </c>
      <c r="E746" s="293">
        <v>3.5</v>
      </c>
      <c r="F746" s="281">
        <v>20</v>
      </c>
      <c r="G746" s="281" t="s">
        <v>2999</v>
      </c>
      <c r="H746" s="281" t="s">
        <v>963</v>
      </c>
      <c r="I746" s="281" t="s">
        <v>1075</v>
      </c>
      <c r="J746" s="302">
        <v>7010230331513</v>
      </c>
      <c r="K746" s="282">
        <v>45071</v>
      </c>
      <c r="L746" s="281"/>
      <c r="M746" s="281"/>
      <c r="N746" s="281"/>
      <c r="O746" s="281" t="s">
        <v>25</v>
      </c>
      <c r="P746" s="281" t="s">
        <v>25</v>
      </c>
      <c r="Q746" s="281" t="s">
        <v>25</v>
      </c>
      <c r="R746" s="281"/>
      <c r="S746" s="281"/>
      <c r="T746" s="281"/>
      <c r="U746" s="281"/>
      <c r="V746" s="281"/>
      <c r="W746" s="281"/>
    </row>
    <row r="747" spans="1:56" x14ac:dyDescent="0.25">
      <c r="A747" s="31">
        <v>57</v>
      </c>
      <c r="B747" s="285" t="s">
        <v>3000</v>
      </c>
      <c r="C747" s="281" t="s">
        <v>3001</v>
      </c>
      <c r="D747" s="281" t="s">
        <v>1085</v>
      </c>
      <c r="E747" s="293">
        <v>1</v>
      </c>
      <c r="F747" s="281">
        <v>20</v>
      </c>
      <c r="G747" s="281" t="s">
        <v>3002</v>
      </c>
      <c r="H747" s="281" t="s">
        <v>963</v>
      </c>
      <c r="I747" s="281" t="s">
        <v>1075</v>
      </c>
      <c r="J747" s="302">
        <v>7030230422535</v>
      </c>
      <c r="K747" s="282">
        <v>45068</v>
      </c>
      <c r="L747" s="281"/>
      <c r="M747" s="281"/>
      <c r="N747" s="281"/>
      <c r="O747" s="281" t="s">
        <v>25</v>
      </c>
      <c r="P747" s="281" t="s">
        <v>25</v>
      </c>
      <c r="Q747" s="281" t="s">
        <v>25</v>
      </c>
      <c r="R747" s="281"/>
      <c r="S747" s="281"/>
      <c r="T747" s="281"/>
      <c r="U747" s="281"/>
      <c r="V747" s="281"/>
      <c r="W747" s="281"/>
    </row>
    <row r="748" spans="1:56" x14ac:dyDescent="0.25">
      <c r="A748" s="31">
        <v>58</v>
      </c>
      <c r="B748" s="285" t="s">
        <v>3003</v>
      </c>
      <c r="C748" s="281" t="s">
        <v>3004</v>
      </c>
      <c r="D748" s="281" t="s">
        <v>1090</v>
      </c>
      <c r="E748" s="293">
        <v>1.8</v>
      </c>
      <c r="F748" s="281">
        <v>20</v>
      </c>
      <c r="G748" s="281" t="s">
        <v>3005</v>
      </c>
      <c r="H748" s="281" t="s">
        <v>963</v>
      </c>
      <c r="I748" s="281" t="s">
        <v>1075</v>
      </c>
      <c r="J748" s="302">
        <v>7010221025449</v>
      </c>
      <c r="K748" s="282">
        <v>45084</v>
      </c>
      <c r="L748" s="281"/>
      <c r="M748" s="281"/>
      <c r="N748" s="281"/>
      <c r="O748" s="281" t="s">
        <v>25</v>
      </c>
      <c r="P748" s="281" t="s">
        <v>25</v>
      </c>
      <c r="Q748" s="281" t="s">
        <v>25</v>
      </c>
      <c r="R748" s="281"/>
      <c r="S748" s="281"/>
      <c r="T748" s="281"/>
      <c r="U748" s="281"/>
      <c r="V748" s="281"/>
      <c r="W748" s="281"/>
    </row>
    <row r="749" spans="1:56" x14ac:dyDescent="0.25">
      <c r="A749" s="31">
        <v>59</v>
      </c>
      <c r="B749" s="285" t="s">
        <v>3006</v>
      </c>
      <c r="C749" s="281" t="s">
        <v>3007</v>
      </c>
      <c r="D749" s="281" t="s">
        <v>1090</v>
      </c>
      <c r="E749" s="293">
        <v>49.8</v>
      </c>
      <c r="F749" s="281">
        <v>110</v>
      </c>
      <c r="G749" s="281" t="s">
        <v>3008</v>
      </c>
      <c r="H749" s="281" t="s">
        <v>963</v>
      </c>
      <c r="I749" s="281" t="s">
        <v>1075</v>
      </c>
      <c r="J749" s="302">
        <v>7010221127551</v>
      </c>
      <c r="K749" s="282">
        <v>45077</v>
      </c>
      <c r="L749" s="281"/>
      <c r="M749" s="281"/>
      <c r="N749" s="281"/>
      <c r="O749" s="281" t="s">
        <v>25</v>
      </c>
      <c r="P749" s="281" t="s">
        <v>25</v>
      </c>
      <c r="Q749" s="281" t="s">
        <v>25</v>
      </c>
      <c r="R749" s="281"/>
      <c r="S749" s="281"/>
      <c r="T749" s="281"/>
      <c r="U749" s="281"/>
      <c r="V749" s="281"/>
      <c r="W749" s="281"/>
    </row>
    <row r="750" spans="1:56" x14ac:dyDescent="0.25">
      <c r="A750" s="31">
        <v>60</v>
      </c>
      <c r="B750" s="285" t="s">
        <v>3009</v>
      </c>
      <c r="C750" s="281" t="s">
        <v>3007</v>
      </c>
      <c r="D750" s="281" t="s">
        <v>1090</v>
      </c>
      <c r="E750" s="293">
        <v>49.8</v>
      </c>
      <c r="F750" s="281">
        <v>110</v>
      </c>
      <c r="G750" s="281" t="s">
        <v>3010</v>
      </c>
      <c r="H750" s="281" t="s">
        <v>963</v>
      </c>
      <c r="I750" s="281" t="s">
        <v>1075</v>
      </c>
      <c r="J750" s="302">
        <v>7010221228410</v>
      </c>
      <c r="K750" s="282">
        <v>45083</v>
      </c>
      <c r="L750" s="281"/>
      <c r="M750" s="281"/>
      <c r="N750" s="281"/>
      <c r="O750" s="281" t="s">
        <v>25</v>
      </c>
      <c r="P750" s="281" t="s">
        <v>25</v>
      </c>
      <c r="Q750" s="281" t="s">
        <v>25</v>
      </c>
      <c r="R750" s="281"/>
      <c r="S750" s="281"/>
      <c r="T750" s="281"/>
      <c r="U750" s="281"/>
      <c r="V750" s="281"/>
      <c r="W750" s="281"/>
    </row>
    <row r="751" spans="1:56" x14ac:dyDescent="0.25">
      <c r="A751" s="31">
        <v>61</v>
      </c>
      <c r="B751" s="285" t="s">
        <v>3011</v>
      </c>
      <c r="C751" s="281" t="s">
        <v>2331</v>
      </c>
      <c r="D751" s="281" t="s">
        <v>1080</v>
      </c>
      <c r="E751" s="293">
        <v>4</v>
      </c>
      <c r="F751" s="281">
        <v>20</v>
      </c>
      <c r="G751" s="281" t="s">
        <v>3012</v>
      </c>
      <c r="H751" s="281" t="s">
        <v>964</v>
      </c>
      <c r="I751" s="281" t="s">
        <v>1075</v>
      </c>
      <c r="J751" s="302">
        <v>7040230215599</v>
      </c>
      <c r="K751" s="282">
        <v>45075</v>
      </c>
      <c r="L751" s="585" t="s">
        <v>4080</v>
      </c>
      <c r="M751" s="586">
        <v>45142</v>
      </c>
      <c r="N751" s="281"/>
      <c r="O751" s="281" t="s">
        <v>25</v>
      </c>
      <c r="P751" s="281" t="s">
        <v>25</v>
      </c>
      <c r="Q751" s="281" t="s">
        <v>25</v>
      </c>
      <c r="R751" s="281"/>
      <c r="S751" s="281"/>
      <c r="T751" s="281"/>
      <c r="U751" s="281"/>
      <c r="V751" s="281"/>
      <c r="W751" s="281"/>
    </row>
    <row r="752" spans="1:56" x14ac:dyDescent="0.25">
      <c r="A752" s="31">
        <v>62</v>
      </c>
      <c r="B752" s="285" t="s">
        <v>3130</v>
      </c>
      <c r="C752" s="285" t="s">
        <v>3131</v>
      </c>
      <c r="D752" s="285" t="s">
        <v>1085</v>
      </c>
      <c r="E752" s="285">
        <v>4.5999999999999996</v>
      </c>
      <c r="F752" s="285">
        <v>20</v>
      </c>
      <c r="G752" s="285" t="s">
        <v>3132</v>
      </c>
      <c r="H752" s="285" t="s">
        <v>963</v>
      </c>
      <c r="I752" s="285" t="s">
        <v>1075</v>
      </c>
      <c r="J752" s="302">
        <v>7030220816289</v>
      </c>
      <c r="K752" s="282">
        <v>45096</v>
      </c>
      <c r="L752" s="285"/>
      <c r="M752" s="285"/>
      <c r="N752" s="285"/>
      <c r="O752" s="285" t="s">
        <v>25</v>
      </c>
      <c r="P752" s="285" t="s">
        <v>25</v>
      </c>
      <c r="Q752" s="285" t="s">
        <v>25</v>
      </c>
      <c r="R752" s="285"/>
      <c r="S752" s="285"/>
      <c r="T752" s="285"/>
      <c r="U752" s="285"/>
      <c r="V752" s="285"/>
      <c r="W752" s="285"/>
    </row>
    <row r="753" spans="1:23" x14ac:dyDescent="0.25">
      <c r="A753" s="31">
        <v>63</v>
      </c>
      <c r="B753" s="285" t="s">
        <v>753</v>
      </c>
      <c r="C753" s="285" t="s">
        <v>1090</v>
      </c>
      <c r="D753" s="285" t="s">
        <v>1090</v>
      </c>
      <c r="E753" s="285">
        <v>2.15</v>
      </c>
      <c r="F753" s="285">
        <v>20</v>
      </c>
      <c r="G753" s="285" t="s">
        <v>3133</v>
      </c>
      <c r="H753" s="285" t="s">
        <v>1326</v>
      </c>
      <c r="I753" s="285" t="s">
        <v>1075</v>
      </c>
      <c r="J753" s="302">
        <v>7010230635890</v>
      </c>
      <c r="K753" s="282">
        <v>45103</v>
      </c>
      <c r="L753" s="285"/>
      <c r="M753" s="285"/>
      <c r="N753" s="285"/>
      <c r="O753" s="285" t="s">
        <v>25</v>
      </c>
      <c r="P753" s="285" t="s">
        <v>25</v>
      </c>
      <c r="Q753" s="285" t="s">
        <v>25</v>
      </c>
      <c r="R753" s="285"/>
      <c r="S753" s="285"/>
      <c r="T753" s="285"/>
      <c r="U753" s="285"/>
      <c r="V753" s="285"/>
      <c r="W753" s="285"/>
    </row>
    <row r="754" spans="1:23" x14ac:dyDescent="0.25">
      <c r="A754" s="31">
        <v>64</v>
      </c>
      <c r="B754" s="285" t="s">
        <v>3134</v>
      </c>
      <c r="C754" s="285" t="s">
        <v>3135</v>
      </c>
      <c r="D754" s="285" t="s">
        <v>1072</v>
      </c>
      <c r="E754" s="285">
        <v>10.85</v>
      </c>
      <c r="F754" s="285">
        <v>20</v>
      </c>
      <c r="G754" s="285" t="s">
        <v>3136</v>
      </c>
      <c r="H754" s="285" t="s">
        <v>963</v>
      </c>
      <c r="I754" s="285" t="s">
        <v>1075</v>
      </c>
      <c r="J754" s="302">
        <v>7020220713708</v>
      </c>
      <c r="K754" s="282">
        <v>45099</v>
      </c>
      <c r="L754" s="285"/>
      <c r="M754" s="285"/>
      <c r="N754" s="285"/>
      <c r="O754" s="285" t="s">
        <v>25</v>
      </c>
      <c r="P754" s="285" t="s">
        <v>25</v>
      </c>
      <c r="Q754" s="285" t="s">
        <v>25</v>
      </c>
      <c r="R754" s="285"/>
      <c r="S754" s="285"/>
      <c r="T754" s="285"/>
      <c r="U754" s="285"/>
      <c r="V754" s="285"/>
      <c r="W754" s="285"/>
    </row>
    <row r="755" spans="1:23" x14ac:dyDescent="0.25">
      <c r="A755" s="31">
        <v>65</v>
      </c>
      <c r="B755" s="285" t="s">
        <v>1700</v>
      </c>
      <c r="C755" s="285" t="s">
        <v>1090</v>
      </c>
      <c r="D755" s="285" t="s">
        <v>1090</v>
      </c>
      <c r="E755" s="285">
        <v>18.260000000000002</v>
      </c>
      <c r="F755" s="285">
        <v>110</v>
      </c>
      <c r="G755" s="285" t="s">
        <v>3137</v>
      </c>
      <c r="H755" s="285" t="s">
        <v>963</v>
      </c>
      <c r="I755" s="285" t="s">
        <v>1075</v>
      </c>
      <c r="J755" s="302">
        <v>7010221025963</v>
      </c>
      <c r="K755" s="282">
        <v>45110</v>
      </c>
      <c r="L755" s="285"/>
      <c r="M755" s="285"/>
      <c r="N755" s="285"/>
      <c r="O755" s="285" t="s">
        <v>25</v>
      </c>
      <c r="P755" s="285" t="s">
        <v>25</v>
      </c>
      <c r="Q755" s="285" t="s">
        <v>25</v>
      </c>
      <c r="R755" s="285"/>
      <c r="S755" s="285"/>
      <c r="T755" s="285"/>
      <c r="U755" s="285"/>
      <c r="V755" s="285"/>
      <c r="W755" s="285"/>
    </row>
    <row r="756" spans="1:23" x14ac:dyDescent="0.25">
      <c r="A756" s="31">
        <v>66</v>
      </c>
      <c r="B756" s="285" t="s">
        <v>1706</v>
      </c>
      <c r="C756" s="285" t="s">
        <v>3138</v>
      </c>
      <c r="D756" s="285" t="s">
        <v>1072</v>
      </c>
      <c r="E756" s="285">
        <v>2</v>
      </c>
      <c r="F756" s="285">
        <v>20</v>
      </c>
      <c r="G756" s="285" t="s">
        <v>3139</v>
      </c>
      <c r="H756" s="285" t="s">
        <v>963</v>
      </c>
      <c r="I756" s="285" t="s">
        <v>1075</v>
      </c>
      <c r="J756" s="302">
        <v>7020230218467</v>
      </c>
      <c r="K756" s="282">
        <v>45111</v>
      </c>
      <c r="L756" s="285"/>
      <c r="M756" s="285"/>
      <c r="N756" s="285"/>
      <c r="O756" s="285" t="s">
        <v>25</v>
      </c>
      <c r="P756" s="285" t="s">
        <v>25</v>
      </c>
      <c r="Q756" s="285" t="s">
        <v>25</v>
      </c>
      <c r="R756" s="285"/>
      <c r="S756" s="285"/>
      <c r="T756" s="285"/>
      <c r="U756" s="285"/>
      <c r="V756" s="285"/>
      <c r="W756" s="285"/>
    </row>
    <row r="757" spans="1:23" x14ac:dyDescent="0.25">
      <c r="A757" s="31">
        <v>67</v>
      </c>
      <c r="B757" s="285" t="s">
        <v>3140</v>
      </c>
      <c r="C757" s="285" t="s">
        <v>3141</v>
      </c>
      <c r="D757" s="285" t="s">
        <v>1072</v>
      </c>
      <c r="E757" s="285">
        <v>1.9</v>
      </c>
      <c r="F757" s="285">
        <v>20</v>
      </c>
      <c r="G757" s="285" t="s">
        <v>3142</v>
      </c>
      <c r="H757" s="285" t="s">
        <v>963</v>
      </c>
      <c r="I757" s="285" t="s">
        <v>1075</v>
      </c>
      <c r="J757" s="302">
        <v>7020230420043</v>
      </c>
      <c r="K757" s="282">
        <v>45110</v>
      </c>
      <c r="L757" s="285"/>
      <c r="M757" s="285"/>
      <c r="N757" s="285"/>
      <c r="O757" s="285" t="s">
        <v>25</v>
      </c>
      <c r="P757" s="285" t="s">
        <v>25</v>
      </c>
      <c r="Q757" s="285" t="s">
        <v>25</v>
      </c>
      <c r="R757" s="285"/>
      <c r="S757" s="285"/>
      <c r="T757" s="285"/>
      <c r="U757" s="285"/>
      <c r="V757" s="285"/>
      <c r="W757" s="285"/>
    </row>
    <row r="758" spans="1:23" x14ac:dyDescent="0.25">
      <c r="A758" s="31">
        <v>68</v>
      </c>
      <c r="B758" s="285" t="s">
        <v>3143</v>
      </c>
      <c r="C758" s="285" t="s">
        <v>3144</v>
      </c>
      <c r="D758" s="285" t="s">
        <v>1085</v>
      </c>
      <c r="E758" s="285">
        <v>40.075000000000003</v>
      </c>
      <c r="F758" s="285">
        <v>110</v>
      </c>
      <c r="G758" s="285" t="s">
        <v>3145</v>
      </c>
      <c r="H758" s="285" t="s">
        <v>963</v>
      </c>
      <c r="I758" s="285" t="s">
        <v>1075</v>
      </c>
      <c r="J758" s="302">
        <v>7030220413485</v>
      </c>
      <c r="K758" s="282">
        <v>45118</v>
      </c>
      <c r="L758" s="285"/>
      <c r="M758" s="285"/>
      <c r="N758" s="285"/>
      <c r="O758" s="285" t="s">
        <v>25</v>
      </c>
      <c r="P758" s="285" t="s">
        <v>25</v>
      </c>
      <c r="Q758" s="285" t="s">
        <v>25</v>
      </c>
      <c r="R758" s="285"/>
      <c r="S758" s="285"/>
      <c r="T758" s="285"/>
      <c r="U758" s="285"/>
      <c r="V758" s="285"/>
      <c r="W758" s="285"/>
    </row>
    <row r="759" spans="1:23" x14ac:dyDescent="0.25">
      <c r="A759" s="31">
        <v>69</v>
      </c>
      <c r="B759" s="285" t="s">
        <v>3222</v>
      </c>
      <c r="C759" s="285" t="s">
        <v>1132</v>
      </c>
      <c r="D759" s="285" t="s">
        <v>1072</v>
      </c>
      <c r="E759" s="294">
        <v>18</v>
      </c>
      <c r="F759" s="285">
        <v>20</v>
      </c>
      <c r="G759" s="285" t="s">
        <v>3223</v>
      </c>
      <c r="H759" s="285" t="s">
        <v>963</v>
      </c>
      <c r="I759" s="285" t="s">
        <v>1075</v>
      </c>
      <c r="J759" s="302">
        <v>7020220612358</v>
      </c>
      <c r="K759" s="282">
        <v>45114</v>
      </c>
      <c r="L759" s="285"/>
      <c r="M759" s="285"/>
      <c r="N759" s="285"/>
      <c r="O759" s="285" t="s">
        <v>25</v>
      </c>
      <c r="P759" s="285" t="s">
        <v>25</v>
      </c>
      <c r="Q759" s="285" t="s">
        <v>25</v>
      </c>
      <c r="R759" s="285"/>
      <c r="S759" s="285"/>
      <c r="T759" s="285"/>
      <c r="U759" s="285"/>
      <c r="V759" s="285"/>
      <c r="W759" s="285"/>
    </row>
    <row r="760" spans="1:23" x14ac:dyDescent="0.25">
      <c r="A760" s="31">
        <v>70</v>
      </c>
      <c r="B760" s="285" t="s">
        <v>1700</v>
      </c>
      <c r="C760" s="285" t="s">
        <v>2331</v>
      </c>
      <c r="D760" s="285" t="s">
        <v>1080</v>
      </c>
      <c r="E760" s="294">
        <v>9.24</v>
      </c>
      <c r="F760" s="285">
        <v>110</v>
      </c>
      <c r="G760" s="285" t="s">
        <v>3224</v>
      </c>
      <c r="H760" s="285" t="s">
        <v>964</v>
      </c>
      <c r="I760" s="285" t="s">
        <v>1075</v>
      </c>
      <c r="J760" s="302">
        <v>7040230718522</v>
      </c>
      <c r="K760" s="282">
        <v>45121</v>
      </c>
      <c r="L760" s="285"/>
      <c r="M760" s="285"/>
      <c r="N760" s="285"/>
      <c r="O760" s="285" t="s">
        <v>25</v>
      </c>
      <c r="P760" s="285" t="s">
        <v>25</v>
      </c>
      <c r="Q760" s="285" t="s">
        <v>25</v>
      </c>
      <c r="R760" s="285"/>
      <c r="S760" s="285"/>
      <c r="T760" s="285"/>
      <c r="U760" s="285"/>
      <c r="V760" s="285"/>
      <c r="W760" s="285"/>
    </row>
    <row r="761" spans="1:23" x14ac:dyDescent="0.25">
      <c r="A761" s="31">
        <v>71</v>
      </c>
      <c r="B761" s="285" t="s">
        <v>3225</v>
      </c>
      <c r="C761" s="285" t="s">
        <v>2403</v>
      </c>
      <c r="D761" s="285" t="s">
        <v>1085</v>
      </c>
      <c r="E761" s="294">
        <v>4.9000000000000004</v>
      </c>
      <c r="F761" s="285">
        <v>20</v>
      </c>
      <c r="G761" s="285" t="s">
        <v>3226</v>
      </c>
      <c r="H761" s="285" t="s">
        <v>963</v>
      </c>
      <c r="I761" s="285" t="s">
        <v>1075</v>
      </c>
      <c r="J761" s="302">
        <v>7030230724990</v>
      </c>
      <c r="K761" s="282">
        <v>45124</v>
      </c>
      <c r="L761" s="585" t="s">
        <v>4081</v>
      </c>
      <c r="M761" s="586">
        <v>45244</v>
      </c>
      <c r="N761" s="285"/>
      <c r="O761" s="285" t="s">
        <v>25</v>
      </c>
      <c r="P761" s="285" t="s">
        <v>25</v>
      </c>
      <c r="Q761" s="285" t="s">
        <v>25</v>
      </c>
      <c r="R761" s="285"/>
      <c r="S761" s="285"/>
      <c r="T761" s="285"/>
      <c r="U761" s="285"/>
      <c r="V761" s="285"/>
      <c r="W761" s="285"/>
    </row>
    <row r="762" spans="1:23" x14ac:dyDescent="0.25">
      <c r="A762" s="31">
        <v>72</v>
      </c>
      <c r="B762" s="285" t="s">
        <v>3227</v>
      </c>
      <c r="C762" s="285" t="s">
        <v>3228</v>
      </c>
      <c r="D762" s="285" t="s">
        <v>1085</v>
      </c>
      <c r="E762" s="285">
        <v>4.9000000000000004</v>
      </c>
      <c r="F762" s="285">
        <v>20</v>
      </c>
      <c r="G762" s="285" t="s">
        <v>3229</v>
      </c>
      <c r="H762" s="285" t="s">
        <v>963</v>
      </c>
      <c r="I762" s="285" t="s">
        <v>1075</v>
      </c>
      <c r="J762" s="302">
        <v>7030220413178</v>
      </c>
      <c r="K762" s="282">
        <v>45107</v>
      </c>
      <c r="L762" s="285"/>
      <c r="M762" s="285"/>
      <c r="N762" s="285"/>
      <c r="O762" s="285" t="s">
        <v>25</v>
      </c>
      <c r="P762" s="285" t="s">
        <v>25</v>
      </c>
      <c r="Q762" s="285" t="s">
        <v>25</v>
      </c>
      <c r="R762" s="285"/>
      <c r="S762" s="285"/>
      <c r="T762" s="285"/>
      <c r="U762" s="285"/>
      <c r="V762" s="285"/>
      <c r="W762" s="285"/>
    </row>
    <row r="763" spans="1:23" x14ac:dyDescent="0.25">
      <c r="A763" s="31">
        <v>73</v>
      </c>
      <c r="B763" s="285" t="s">
        <v>3230</v>
      </c>
      <c r="C763" s="285" t="s">
        <v>1090</v>
      </c>
      <c r="D763" s="285" t="s">
        <v>1090</v>
      </c>
      <c r="E763" s="285">
        <v>1.7</v>
      </c>
      <c r="F763" s="285">
        <v>20</v>
      </c>
      <c r="G763" s="285" t="s">
        <v>3231</v>
      </c>
      <c r="H763" s="285" t="s">
        <v>1326</v>
      </c>
      <c r="I763" s="285" t="s">
        <v>1075</v>
      </c>
      <c r="J763" s="302" t="s">
        <v>3232</v>
      </c>
      <c r="K763" s="282">
        <v>45134</v>
      </c>
      <c r="L763" s="285"/>
      <c r="M763" s="285"/>
      <c r="N763" s="285"/>
      <c r="O763" s="285" t="s">
        <v>25</v>
      </c>
      <c r="P763" s="285" t="s">
        <v>25</v>
      </c>
      <c r="Q763" s="285" t="s">
        <v>25</v>
      </c>
      <c r="R763" s="285"/>
      <c r="S763" s="285"/>
      <c r="T763" s="285"/>
      <c r="U763" s="285"/>
      <c r="V763" s="285"/>
      <c r="W763" s="285"/>
    </row>
    <row r="764" spans="1:23" x14ac:dyDescent="0.25">
      <c r="A764" s="31">
        <v>74</v>
      </c>
      <c r="B764" s="285" t="s">
        <v>3233</v>
      </c>
      <c r="C764" s="285" t="s">
        <v>3234</v>
      </c>
      <c r="D764" s="285" t="s">
        <v>1090</v>
      </c>
      <c r="E764" s="285">
        <v>3.5</v>
      </c>
      <c r="F764" s="285">
        <v>20</v>
      </c>
      <c r="G764" s="285" t="s">
        <v>3235</v>
      </c>
      <c r="H764" s="285" t="s">
        <v>963</v>
      </c>
      <c r="I764" s="285" t="s">
        <v>1075</v>
      </c>
      <c r="J764" s="302">
        <v>7010230534578</v>
      </c>
      <c r="K764" s="282">
        <v>45133</v>
      </c>
      <c r="L764" s="285"/>
      <c r="M764" s="285"/>
      <c r="N764" s="285"/>
      <c r="O764" s="285" t="s">
        <v>25</v>
      </c>
      <c r="P764" s="285" t="s">
        <v>25</v>
      </c>
      <c r="Q764" s="285" t="s">
        <v>25</v>
      </c>
      <c r="R764" s="285"/>
      <c r="S764" s="285"/>
      <c r="T764" s="285"/>
      <c r="U764" s="285"/>
      <c r="V764" s="285"/>
      <c r="W764" s="285"/>
    </row>
    <row r="765" spans="1:23" x14ac:dyDescent="0.25">
      <c r="A765" s="31">
        <v>75</v>
      </c>
      <c r="B765" s="285" t="s">
        <v>1151</v>
      </c>
      <c r="C765" s="285" t="s">
        <v>1090</v>
      </c>
      <c r="D765" s="285" t="s">
        <v>1090</v>
      </c>
      <c r="E765" s="285">
        <v>1</v>
      </c>
      <c r="F765" s="285">
        <v>6</v>
      </c>
      <c r="G765" s="285" t="s">
        <v>3236</v>
      </c>
      <c r="H765" s="285" t="s">
        <v>1326</v>
      </c>
      <c r="I765" s="285" t="s">
        <v>1075</v>
      </c>
      <c r="J765" s="302">
        <v>7010220619779</v>
      </c>
      <c r="K765" s="282">
        <v>45142</v>
      </c>
      <c r="L765" s="285"/>
      <c r="M765" s="285"/>
      <c r="N765" s="285"/>
      <c r="O765" s="285" t="s">
        <v>25</v>
      </c>
      <c r="P765" s="285" t="s">
        <v>25</v>
      </c>
      <c r="Q765" s="285" t="s">
        <v>25</v>
      </c>
      <c r="R765" s="285"/>
      <c r="S765" s="285"/>
      <c r="T765" s="285"/>
      <c r="U765" s="285"/>
      <c r="V765" s="285"/>
      <c r="W765" s="285"/>
    </row>
    <row r="766" spans="1:23" x14ac:dyDescent="0.25">
      <c r="A766" s="31">
        <v>76</v>
      </c>
      <c r="B766" s="285" t="s">
        <v>3448</v>
      </c>
      <c r="C766" s="285" t="s">
        <v>2206</v>
      </c>
      <c r="D766" s="285" t="s">
        <v>1085</v>
      </c>
      <c r="E766" s="285">
        <v>2.41</v>
      </c>
      <c r="F766" s="285">
        <v>20</v>
      </c>
      <c r="G766" s="285" t="s">
        <v>3449</v>
      </c>
      <c r="H766" s="285" t="s">
        <v>963</v>
      </c>
      <c r="I766" s="285" t="s">
        <v>1075</v>
      </c>
      <c r="J766" s="302">
        <v>7030220614763</v>
      </c>
      <c r="K766" s="282">
        <v>45145</v>
      </c>
      <c r="L766" s="285"/>
      <c r="M766" s="285"/>
      <c r="N766" s="285"/>
      <c r="O766" s="285" t="s">
        <v>25</v>
      </c>
      <c r="P766" s="285" t="s">
        <v>25</v>
      </c>
      <c r="Q766" s="285" t="s">
        <v>25</v>
      </c>
      <c r="R766" s="285"/>
      <c r="S766" s="285"/>
      <c r="T766" s="285"/>
      <c r="U766" s="285"/>
      <c r="V766" s="285"/>
      <c r="W766" s="285"/>
    </row>
    <row r="767" spans="1:23" x14ac:dyDescent="0.25">
      <c r="A767" s="31">
        <v>77</v>
      </c>
      <c r="B767" s="285" t="s">
        <v>3450</v>
      </c>
      <c r="C767" s="285" t="s">
        <v>3451</v>
      </c>
      <c r="D767" s="285" t="s">
        <v>1072</v>
      </c>
      <c r="E767" s="285">
        <v>2.97</v>
      </c>
      <c r="F767" s="285">
        <v>20</v>
      </c>
      <c r="G767" s="285" t="s">
        <v>3452</v>
      </c>
      <c r="H767" s="285" t="s">
        <v>963</v>
      </c>
      <c r="I767" s="285" t="s">
        <v>1075</v>
      </c>
      <c r="J767" s="302">
        <v>7020230520727</v>
      </c>
      <c r="K767" s="282">
        <v>45146</v>
      </c>
      <c r="L767" s="285"/>
      <c r="M767" s="285"/>
      <c r="N767" s="285"/>
      <c r="O767" s="285" t="s">
        <v>25</v>
      </c>
      <c r="P767" s="285" t="s">
        <v>25</v>
      </c>
      <c r="Q767" s="285" t="s">
        <v>25</v>
      </c>
      <c r="R767" s="285"/>
      <c r="S767" s="285"/>
      <c r="T767" s="285"/>
      <c r="U767" s="285"/>
      <c r="V767" s="285"/>
      <c r="W767" s="285"/>
    </row>
    <row r="768" spans="1:23" x14ac:dyDescent="0.25">
      <c r="A768" s="31">
        <v>78</v>
      </c>
      <c r="B768" s="285" t="s">
        <v>3518</v>
      </c>
      <c r="C768" s="285" t="s">
        <v>3519</v>
      </c>
      <c r="D768" s="285" t="s">
        <v>1090</v>
      </c>
      <c r="E768" s="294">
        <v>49.8</v>
      </c>
      <c r="F768" s="285">
        <v>110</v>
      </c>
      <c r="G768" s="285" t="s">
        <v>3520</v>
      </c>
      <c r="H768" s="285" t="s">
        <v>963</v>
      </c>
      <c r="I768" s="285" t="s">
        <v>1075</v>
      </c>
      <c r="J768" s="302">
        <v>7010230128962</v>
      </c>
      <c r="K768" s="282">
        <v>45159</v>
      </c>
      <c r="L768" s="285"/>
      <c r="M768" s="285"/>
      <c r="N768" s="285"/>
      <c r="O768" s="285" t="s">
        <v>25</v>
      </c>
      <c r="P768" s="285" t="s">
        <v>25</v>
      </c>
      <c r="Q768" s="285" t="s">
        <v>25</v>
      </c>
      <c r="R768" s="285"/>
      <c r="S768" s="285"/>
      <c r="T768" s="285"/>
      <c r="U768" s="285"/>
      <c r="V768" s="285"/>
      <c r="W768" s="285"/>
    </row>
    <row r="769" spans="1:23" x14ac:dyDescent="0.25">
      <c r="A769" s="31">
        <v>79</v>
      </c>
      <c r="B769" s="285" t="s">
        <v>3521</v>
      </c>
      <c r="C769" s="285" t="s">
        <v>3522</v>
      </c>
      <c r="D769" s="285" t="s">
        <v>1090</v>
      </c>
      <c r="E769" s="285">
        <v>4.8</v>
      </c>
      <c r="F769" s="285">
        <v>20</v>
      </c>
      <c r="G769" s="285" t="s">
        <v>3523</v>
      </c>
      <c r="H769" s="285" t="s">
        <v>963</v>
      </c>
      <c r="I769" s="285" t="s">
        <v>1075</v>
      </c>
      <c r="J769" s="302">
        <v>7010230635435</v>
      </c>
      <c r="K769" s="282">
        <v>45169</v>
      </c>
      <c r="L769" s="285"/>
      <c r="M769" s="285"/>
      <c r="N769" s="285"/>
      <c r="O769" s="285" t="s">
        <v>25</v>
      </c>
      <c r="P769" s="285" t="s">
        <v>25</v>
      </c>
      <c r="Q769" s="285" t="s">
        <v>25</v>
      </c>
      <c r="R769" s="285"/>
      <c r="S769" s="285"/>
      <c r="T769" s="285"/>
      <c r="U769" s="285"/>
      <c r="V769" s="285"/>
      <c r="W769" s="285"/>
    </row>
    <row r="770" spans="1:23" x14ac:dyDescent="0.25">
      <c r="A770" s="31">
        <v>80</v>
      </c>
      <c r="B770" s="285" t="s">
        <v>3603</v>
      </c>
      <c r="C770" s="285" t="s">
        <v>1142</v>
      </c>
      <c r="D770" s="285" t="s">
        <v>1085</v>
      </c>
      <c r="E770" s="294">
        <v>1.72</v>
      </c>
      <c r="F770" s="285">
        <v>20</v>
      </c>
      <c r="G770" s="285" t="s">
        <v>3604</v>
      </c>
      <c r="H770" s="285" t="s">
        <v>964</v>
      </c>
      <c r="I770" s="285" t="s">
        <v>1075</v>
      </c>
      <c r="J770" s="302">
        <v>7030230119682</v>
      </c>
      <c r="K770" s="282">
        <v>45190</v>
      </c>
      <c r="L770" s="285" t="s">
        <v>4252</v>
      </c>
      <c r="M770" s="295">
        <v>45288</v>
      </c>
      <c r="N770" s="285"/>
      <c r="O770" s="285"/>
      <c r="P770" s="285"/>
      <c r="Q770" s="285"/>
      <c r="R770" s="285"/>
      <c r="S770" s="285"/>
      <c r="T770" s="285"/>
      <c r="U770" s="285"/>
      <c r="V770" s="285"/>
      <c r="W770" s="285"/>
    </row>
    <row r="771" spans="1:23" x14ac:dyDescent="0.25">
      <c r="A771" s="31">
        <v>81</v>
      </c>
      <c r="B771" s="285" t="s">
        <v>3605</v>
      </c>
      <c r="C771" s="285" t="s">
        <v>2869</v>
      </c>
      <c r="D771" s="285" t="s">
        <v>2870</v>
      </c>
      <c r="E771" s="294">
        <v>20</v>
      </c>
      <c r="F771" s="285">
        <v>110</v>
      </c>
      <c r="G771" s="285" t="s">
        <v>3606</v>
      </c>
      <c r="H771" s="285" t="s">
        <v>963</v>
      </c>
      <c r="I771" s="285" t="s">
        <v>1075</v>
      </c>
      <c r="J771" s="302">
        <v>7060230407932</v>
      </c>
      <c r="K771" s="282">
        <v>45194</v>
      </c>
      <c r="L771" s="285"/>
      <c r="M771" s="285"/>
      <c r="N771" s="285"/>
      <c r="O771" s="285"/>
      <c r="P771" s="285"/>
      <c r="Q771" s="285"/>
      <c r="R771" s="285"/>
      <c r="S771" s="285"/>
      <c r="T771" s="285"/>
      <c r="U771" s="285"/>
      <c r="V771" s="285"/>
      <c r="W771" s="285"/>
    </row>
    <row r="772" spans="1:23" x14ac:dyDescent="0.25">
      <c r="A772" s="31">
        <v>82</v>
      </c>
      <c r="B772" s="285" t="s">
        <v>3781</v>
      </c>
      <c r="C772" s="285" t="s">
        <v>3782</v>
      </c>
      <c r="D772" s="285" t="s">
        <v>1085</v>
      </c>
      <c r="E772" s="294">
        <v>49.95</v>
      </c>
      <c r="F772" s="285">
        <v>110</v>
      </c>
      <c r="G772" s="285" t="s">
        <v>3783</v>
      </c>
      <c r="H772" s="285" t="s">
        <v>963</v>
      </c>
      <c r="I772" s="285" t="s">
        <v>1075</v>
      </c>
      <c r="J772" s="302">
        <v>7030220211247</v>
      </c>
      <c r="K772" s="282">
        <v>45180</v>
      </c>
      <c r="L772" s="285"/>
      <c r="M772" s="285"/>
      <c r="N772" s="285"/>
      <c r="O772" s="285" t="s">
        <v>3784</v>
      </c>
      <c r="P772" s="285"/>
      <c r="Q772" s="285"/>
      <c r="R772" s="285"/>
      <c r="S772" s="285"/>
      <c r="T772" s="285"/>
      <c r="U772" s="285"/>
      <c r="V772" s="285"/>
      <c r="W772" s="285"/>
    </row>
    <row r="773" spans="1:23" x14ac:dyDescent="0.25">
      <c r="A773" s="31">
        <v>83</v>
      </c>
      <c r="B773" s="285" t="s">
        <v>3785</v>
      </c>
      <c r="C773" s="285" t="s">
        <v>3782</v>
      </c>
      <c r="D773" s="285" t="s">
        <v>1085</v>
      </c>
      <c r="E773" s="294">
        <v>49.95</v>
      </c>
      <c r="F773" s="285">
        <v>110</v>
      </c>
      <c r="G773" s="285" t="s">
        <v>3786</v>
      </c>
      <c r="H773" s="285" t="s">
        <v>963</v>
      </c>
      <c r="I773" s="285" t="s">
        <v>1075</v>
      </c>
      <c r="J773" s="302">
        <v>7030220211249</v>
      </c>
      <c r="K773" s="282">
        <v>45181</v>
      </c>
      <c r="L773" s="285"/>
      <c r="M773" s="285"/>
      <c r="N773" s="285"/>
      <c r="O773" s="285" t="s">
        <v>3787</v>
      </c>
      <c r="P773" s="285"/>
      <c r="Q773" s="285"/>
      <c r="R773" s="285"/>
      <c r="S773" s="285"/>
      <c r="T773" s="285"/>
      <c r="U773" s="285"/>
      <c r="V773" s="285"/>
      <c r="W773" s="285"/>
    </row>
    <row r="774" spans="1:23" x14ac:dyDescent="0.25">
      <c r="A774" s="31">
        <v>84</v>
      </c>
      <c r="B774" s="285" t="s">
        <v>1341</v>
      </c>
      <c r="C774" s="285" t="s">
        <v>3788</v>
      </c>
      <c r="D774" s="285" t="s">
        <v>1085</v>
      </c>
      <c r="E774" s="285">
        <v>4.5</v>
      </c>
      <c r="F774" s="285">
        <v>20</v>
      </c>
      <c r="G774" s="285" t="s">
        <v>3789</v>
      </c>
      <c r="H774" s="285" t="s">
        <v>3790</v>
      </c>
      <c r="I774" s="285" t="s">
        <v>1075</v>
      </c>
      <c r="J774" s="302">
        <v>7030231027254</v>
      </c>
      <c r="K774" s="282">
        <v>45204</v>
      </c>
      <c r="L774" s="285" t="s">
        <v>3791</v>
      </c>
      <c r="M774" s="295">
        <v>45205</v>
      </c>
      <c r="N774" s="285"/>
      <c r="O774" s="285" t="s">
        <v>25</v>
      </c>
      <c r="P774" s="285" t="s">
        <v>25</v>
      </c>
      <c r="Q774" s="285" t="s">
        <v>25</v>
      </c>
      <c r="R774" s="285"/>
      <c r="S774" s="285"/>
      <c r="T774" s="285"/>
      <c r="U774" s="285"/>
      <c r="V774" s="285"/>
      <c r="W774" s="285"/>
    </row>
    <row r="775" spans="1:23" x14ac:dyDescent="0.25">
      <c r="A775" s="31">
        <v>85</v>
      </c>
      <c r="B775" s="285" t="s">
        <v>3792</v>
      </c>
      <c r="C775" s="285" t="s">
        <v>1342</v>
      </c>
      <c r="D775" s="285" t="s">
        <v>1085</v>
      </c>
      <c r="E775" s="285">
        <v>3.7450000000000001</v>
      </c>
      <c r="F775" s="285">
        <v>20</v>
      </c>
      <c r="G775" s="285" t="s">
        <v>3793</v>
      </c>
      <c r="H775" s="285" t="s">
        <v>964</v>
      </c>
      <c r="I775" s="285" t="s">
        <v>1075</v>
      </c>
      <c r="J775" s="302">
        <v>7030230523541</v>
      </c>
      <c r="K775" s="282">
        <v>45196</v>
      </c>
      <c r="L775" s="285"/>
      <c r="M775" s="285"/>
      <c r="N775" s="285"/>
      <c r="O775" s="285" t="s">
        <v>3794</v>
      </c>
      <c r="P775" s="285"/>
      <c r="Q775" s="285"/>
      <c r="R775" s="285"/>
      <c r="S775" s="285"/>
      <c r="T775" s="285"/>
      <c r="U775" s="285"/>
      <c r="V775" s="285"/>
      <c r="W775" s="285"/>
    </row>
    <row r="776" spans="1:23" x14ac:dyDescent="0.25">
      <c r="A776" s="31">
        <v>86</v>
      </c>
      <c r="B776" s="285" t="s">
        <v>3795</v>
      </c>
      <c r="C776" s="285" t="s">
        <v>1090</v>
      </c>
      <c r="D776" s="285" t="s">
        <v>1090</v>
      </c>
      <c r="E776" s="285">
        <v>18</v>
      </c>
      <c r="F776" s="285">
        <v>20</v>
      </c>
      <c r="G776" s="285" t="s">
        <v>3796</v>
      </c>
      <c r="H776" s="285" t="s">
        <v>963</v>
      </c>
      <c r="I776" s="285" t="s">
        <v>1075</v>
      </c>
      <c r="J776" s="302">
        <v>7010230229775</v>
      </c>
      <c r="K776" s="282">
        <v>45197</v>
      </c>
      <c r="L776" s="285"/>
      <c r="M776" s="285"/>
      <c r="N776" s="285"/>
      <c r="O776" s="285" t="s">
        <v>25</v>
      </c>
      <c r="P776" s="285" t="s">
        <v>25</v>
      </c>
      <c r="Q776" s="285" t="s">
        <v>25</v>
      </c>
      <c r="R776" s="285"/>
      <c r="S776" s="285"/>
      <c r="T776" s="285"/>
      <c r="U776" s="285"/>
      <c r="V776" s="285"/>
      <c r="W776" s="285"/>
    </row>
    <row r="777" spans="1:23" x14ac:dyDescent="0.25">
      <c r="A777" s="31">
        <v>87</v>
      </c>
      <c r="B777" s="285" t="s">
        <v>3797</v>
      </c>
      <c r="C777" s="285" t="s">
        <v>3228</v>
      </c>
      <c r="D777" s="285" t="s">
        <v>1085</v>
      </c>
      <c r="E777" s="285">
        <v>34</v>
      </c>
      <c r="F777" s="285">
        <v>110</v>
      </c>
      <c r="G777" s="285" t="s">
        <v>3798</v>
      </c>
      <c r="H777" s="285" t="s">
        <v>963</v>
      </c>
      <c r="I777" s="285" t="s">
        <v>1075</v>
      </c>
      <c r="J777" s="302">
        <v>7030221118662</v>
      </c>
      <c r="K777" s="282">
        <v>45210</v>
      </c>
      <c r="L777" s="285"/>
      <c r="M777" s="285"/>
      <c r="N777" s="285"/>
      <c r="O777" s="285"/>
      <c r="P777" s="285" t="s">
        <v>3799</v>
      </c>
      <c r="Q777" s="285"/>
      <c r="R777" s="285"/>
      <c r="S777" s="285"/>
      <c r="T777" s="285"/>
      <c r="U777" s="285"/>
      <c r="V777" s="285"/>
      <c r="W777" s="285"/>
    </row>
    <row r="778" spans="1:23" x14ac:dyDescent="0.25">
      <c r="A778" s="31">
        <v>88</v>
      </c>
      <c r="B778" s="285" t="s">
        <v>3800</v>
      </c>
      <c r="C778" s="285" t="s">
        <v>3801</v>
      </c>
      <c r="D778" s="285" t="s">
        <v>1072</v>
      </c>
      <c r="E778" s="285">
        <v>3.65</v>
      </c>
      <c r="F778" s="285">
        <v>20</v>
      </c>
      <c r="G778" s="285" t="s">
        <v>3802</v>
      </c>
      <c r="H778" s="285" t="s">
        <v>964</v>
      </c>
      <c r="I778" s="285" t="s">
        <v>1075</v>
      </c>
      <c r="J778" s="302">
        <v>7020230117783</v>
      </c>
      <c r="K778" s="282">
        <v>45204</v>
      </c>
      <c r="L778" s="285" t="s">
        <v>4082</v>
      </c>
      <c r="M778" s="295">
        <v>45274</v>
      </c>
      <c r="N778" s="285"/>
      <c r="O778" s="285"/>
      <c r="P778" s="285"/>
      <c r="Q778" s="285"/>
      <c r="R778" s="285"/>
      <c r="S778" s="285"/>
      <c r="T778" s="285"/>
      <c r="U778" s="285"/>
      <c r="V778" s="285"/>
      <c r="W778" s="285"/>
    </row>
    <row r="779" spans="1:23" x14ac:dyDescent="0.25">
      <c r="A779" s="31">
        <v>89</v>
      </c>
      <c r="B779" s="285" t="s">
        <v>2852</v>
      </c>
      <c r="C779" s="285" t="s">
        <v>2853</v>
      </c>
      <c r="D779" s="285" t="s">
        <v>1085</v>
      </c>
      <c r="E779" s="285">
        <v>3</v>
      </c>
      <c r="F779" s="285">
        <v>20</v>
      </c>
      <c r="G779" s="285" t="s">
        <v>3803</v>
      </c>
      <c r="H779" s="285" t="s">
        <v>3178</v>
      </c>
      <c r="I779" s="285" t="s">
        <v>1075</v>
      </c>
      <c r="J779" s="302">
        <v>7030231027415</v>
      </c>
      <c r="K779" s="282">
        <v>45211</v>
      </c>
      <c r="L779" s="285" t="s">
        <v>3804</v>
      </c>
      <c r="M779" s="295">
        <v>45212</v>
      </c>
      <c r="N779" s="285"/>
      <c r="O779" s="285"/>
      <c r="P779" s="285"/>
      <c r="Q779" s="285"/>
      <c r="R779" s="285"/>
      <c r="S779" s="285"/>
      <c r="T779" s="285"/>
      <c r="U779" s="285"/>
      <c r="V779" s="285"/>
      <c r="W779" s="285"/>
    </row>
    <row r="780" spans="1:23" x14ac:dyDescent="0.25">
      <c r="A780" s="31">
        <v>90</v>
      </c>
      <c r="B780" s="285" t="s">
        <v>3988</v>
      </c>
      <c r="C780" s="285" t="s">
        <v>1108</v>
      </c>
      <c r="D780" s="285" t="s">
        <v>1090</v>
      </c>
      <c r="E780" s="294">
        <v>4.7300000000000004</v>
      </c>
      <c r="F780" s="285">
        <v>20</v>
      </c>
      <c r="G780" s="285" t="s">
        <v>3989</v>
      </c>
      <c r="H780" s="285" t="s">
        <v>963</v>
      </c>
      <c r="I780" s="285" t="s">
        <v>1075</v>
      </c>
      <c r="J780" s="302">
        <v>7010230128796</v>
      </c>
      <c r="K780" s="282">
        <v>45215</v>
      </c>
      <c r="L780" s="285"/>
      <c r="M780" s="295"/>
      <c r="N780" s="285"/>
      <c r="O780" s="285" t="s">
        <v>25</v>
      </c>
      <c r="P780" s="285" t="s">
        <v>25</v>
      </c>
      <c r="Q780" s="285" t="s">
        <v>25</v>
      </c>
      <c r="R780" s="285"/>
      <c r="S780" s="285"/>
      <c r="T780" s="285"/>
      <c r="U780" s="285"/>
      <c r="V780" s="285"/>
      <c r="W780" s="285"/>
    </row>
    <row r="781" spans="1:23" x14ac:dyDescent="0.25">
      <c r="A781" s="31">
        <v>91</v>
      </c>
      <c r="B781" s="285" t="s">
        <v>3990</v>
      </c>
      <c r="C781" s="285" t="s">
        <v>3991</v>
      </c>
      <c r="D781" s="285" t="s">
        <v>1080</v>
      </c>
      <c r="E781" s="294">
        <v>2.2999999999999998</v>
      </c>
      <c r="F781" s="285">
        <v>20</v>
      </c>
      <c r="G781" s="285" t="s">
        <v>3992</v>
      </c>
      <c r="H781" s="285" t="s">
        <v>964</v>
      </c>
      <c r="I781" s="285" t="s">
        <v>1075</v>
      </c>
      <c r="J781" s="302">
        <v>7040230919714</v>
      </c>
      <c r="K781" s="282">
        <v>45209</v>
      </c>
      <c r="L781" s="285"/>
      <c r="M781" s="295"/>
      <c r="N781" s="285"/>
      <c r="O781" s="285" t="s">
        <v>25</v>
      </c>
      <c r="P781" s="285" t="s">
        <v>25</v>
      </c>
      <c r="Q781" s="285" t="s">
        <v>25</v>
      </c>
      <c r="R781" s="285"/>
      <c r="S781" s="285"/>
      <c r="T781" s="285"/>
      <c r="U781" s="285"/>
      <c r="V781" s="285"/>
      <c r="W781" s="285"/>
    </row>
    <row r="782" spans="1:23" x14ac:dyDescent="0.25">
      <c r="A782" s="31">
        <v>92</v>
      </c>
      <c r="B782" s="285" t="s">
        <v>3993</v>
      </c>
      <c r="C782" s="285" t="s">
        <v>3994</v>
      </c>
      <c r="D782" s="285" t="s">
        <v>1080</v>
      </c>
      <c r="E782" s="294">
        <v>1.42</v>
      </c>
      <c r="F782" s="285">
        <v>20</v>
      </c>
      <c r="G782" s="285" t="s">
        <v>3995</v>
      </c>
      <c r="H782" s="285" t="s">
        <v>964</v>
      </c>
      <c r="I782" s="285" t="s">
        <v>1075</v>
      </c>
      <c r="J782" s="302">
        <v>7040231020312</v>
      </c>
      <c r="K782" s="282">
        <v>45210</v>
      </c>
      <c r="L782" s="285"/>
      <c r="M782" s="295"/>
      <c r="N782" s="285"/>
      <c r="O782" s="285" t="s">
        <v>25</v>
      </c>
      <c r="P782" s="285" t="s">
        <v>25</v>
      </c>
      <c r="Q782" s="285" t="s">
        <v>25</v>
      </c>
      <c r="R782" s="285"/>
      <c r="S782" s="285"/>
      <c r="T782" s="285"/>
      <c r="U782" s="285"/>
      <c r="V782" s="285"/>
      <c r="W782" s="285"/>
    </row>
    <row r="783" spans="1:23" x14ac:dyDescent="0.25">
      <c r="A783" s="31">
        <v>93</v>
      </c>
      <c r="B783" s="285" t="s">
        <v>3996</v>
      </c>
      <c r="C783" s="285" t="s">
        <v>1072</v>
      </c>
      <c r="D783" s="285" t="s">
        <v>1072</v>
      </c>
      <c r="E783" s="294">
        <v>1.7</v>
      </c>
      <c r="F783" s="285">
        <v>20</v>
      </c>
      <c r="G783" s="285" t="s">
        <v>3997</v>
      </c>
      <c r="H783" s="285" t="s">
        <v>964</v>
      </c>
      <c r="I783" s="285" t="s">
        <v>1075</v>
      </c>
      <c r="J783" s="302">
        <v>7020231024791</v>
      </c>
      <c r="K783" s="282">
        <v>45210</v>
      </c>
      <c r="L783" s="285"/>
      <c r="M783" s="285"/>
      <c r="N783" s="285"/>
      <c r="O783" s="285" t="s">
        <v>25</v>
      </c>
      <c r="P783" s="285" t="s">
        <v>25</v>
      </c>
      <c r="Q783" s="285" t="s">
        <v>25</v>
      </c>
      <c r="R783" s="285"/>
      <c r="S783" s="285"/>
      <c r="T783" s="285"/>
      <c r="U783" s="285"/>
      <c r="V783" s="285"/>
      <c r="W783" s="285"/>
    </row>
    <row r="784" spans="1:23" x14ac:dyDescent="0.25">
      <c r="A784" s="31">
        <v>94</v>
      </c>
      <c r="B784" s="285" t="s">
        <v>3998</v>
      </c>
      <c r="C784" s="285" t="s">
        <v>3451</v>
      </c>
      <c r="D784" s="285" t="s">
        <v>1072</v>
      </c>
      <c r="E784" s="294">
        <v>2.97</v>
      </c>
      <c r="F784" s="285">
        <v>20</v>
      </c>
      <c r="G784" s="285" t="s">
        <v>3999</v>
      </c>
      <c r="H784" s="285" t="s">
        <v>963</v>
      </c>
      <c r="I784" s="285" t="s">
        <v>1075</v>
      </c>
      <c r="J784" s="302">
        <v>7020231024872</v>
      </c>
      <c r="K784" s="282">
        <v>45218</v>
      </c>
      <c r="L784" s="285"/>
      <c r="M784" s="285"/>
      <c r="N784" s="285"/>
      <c r="O784" s="285" t="s">
        <v>25</v>
      </c>
      <c r="P784" s="285" t="s">
        <v>25</v>
      </c>
      <c r="Q784" s="285" t="s">
        <v>25</v>
      </c>
      <c r="R784" s="285"/>
      <c r="S784" s="285"/>
      <c r="T784" s="285"/>
      <c r="U784" s="285"/>
      <c r="V784" s="285"/>
      <c r="W784" s="285"/>
    </row>
    <row r="785" spans="1:23" x14ac:dyDescent="0.25">
      <c r="A785" s="31">
        <v>95</v>
      </c>
      <c r="B785" s="285" t="s">
        <v>4000</v>
      </c>
      <c r="C785" s="285" t="s">
        <v>4001</v>
      </c>
      <c r="D785" s="285" t="s">
        <v>1072</v>
      </c>
      <c r="E785" s="294">
        <v>46.2</v>
      </c>
      <c r="F785" s="285">
        <v>110</v>
      </c>
      <c r="G785" s="285" t="s">
        <v>4002</v>
      </c>
      <c r="H785" s="285" t="s">
        <v>963</v>
      </c>
      <c r="I785" s="285" t="s">
        <v>1075</v>
      </c>
      <c r="J785" s="302">
        <v>7020210100054</v>
      </c>
      <c r="K785" s="282">
        <v>45216</v>
      </c>
      <c r="L785" s="285"/>
      <c r="M785" s="285"/>
      <c r="N785" s="285"/>
      <c r="O785" s="285" t="s">
        <v>25</v>
      </c>
      <c r="P785" s="285" t="s">
        <v>25</v>
      </c>
      <c r="Q785" s="285" t="s">
        <v>25</v>
      </c>
      <c r="R785" s="285"/>
      <c r="S785" s="285"/>
      <c r="T785" s="285"/>
      <c r="U785" s="285"/>
      <c r="V785" s="285"/>
      <c r="W785" s="285"/>
    </row>
    <row r="786" spans="1:23" x14ac:dyDescent="0.25">
      <c r="A786" s="31">
        <v>96</v>
      </c>
      <c r="B786" s="285" t="s">
        <v>4003</v>
      </c>
      <c r="C786" s="285" t="s">
        <v>4004</v>
      </c>
      <c r="D786" s="285" t="s">
        <v>1080</v>
      </c>
      <c r="E786" s="294">
        <v>4.968</v>
      </c>
      <c r="F786" s="285">
        <v>20</v>
      </c>
      <c r="G786" s="285" t="s">
        <v>4005</v>
      </c>
      <c r="H786" s="285" t="s">
        <v>963</v>
      </c>
      <c r="I786" s="285" t="s">
        <v>1075</v>
      </c>
      <c r="J786" s="302">
        <v>7040221214233</v>
      </c>
      <c r="K786" s="282">
        <v>45232</v>
      </c>
      <c r="L786" s="285"/>
      <c r="M786" s="285"/>
      <c r="N786" s="285"/>
      <c r="O786" s="285" t="s">
        <v>25</v>
      </c>
      <c r="P786" s="285" t="s">
        <v>25</v>
      </c>
      <c r="Q786" s="285" t="s">
        <v>25</v>
      </c>
      <c r="R786" s="285"/>
      <c r="S786" s="285"/>
      <c r="T786" s="285"/>
      <c r="U786" s="285"/>
      <c r="V786" s="285"/>
      <c r="W786" s="285"/>
    </row>
    <row r="787" spans="1:23" x14ac:dyDescent="0.25">
      <c r="A787" s="31">
        <v>97</v>
      </c>
      <c r="B787" s="285" t="s">
        <v>4006</v>
      </c>
      <c r="C787" s="285" t="s">
        <v>4007</v>
      </c>
      <c r="D787" s="285" t="s">
        <v>1085</v>
      </c>
      <c r="E787" s="294">
        <v>49.875</v>
      </c>
      <c r="F787" s="285">
        <v>110</v>
      </c>
      <c r="G787" s="285" t="s">
        <v>4008</v>
      </c>
      <c r="H787" s="285" t="s">
        <v>963</v>
      </c>
      <c r="I787" s="285" t="s">
        <v>1075</v>
      </c>
      <c r="J787" s="302">
        <v>7030220312377</v>
      </c>
      <c r="K787" s="282">
        <v>45237</v>
      </c>
      <c r="L787" s="285"/>
      <c r="M787" s="285"/>
      <c r="N787" s="285"/>
      <c r="O787" s="285"/>
      <c r="P787" s="285"/>
      <c r="Q787" s="285"/>
      <c r="R787" s="285"/>
      <c r="S787" s="285"/>
      <c r="T787" s="285"/>
      <c r="U787" s="285"/>
      <c r="V787" s="285"/>
      <c r="W787" s="285"/>
    </row>
    <row r="788" spans="1:23" x14ac:dyDescent="0.25">
      <c r="A788" s="31">
        <v>98</v>
      </c>
      <c r="B788" s="285" t="s">
        <v>4009</v>
      </c>
      <c r="C788" s="285" t="s">
        <v>4010</v>
      </c>
      <c r="D788" s="285" t="s">
        <v>1080</v>
      </c>
      <c r="E788" s="294">
        <v>2</v>
      </c>
      <c r="F788" s="285">
        <v>20</v>
      </c>
      <c r="G788" s="285" t="s">
        <v>4011</v>
      </c>
      <c r="H788" s="285" t="s">
        <v>963</v>
      </c>
      <c r="I788" s="285" t="s">
        <v>1075</v>
      </c>
      <c r="J788" s="302">
        <v>7040220711374</v>
      </c>
      <c r="K788" s="282">
        <v>45245</v>
      </c>
      <c r="L788" s="285"/>
      <c r="M788" s="285"/>
      <c r="N788" s="285"/>
      <c r="O788" s="285"/>
      <c r="P788" s="285"/>
      <c r="Q788" s="285"/>
      <c r="R788" s="285"/>
      <c r="S788" s="285"/>
      <c r="T788" s="285"/>
      <c r="U788" s="285"/>
      <c r="V788" s="285"/>
      <c r="W788" s="285"/>
    </row>
    <row r="789" spans="1:23" x14ac:dyDescent="0.25">
      <c r="A789" s="31">
        <v>99</v>
      </c>
      <c r="B789" s="285" t="s">
        <v>4012</v>
      </c>
      <c r="C789" s="285" t="s">
        <v>4013</v>
      </c>
      <c r="D789" s="285" t="s">
        <v>2870</v>
      </c>
      <c r="E789" s="294">
        <v>20.21</v>
      </c>
      <c r="F789" s="285">
        <v>110</v>
      </c>
      <c r="G789" s="285" t="s">
        <v>4014</v>
      </c>
      <c r="H789" s="285" t="s">
        <v>963</v>
      </c>
      <c r="I789" s="285" t="s">
        <v>1075</v>
      </c>
      <c r="J789" s="302">
        <v>7060220905964</v>
      </c>
      <c r="K789" s="282">
        <v>45244</v>
      </c>
      <c r="L789" s="285"/>
      <c r="M789" s="285"/>
      <c r="N789" s="285"/>
      <c r="O789" s="285"/>
      <c r="P789" s="285"/>
      <c r="Q789" s="285"/>
      <c r="R789" s="285"/>
      <c r="S789" s="285"/>
      <c r="T789" s="285"/>
      <c r="U789" s="285"/>
      <c r="V789" s="285"/>
      <c r="W789" s="285"/>
    </row>
    <row r="790" spans="1:23" x14ac:dyDescent="0.25">
      <c r="A790" s="31">
        <v>100</v>
      </c>
      <c r="B790" s="285" t="s">
        <v>4015</v>
      </c>
      <c r="C790" s="285" t="s">
        <v>4016</v>
      </c>
      <c r="D790" s="285" t="s">
        <v>1080</v>
      </c>
      <c r="E790" s="294">
        <v>4.9000000000000004</v>
      </c>
      <c r="F790" s="285">
        <v>20</v>
      </c>
      <c r="G790" s="285" t="s">
        <v>4017</v>
      </c>
      <c r="H790" s="285" t="s">
        <v>963</v>
      </c>
      <c r="I790" s="285" t="s">
        <v>1075</v>
      </c>
      <c r="J790" s="302">
        <v>7040221214178</v>
      </c>
      <c r="K790" s="282">
        <v>45243</v>
      </c>
      <c r="L790" s="285"/>
      <c r="M790" s="285"/>
      <c r="N790" s="285"/>
      <c r="O790" s="285"/>
      <c r="P790" s="285"/>
      <c r="Q790" s="285"/>
      <c r="R790" s="285"/>
      <c r="S790" s="285"/>
      <c r="T790" s="285"/>
      <c r="U790" s="285"/>
      <c r="V790" s="285"/>
      <c r="W790" s="285"/>
    </row>
    <row r="791" spans="1:23" x14ac:dyDescent="0.25">
      <c r="A791" s="31">
        <v>101</v>
      </c>
      <c r="B791" s="285" t="s">
        <v>4018</v>
      </c>
      <c r="C791" s="285" t="s">
        <v>1122</v>
      </c>
      <c r="D791" s="285" t="s">
        <v>1085</v>
      </c>
      <c r="E791" s="294">
        <v>31</v>
      </c>
      <c r="F791" s="285">
        <v>110</v>
      </c>
      <c r="G791" s="285" t="s">
        <v>4019</v>
      </c>
      <c r="H791" s="285" t="s">
        <v>963</v>
      </c>
      <c r="I791" s="285" t="s">
        <v>1075</v>
      </c>
      <c r="J791" s="302">
        <v>7030220916582</v>
      </c>
      <c r="K791" s="282">
        <v>45246</v>
      </c>
      <c r="L791" s="285"/>
      <c r="M791" s="285"/>
      <c r="N791" s="285"/>
      <c r="O791" s="285"/>
      <c r="P791" s="285"/>
      <c r="Q791" s="285"/>
      <c r="R791" s="285"/>
      <c r="S791" s="285"/>
      <c r="T791" s="285"/>
      <c r="U791" s="285"/>
      <c r="V791" s="285"/>
      <c r="W791" s="285"/>
    </row>
    <row r="792" spans="1:23" x14ac:dyDescent="0.25">
      <c r="A792" s="31">
        <v>102</v>
      </c>
      <c r="B792" s="285" t="s">
        <v>4020</v>
      </c>
      <c r="C792" s="285" t="s">
        <v>1122</v>
      </c>
      <c r="D792" s="285" t="s">
        <v>1085</v>
      </c>
      <c r="E792" s="294">
        <v>18</v>
      </c>
      <c r="F792" s="285">
        <v>110</v>
      </c>
      <c r="G792" s="285" t="s">
        <v>4019</v>
      </c>
      <c r="H792" s="285" t="s">
        <v>963</v>
      </c>
      <c r="I792" s="285" t="s">
        <v>1075</v>
      </c>
      <c r="J792" s="302">
        <v>7030220916585</v>
      </c>
      <c r="K792" s="282">
        <v>45246</v>
      </c>
      <c r="L792" s="285"/>
      <c r="M792" s="285"/>
      <c r="N792" s="285"/>
      <c r="O792" s="285"/>
      <c r="P792" s="285"/>
      <c r="Q792" s="285"/>
      <c r="R792" s="285"/>
      <c r="S792" s="285"/>
      <c r="T792" s="285"/>
      <c r="U792" s="285"/>
      <c r="V792" s="285"/>
      <c r="W792" s="285"/>
    </row>
    <row r="793" spans="1:23" x14ac:dyDescent="0.25">
      <c r="A793" s="31">
        <v>103</v>
      </c>
      <c r="B793" s="285" t="s">
        <v>4022</v>
      </c>
      <c r="C793" s="285" t="s">
        <v>2850</v>
      </c>
      <c r="D793" s="285" t="s">
        <v>1080</v>
      </c>
      <c r="E793" s="294">
        <v>8.4730000000000008</v>
      </c>
      <c r="F793" s="285">
        <v>20</v>
      </c>
      <c r="G793" s="285" t="s">
        <v>4023</v>
      </c>
      <c r="H793" s="285" t="s">
        <v>963</v>
      </c>
      <c r="I793" s="285" t="s">
        <v>1075</v>
      </c>
      <c r="J793" s="302">
        <v>7040230114916</v>
      </c>
      <c r="K793" s="282">
        <v>45253</v>
      </c>
      <c r="L793" s="285"/>
      <c r="M793" s="285"/>
      <c r="N793" s="285"/>
      <c r="O793" s="285"/>
      <c r="P793" s="285"/>
      <c r="Q793" s="285"/>
      <c r="R793" s="285"/>
      <c r="S793" s="285"/>
      <c r="T793" s="285"/>
      <c r="U793" s="285"/>
      <c r="V793" s="285"/>
      <c r="W793" s="285"/>
    </row>
    <row r="794" spans="1:23" x14ac:dyDescent="0.25">
      <c r="A794" s="31">
        <v>104</v>
      </c>
      <c r="B794" s="285" t="s">
        <v>4024</v>
      </c>
      <c r="C794" s="285" t="s">
        <v>4025</v>
      </c>
      <c r="D794" s="285" t="s">
        <v>1085</v>
      </c>
      <c r="E794" s="294">
        <v>2.399</v>
      </c>
      <c r="F794" s="285">
        <v>20</v>
      </c>
      <c r="G794" s="285" t="s">
        <v>4026</v>
      </c>
      <c r="H794" s="285" t="s">
        <v>963</v>
      </c>
      <c r="I794" s="285" t="s">
        <v>1075</v>
      </c>
      <c r="J794" s="302">
        <v>7030230725265</v>
      </c>
      <c r="K794" s="282">
        <v>45254</v>
      </c>
      <c r="L794" s="285"/>
      <c r="M794" s="285"/>
      <c r="N794" s="285"/>
      <c r="O794" s="285"/>
      <c r="P794" s="285"/>
      <c r="Q794" s="285"/>
      <c r="R794" s="285"/>
      <c r="S794" s="285"/>
      <c r="T794" s="285"/>
      <c r="U794" s="285"/>
      <c r="V794" s="285"/>
      <c r="W794" s="285"/>
    </row>
    <row r="795" spans="1:23" x14ac:dyDescent="0.25">
      <c r="A795" s="31">
        <v>105</v>
      </c>
      <c r="B795" s="285" t="s">
        <v>4027</v>
      </c>
      <c r="C795" s="285" t="s">
        <v>1072</v>
      </c>
      <c r="D795" s="285" t="s">
        <v>1072</v>
      </c>
      <c r="E795" s="294">
        <v>1.1000000000000001</v>
      </c>
      <c r="F795" s="285">
        <v>20</v>
      </c>
      <c r="G795" s="285" t="s">
        <v>4028</v>
      </c>
      <c r="H795" s="285" t="s">
        <v>964</v>
      </c>
      <c r="I795" s="285" t="s">
        <v>1075</v>
      </c>
      <c r="J795" s="302">
        <v>7020231126057</v>
      </c>
      <c r="K795" s="282">
        <v>45253</v>
      </c>
      <c r="L795" s="285"/>
      <c r="M795" s="285"/>
      <c r="N795" s="285"/>
      <c r="O795" s="285"/>
      <c r="P795" s="285"/>
      <c r="Q795" s="285"/>
      <c r="R795" s="285"/>
      <c r="S795" s="285"/>
      <c r="T795" s="285"/>
      <c r="U795" s="285"/>
      <c r="V795" s="285"/>
      <c r="W795" s="285"/>
    </row>
    <row r="796" spans="1:23" x14ac:dyDescent="0.25">
      <c r="A796" s="31">
        <v>106</v>
      </c>
      <c r="B796" s="285" t="s">
        <v>4031</v>
      </c>
      <c r="C796" s="285" t="s">
        <v>2331</v>
      </c>
      <c r="D796" s="285" t="s">
        <v>1080</v>
      </c>
      <c r="E796" s="285">
        <v>41.125</v>
      </c>
      <c r="F796" s="285">
        <v>110</v>
      </c>
      <c r="G796" s="285" t="s">
        <v>4032</v>
      </c>
      <c r="H796" s="285" t="s">
        <v>963</v>
      </c>
      <c r="I796" s="285" t="s">
        <v>1075</v>
      </c>
      <c r="J796" s="302">
        <v>7040221113503</v>
      </c>
      <c r="K796" s="282">
        <v>45257</v>
      </c>
      <c r="L796" s="285"/>
      <c r="M796" s="285"/>
      <c r="N796" s="285"/>
      <c r="O796" s="285"/>
      <c r="P796" s="285"/>
      <c r="Q796" s="285"/>
      <c r="R796" s="285"/>
      <c r="S796" s="285"/>
      <c r="T796" s="285"/>
      <c r="U796" s="285"/>
      <c r="V796" s="285"/>
      <c r="W796" s="285"/>
    </row>
    <row r="797" spans="1:23" x14ac:dyDescent="0.25">
      <c r="A797" s="31">
        <v>107</v>
      </c>
      <c r="B797" s="285" t="s">
        <v>4085</v>
      </c>
      <c r="C797" s="285" t="s">
        <v>4086</v>
      </c>
      <c r="D797" s="285" t="s">
        <v>1080</v>
      </c>
      <c r="E797" s="294">
        <v>47.545000000000002</v>
      </c>
      <c r="F797" s="285">
        <v>110</v>
      </c>
      <c r="G797" s="285" t="s">
        <v>4087</v>
      </c>
      <c r="H797" s="285" t="s">
        <v>963</v>
      </c>
      <c r="I797" s="285" t="s">
        <v>1075</v>
      </c>
      <c r="J797" s="302">
        <v>7040220912442</v>
      </c>
      <c r="K797" s="282">
        <v>45264</v>
      </c>
      <c r="L797" s="285"/>
      <c r="M797" s="285"/>
      <c r="N797" s="285"/>
      <c r="O797" s="285"/>
      <c r="P797" s="285"/>
      <c r="Q797" s="285"/>
      <c r="R797" s="285"/>
      <c r="S797" s="285"/>
      <c r="T797" s="285"/>
      <c r="U797" s="285"/>
      <c r="V797" s="285"/>
      <c r="W797" s="285"/>
    </row>
    <row r="798" spans="1:23" x14ac:dyDescent="0.25">
      <c r="A798" s="31">
        <v>108</v>
      </c>
      <c r="B798" s="285" t="s">
        <v>4088</v>
      </c>
      <c r="C798" s="285" t="s">
        <v>4089</v>
      </c>
      <c r="D798" s="285" t="s">
        <v>1080</v>
      </c>
      <c r="E798" s="294">
        <v>4.9000000000000004</v>
      </c>
      <c r="F798" s="285">
        <v>20</v>
      </c>
      <c r="G798" s="285" t="s">
        <v>4090</v>
      </c>
      <c r="H798" s="285" t="s">
        <v>963</v>
      </c>
      <c r="I798" s="285" t="s">
        <v>1075</v>
      </c>
      <c r="J798" s="302">
        <v>7040230215520</v>
      </c>
      <c r="K798" s="282">
        <v>45265</v>
      </c>
      <c r="L798" s="285"/>
      <c r="M798" s="285"/>
      <c r="N798" s="285"/>
      <c r="O798" s="285"/>
      <c r="P798" s="285"/>
      <c r="Q798" s="285"/>
      <c r="R798" s="285"/>
      <c r="S798" s="285"/>
      <c r="T798" s="285"/>
      <c r="U798" s="285"/>
      <c r="V798" s="285"/>
      <c r="W798" s="285"/>
    </row>
    <row r="799" spans="1:23" x14ac:dyDescent="0.25">
      <c r="A799" s="31">
        <v>109</v>
      </c>
      <c r="B799" s="285" t="s">
        <v>4091</v>
      </c>
      <c r="C799" s="285" t="s">
        <v>4092</v>
      </c>
      <c r="D799" s="285" t="s">
        <v>1072</v>
      </c>
      <c r="E799" s="285">
        <v>1.3360000000000001</v>
      </c>
      <c r="F799" s="285">
        <v>20</v>
      </c>
      <c r="G799" s="285" t="s">
        <v>4093</v>
      </c>
      <c r="H799" s="285" t="s">
        <v>963</v>
      </c>
      <c r="I799" s="285" t="s">
        <v>1075</v>
      </c>
      <c r="J799" s="302">
        <v>7020230319524</v>
      </c>
      <c r="K799" s="282">
        <v>45268</v>
      </c>
      <c r="L799" s="285"/>
      <c r="M799" s="285"/>
      <c r="N799" s="285"/>
      <c r="O799" s="285"/>
      <c r="P799" s="285"/>
      <c r="Q799" s="285"/>
      <c r="R799" s="285"/>
      <c r="S799" s="285"/>
      <c r="T799" s="285"/>
      <c r="U799" s="285"/>
      <c r="V799" s="285"/>
      <c r="W799" s="285"/>
    </row>
    <row r="800" spans="1:23" x14ac:dyDescent="0.25">
      <c r="A800" s="31">
        <v>110</v>
      </c>
      <c r="B800" s="285" t="s">
        <v>4094</v>
      </c>
      <c r="C800" s="285" t="s">
        <v>1108</v>
      </c>
      <c r="D800" s="285" t="s">
        <v>1090</v>
      </c>
      <c r="E800" s="294">
        <v>1.2</v>
      </c>
      <c r="F800" s="285">
        <v>20</v>
      </c>
      <c r="G800" s="285" t="s">
        <v>4095</v>
      </c>
      <c r="H800" s="285" t="s">
        <v>963</v>
      </c>
      <c r="I800" s="285" t="s">
        <v>1075</v>
      </c>
      <c r="J800" s="302">
        <v>7010230736743</v>
      </c>
      <c r="K800" s="282">
        <v>45271</v>
      </c>
      <c r="L800" s="285"/>
      <c r="M800" s="295"/>
      <c r="N800" s="285"/>
      <c r="O800" s="285"/>
      <c r="P800" s="285"/>
      <c r="Q800" s="285"/>
      <c r="R800" s="285"/>
      <c r="S800" s="285"/>
      <c r="T800" s="285"/>
      <c r="U800" s="285"/>
      <c r="V800" s="285"/>
      <c r="W800" s="285"/>
    </row>
    <row r="801" spans="1:23" x14ac:dyDescent="0.25">
      <c r="A801" s="31">
        <v>111</v>
      </c>
      <c r="B801" s="285" t="s">
        <v>4096</v>
      </c>
      <c r="C801" s="285" t="s">
        <v>1121</v>
      </c>
      <c r="D801" s="285" t="s">
        <v>1072</v>
      </c>
      <c r="E801" s="294">
        <v>1.875</v>
      </c>
      <c r="F801" s="285">
        <v>20</v>
      </c>
      <c r="G801" s="285" t="s">
        <v>4097</v>
      </c>
      <c r="H801" s="285" t="s">
        <v>964</v>
      </c>
      <c r="I801" s="285" t="s">
        <v>1075</v>
      </c>
      <c r="J801" s="302">
        <v>7020231125906</v>
      </c>
      <c r="K801" s="282">
        <v>45268</v>
      </c>
      <c r="L801" s="285"/>
      <c r="M801" s="295"/>
      <c r="N801" s="285"/>
      <c r="O801" s="285"/>
      <c r="P801" s="285"/>
      <c r="Q801" s="285"/>
      <c r="R801" s="285"/>
      <c r="S801" s="285"/>
      <c r="T801" s="285"/>
      <c r="U801" s="285"/>
      <c r="V801" s="285"/>
      <c r="W801" s="285"/>
    </row>
    <row r="802" spans="1:23" x14ac:dyDescent="0.25">
      <c r="A802" s="31">
        <v>112</v>
      </c>
      <c r="B802" s="285" t="s">
        <v>4098</v>
      </c>
      <c r="C802" s="285" t="s">
        <v>2192</v>
      </c>
      <c r="D802" s="285" t="s">
        <v>1072</v>
      </c>
      <c r="E802" s="294">
        <v>30.274999999999999</v>
      </c>
      <c r="F802" s="285">
        <v>110</v>
      </c>
      <c r="G802" s="285" t="s">
        <v>4099</v>
      </c>
      <c r="H802" s="285" t="s">
        <v>963</v>
      </c>
      <c r="I802" s="285" t="s">
        <v>1075</v>
      </c>
      <c r="J802" s="302">
        <v>7020231226251</v>
      </c>
      <c r="K802" s="282">
        <v>45266</v>
      </c>
      <c r="L802" s="285" t="s">
        <v>4250</v>
      </c>
      <c r="M802" s="295">
        <v>45282</v>
      </c>
      <c r="N802" s="285"/>
      <c r="O802" s="285"/>
      <c r="P802" s="285"/>
      <c r="Q802" s="285"/>
      <c r="R802" s="285"/>
      <c r="S802" s="285"/>
      <c r="T802" s="285"/>
      <c r="U802" s="285"/>
      <c r="V802" s="285"/>
      <c r="W802" s="285"/>
    </row>
    <row r="803" spans="1:23" x14ac:dyDescent="0.25">
      <c r="A803" s="31">
        <v>113</v>
      </c>
      <c r="B803" s="285" t="s">
        <v>4100</v>
      </c>
      <c r="C803" s="285" t="s">
        <v>4101</v>
      </c>
      <c r="D803" s="285" t="s">
        <v>1085</v>
      </c>
      <c r="E803" s="294">
        <v>1.7</v>
      </c>
      <c r="F803" s="285">
        <v>20</v>
      </c>
      <c r="G803" s="285" t="s">
        <v>4102</v>
      </c>
      <c r="H803" s="285" t="s">
        <v>4103</v>
      </c>
      <c r="I803" s="285" t="s">
        <v>1075</v>
      </c>
      <c r="J803" s="302">
        <v>7030231229021</v>
      </c>
      <c r="K803" s="282">
        <v>45272</v>
      </c>
      <c r="L803" s="285" t="s">
        <v>4251</v>
      </c>
      <c r="M803" s="295">
        <v>45278</v>
      </c>
      <c r="N803" s="285"/>
      <c r="O803" s="285"/>
      <c r="P803" s="285"/>
      <c r="Q803" s="285"/>
      <c r="R803" s="285"/>
      <c r="S803" s="285"/>
      <c r="T803" s="285"/>
      <c r="U803" s="285"/>
      <c r="V803" s="285"/>
      <c r="W803" s="285"/>
    </row>
    <row r="804" spans="1:23" x14ac:dyDescent="0.25">
      <c r="A804" s="31">
        <v>114</v>
      </c>
      <c r="B804" s="285" t="s">
        <v>4244</v>
      </c>
      <c r="C804" s="285" t="s">
        <v>4245</v>
      </c>
      <c r="D804" s="285" t="s">
        <v>1100</v>
      </c>
      <c r="E804" s="294">
        <v>1</v>
      </c>
      <c r="F804" s="285">
        <v>20</v>
      </c>
      <c r="G804" s="285" t="s">
        <v>4246</v>
      </c>
      <c r="H804" s="285" t="s">
        <v>963</v>
      </c>
      <c r="I804" s="285" t="s">
        <v>1075</v>
      </c>
      <c r="J804" s="302">
        <v>7050231013930</v>
      </c>
      <c r="K804" s="282">
        <v>45282</v>
      </c>
      <c r="L804" s="285"/>
      <c r="M804" s="295"/>
      <c r="N804" s="285"/>
      <c r="O804" s="285"/>
      <c r="P804" s="285"/>
      <c r="Q804" s="285"/>
      <c r="R804" s="285"/>
      <c r="S804" s="285"/>
      <c r="T804" s="285"/>
      <c r="U804" s="285"/>
      <c r="V804" s="285"/>
      <c r="W804" s="285"/>
    </row>
    <row r="805" spans="1:23" x14ac:dyDescent="0.25">
      <c r="A805" s="31">
        <v>115</v>
      </c>
      <c r="B805" s="285" t="s">
        <v>1086</v>
      </c>
      <c r="C805" s="285" t="s">
        <v>4007</v>
      </c>
      <c r="D805" s="285" t="s">
        <v>1085</v>
      </c>
      <c r="E805" s="294">
        <v>49.35</v>
      </c>
      <c r="F805" s="285">
        <v>110</v>
      </c>
      <c r="G805" s="285" t="s">
        <v>4247</v>
      </c>
      <c r="H805" s="285" t="s">
        <v>4045</v>
      </c>
      <c r="I805" s="285" t="s">
        <v>1075</v>
      </c>
      <c r="J805" s="302">
        <v>7030231229190</v>
      </c>
      <c r="K805" s="282">
        <v>45282</v>
      </c>
      <c r="L805" s="285" t="s">
        <v>4248</v>
      </c>
      <c r="M805" s="295">
        <v>45282</v>
      </c>
      <c r="N805" s="285"/>
      <c r="O805" s="285"/>
      <c r="P805" s="285"/>
      <c r="Q805" s="285"/>
      <c r="R805" s="285"/>
      <c r="S805" s="285"/>
      <c r="T805" s="285"/>
      <c r="U805" s="285"/>
      <c r="V805" s="285"/>
      <c r="W805" s="285"/>
    </row>
    <row r="806" spans="1:23" x14ac:dyDescent="0.25">
      <c r="A806" s="31">
        <v>116</v>
      </c>
      <c r="B806" s="285" t="s">
        <v>2863</v>
      </c>
      <c r="C806" s="285" t="s">
        <v>1072</v>
      </c>
      <c r="D806" s="285" t="s">
        <v>2202</v>
      </c>
      <c r="E806" s="285">
        <v>3</v>
      </c>
      <c r="F806" s="285">
        <v>20</v>
      </c>
      <c r="G806" s="285" t="s">
        <v>2864</v>
      </c>
      <c r="H806" s="285" t="s">
        <v>964</v>
      </c>
      <c r="I806" s="285" t="s">
        <v>1075</v>
      </c>
      <c r="J806" s="302">
        <v>7020230218621</v>
      </c>
      <c r="K806" s="282">
        <v>45054</v>
      </c>
      <c r="L806" s="285" t="s">
        <v>4249</v>
      </c>
      <c r="M806" s="295">
        <v>45288</v>
      </c>
      <c r="N806" s="285"/>
      <c r="O806" s="285"/>
      <c r="P806" s="285"/>
      <c r="Q806" s="285"/>
      <c r="R806" s="285"/>
      <c r="S806" s="285"/>
      <c r="T806" s="285"/>
      <c r="U806" s="285"/>
      <c r="V806" s="285"/>
      <c r="W806" s="285"/>
    </row>
    <row r="807" spans="1:23" x14ac:dyDescent="0.25">
      <c r="A807" s="31">
        <v>117</v>
      </c>
      <c r="B807" s="285" t="s">
        <v>1341</v>
      </c>
      <c r="C807" s="285" t="s">
        <v>1084</v>
      </c>
      <c r="D807" s="285" t="s">
        <v>1085</v>
      </c>
      <c r="E807" s="294">
        <v>4.95</v>
      </c>
      <c r="F807" s="285">
        <v>20</v>
      </c>
      <c r="G807" s="285" t="s">
        <v>4636</v>
      </c>
      <c r="H807" s="285" t="s">
        <v>963</v>
      </c>
      <c r="I807" s="285" t="s">
        <v>1075</v>
      </c>
      <c r="J807" s="302">
        <v>7030230725404</v>
      </c>
      <c r="K807" s="282">
        <v>45306</v>
      </c>
      <c r="L807" s="285" t="s">
        <v>4637</v>
      </c>
      <c r="M807" s="295">
        <v>45323</v>
      </c>
      <c r="N807" s="285"/>
      <c r="O807" s="285"/>
      <c r="P807" s="285"/>
      <c r="Q807" s="285"/>
      <c r="R807" s="285"/>
      <c r="S807" s="285"/>
      <c r="T807" s="285"/>
      <c r="U807" s="285"/>
      <c r="V807" s="285"/>
      <c r="W807" s="285"/>
    </row>
    <row r="808" spans="1:23" x14ac:dyDescent="0.25">
      <c r="A808" s="31">
        <v>118</v>
      </c>
      <c r="B808" s="285" t="s">
        <v>4638</v>
      </c>
      <c r="C808" s="285" t="s">
        <v>1119</v>
      </c>
      <c r="D808" s="285" t="s">
        <v>1100</v>
      </c>
      <c r="E808" s="285">
        <v>3</v>
      </c>
      <c r="F808" s="285">
        <v>20</v>
      </c>
      <c r="G808" s="285" t="s">
        <v>4639</v>
      </c>
      <c r="H808" s="285" t="s">
        <v>963</v>
      </c>
      <c r="I808" s="285" t="s">
        <v>1075</v>
      </c>
      <c r="J808" s="302">
        <v>7050230712608</v>
      </c>
      <c r="K808" s="282">
        <v>45306</v>
      </c>
      <c r="L808" s="285"/>
      <c r="M808" s="285"/>
      <c r="N808" s="285"/>
      <c r="O808" s="285"/>
      <c r="P808" s="285"/>
      <c r="Q808" s="285"/>
      <c r="R808" s="285"/>
      <c r="S808" s="285"/>
      <c r="T808" s="285"/>
      <c r="U808" s="285"/>
      <c r="V808" s="285"/>
      <c r="W808" s="285"/>
    </row>
    <row r="809" spans="1:23" x14ac:dyDescent="0.25">
      <c r="A809" s="31">
        <v>119</v>
      </c>
      <c r="B809" s="285" t="s">
        <v>4640</v>
      </c>
      <c r="C809" s="285" t="s">
        <v>2850</v>
      </c>
      <c r="D809" s="285" t="s">
        <v>1080</v>
      </c>
      <c r="E809" s="285">
        <v>1.1000000000000001</v>
      </c>
      <c r="F809" s="285">
        <v>20</v>
      </c>
      <c r="G809" s="285" t="s">
        <v>4641</v>
      </c>
      <c r="H809" s="285" t="s">
        <v>964</v>
      </c>
      <c r="I809" s="285" t="s">
        <v>1075</v>
      </c>
      <c r="J809" s="302">
        <v>7040240100020</v>
      </c>
      <c r="K809" s="282">
        <v>45307</v>
      </c>
      <c r="L809" s="285"/>
      <c r="M809" s="285"/>
      <c r="N809" s="285"/>
      <c r="O809" s="285"/>
      <c r="P809" s="285"/>
      <c r="Q809" s="285"/>
      <c r="R809" s="285"/>
      <c r="S809" s="285"/>
      <c r="T809" s="285"/>
      <c r="U809" s="285"/>
      <c r="V809" s="285"/>
      <c r="W809" s="285"/>
    </row>
    <row r="810" spans="1:23" x14ac:dyDescent="0.25">
      <c r="A810" s="31">
        <v>120</v>
      </c>
      <c r="B810" s="285" t="s">
        <v>4642</v>
      </c>
      <c r="C810" s="285" t="s">
        <v>4257</v>
      </c>
      <c r="D810" s="285" t="s">
        <v>1090</v>
      </c>
      <c r="E810" s="285">
        <v>8.6999999999999993</v>
      </c>
      <c r="F810" s="285">
        <v>110</v>
      </c>
      <c r="G810" s="285" t="s">
        <v>4643</v>
      </c>
      <c r="H810" s="285" t="s">
        <v>964</v>
      </c>
      <c r="I810" s="285" t="s">
        <v>1075</v>
      </c>
      <c r="J810" s="302">
        <v>7010231242998</v>
      </c>
      <c r="K810" s="282">
        <v>45300</v>
      </c>
      <c r="L810" s="285"/>
      <c r="M810" s="285"/>
      <c r="N810" s="285"/>
      <c r="O810" s="285"/>
      <c r="P810" s="285"/>
      <c r="Q810" s="285"/>
      <c r="R810" s="285"/>
      <c r="S810" s="285"/>
      <c r="T810" s="285"/>
      <c r="U810" s="285"/>
      <c r="V810" s="285"/>
      <c r="W810" s="285"/>
    </row>
    <row r="811" spans="1:23" x14ac:dyDescent="0.25">
      <c r="A811" s="31">
        <v>121</v>
      </c>
      <c r="B811" s="285" t="s">
        <v>2201</v>
      </c>
      <c r="C811" s="285" t="s">
        <v>2202</v>
      </c>
      <c r="D811" s="285" t="s">
        <v>1090</v>
      </c>
      <c r="E811" s="285">
        <v>4.9000000000000004</v>
      </c>
      <c r="F811" s="285">
        <v>20</v>
      </c>
      <c r="G811" s="285" t="s">
        <v>2203</v>
      </c>
      <c r="H811" s="285" t="s">
        <v>963</v>
      </c>
      <c r="I811" s="285" t="s">
        <v>1075</v>
      </c>
      <c r="J811" s="302">
        <v>7010240100413</v>
      </c>
      <c r="K811" s="282">
        <v>45327</v>
      </c>
      <c r="L811" s="285"/>
      <c r="M811" s="285"/>
      <c r="N811" s="285"/>
      <c r="O811" s="285"/>
      <c r="P811" s="285"/>
      <c r="Q811" s="285"/>
      <c r="R811" s="285"/>
      <c r="S811" s="285"/>
      <c r="T811" s="285"/>
      <c r="U811" s="285"/>
      <c r="V811" s="285"/>
      <c r="W811" s="285"/>
    </row>
    <row r="812" spans="1:23" x14ac:dyDescent="0.25">
      <c r="A812" s="31">
        <v>122</v>
      </c>
      <c r="B812" s="285" t="s">
        <v>4646</v>
      </c>
      <c r="C812" s="285" t="s">
        <v>4647</v>
      </c>
      <c r="D812" s="285" t="s">
        <v>1072</v>
      </c>
      <c r="E812" s="285">
        <v>4.4950000000000001</v>
      </c>
      <c r="F812" s="285">
        <v>20</v>
      </c>
      <c r="G812" s="285" t="s">
        <v>4648</v>
      </c>
      <c r="H812" s="285" t="s">
        <v>963</v>
      </c>
      <c r="I812" s="285" t="s">
        <v>1075</v>
      </c>
      <c r="J812" s="302">
        <v>7020220914689</v>
      </c>
      <c r="K812" s="282">
        <v>45320</v>
      </c>
      <c r="L812" s="285"/>
      <c r="M812" s="285"/>
      <c r="N812" s="285"/>
      <c r="O812" s="285"/>
      <c r="P812" s="285"/>
      <c r="Q812" s="285"/>
      <c r="R812" s="285"/>
      <c r="S812" s="285"/>
      <c r="T812" s="285"/>
      <c r="U812" s="285"/>
      <c r="V812" s="285"/>
      <c r="W812" s="285"/>
    </row>
    <row r="813" spans="1:23" x14ac:dyDescent="0.25">
      <c r="A813" s="31">
        <v>123</v>
      </c>
      <c r="B813" s="285" t="s">
        <v>4649</v>
      </c>
      <c r="C813" s="285" t="s">
        <v>3050</v>
      </c>
      <c r="D813" s="285" t="s">
        <v>1080</v>
      </c>
      <c r="E813" s="285">
        <v>1.9</v>
      </c>
      <c r="F813" s="285">
        <v>20</v>
      </c>
      <c r="G813" s="285" t="s">
        <v>4650</v>
      </c>
      <c r="H813" s="285" t="s">
        <v>963</v>
      </c>
      <c r="I813" s="285" t="s">
        <v>1075</v>
      </c>
      <c r="J813" s="302">
        <v>7040221214407</v>
      </c>
      <c r="K813" s="282">
        <v>45329</v>
      </c>
      <c r="L813" s="285"/>
      <c r="M813" s="285"/>
      <c r="N813" s="285"/>
      <c r="O813" s="285"/>
      <c r="P813" s="285"/>
      <c r="Q813" s="285"/>
      <c r="R813" s="285"/>
      <c r="S813" s="285"/>
      <c r="T813" s="285"/>
      <c r="U813" s="285"/>
      <c r="V813" s="285"/>
      <c r="W813" s="285"/>
    </row>
    <row r="814" spans="1:23" x14ac:dyDescent="0.25">
      <c r="A814" s="31">
        <v>124</v>
      </c>
      <c r="B814" s="285" t="s">
        <v>4651</v>
      </c>
      <c r="C814" s="285" t="s">
        <v>4652</v>
      </c>
      <c r="D814" s="285" t="s">
        <v>1080</v>
      </c>
      <c r="E814" s="285">
        <v>36</v>
      </c>
      <c r="F814" s="285">
        <v>110</v>
      </c>
      <c r="G814" s="285" t="s">
        <v>4653</v>
      </c>
      <c r="H814" s="285" t="s">
        <v>963</v>
      </c>
      <c r="I814" s="285" t="s">
        <v>1075</v>
      </c>
      <c r="J814" s="302">
        <v>7040230316030</v>
      </c>
      <c r="K814" s="282">
        <v>45328</v>
      </c>
      <c r="L814" s="285"/>
      <c r="M814" s="285"/>
      <c r="N814" s="285"/>
      <c r="O814" s="285"/>
      <c r="P814" s="285"/>
      <c r="Q814" s="285"/>
      <c r="R814" s="285"/>
      <c r="S814" s="285"/>
      <c r="T814" s="285"/>
      <c r="U814" s="285"/>
      <c r="V814" s="285"/>
      <c r="W814" s="285"/>
    </row>
    <row r="815" spans="1:23" x14ac:dyDescent="0.25">
      <c r="A815" s="31">
        <v>125</v>
      </c>
      <c r="B815" s="285" t="s">
        <v>4727</v>
      </c>
      <c r="C815" s="285" t="s">
        <v>4728</v>
      </c>
      <c r="D815" s="285" t="s">
        <v>1090</v>
      </c>
      <c r="E815" s="285">
        <v>48.118000000000002</v>
      </c>
      <c r="F815" s="285">
        <v>110</v>
      </c>
      <c r="G815" s="285" t="s">
        <v>4729</v>
      </c>
      <c r="H815" s="285" t="s">
        <v>963</v>
      </c>
      <c r="I815" s="285" t="s">
        <v>1075</v>
      </c>
      <c r="J815" s="302">
        <v>7010230432590</v>
      </c>
      <c r="K815" s="282">
        <v>45330</v>
      </c>
      <c r="L815" s="285"/>
      <c r="M815" s="285"/>
      <c r="N815" s="285"/>
      <c r="O815" s="285"/>
      <c r="P815" s="285"/>
      <c r="Q815" s="285"/>
      <c r="R815" s="285"/>
      <c r="S815" s="285"/>
      <c r="T815" s="285"/>
      <c r="U815" s="285"/>
      <c r="V815" s="285"/>
      <c r="W815" s="285"/>
    </row>
    <row r="816" spans="1:23" x14ac:dyDescent="0.25">
      <c r="A816" s="31">
        <v>126</v>
      </c>
      <c r="B816" s="285" t="s">
        <v>4730</v>
      </c>
      <c r="C816" s="285" t="s">
        <v>1113</v>
      </c>
      <c r="D816" s="285" t="s">
        <v>1090</v>
      </c>
      <c r="E816" s="285">
        <v>2</v>
      </c>
      <c r="F816" s="285">
        <v>20</v>
      </c>
      <c r="G816" s="285" t="s">
        <v>4731</v>
      </c>
      <c r="H816" s="285" t="s">
        <v>963</v>
      </c>
      <c r="I816" s="285" t="s">
        <v>1075</v>
      </c>
      <c r="J816" s="302">
        <v>7010240100017</v>
      </c>
      <c r="K816" s="282">
        <v>45363</v>
      </c>
      <c r="L816" s="285"/>
      <c r="M816" s="285"/>
      <c r="N816" s="285"/>
      <c r="O816" s="285"/>
      <c r="P816" s="285"/>
      <c r="Q816" s="285"/>
      <c r="R816" s="285"/>
      <c r="S816" s="285"/>
      <c r="T816" s="285"/>
      <c r="U816" s="285"/>
      <c r="V816" s="285"/>
      <c r="W816" s="285"/>
    </row>
    <row r="817" spans="1:23" x14ac:dyDescent="0.25">
      <c r="A817" s="31">
        <v>127</v>
      </c>
      <c r="B817" s="285" t="s">
        <v>1103</v>
      </c>
      <c r="C817" s="285" t="s">
        <v>1104</v>
      </c>
      <c r="D817" s="285" t="s">
        <v>4732</v>
      </c>
      <c r="E817" s="285">
        <v>70.349999999999994</v>
      </c>
      <c r="F817" s="285">
        <v>110</v>
      </c>
      <c r="G817" s="285" t="s">
        <v>4733</v>
      </c>
      <c r="H817" s="285" t="s">
        <v>4103</v>
      </c>
      <c r="I817" s="285" t="s">
        <v>1075</v>
      </c>
      <c r="J817" s="302">
        <v>7010240302681</v>
      </c>
      <c r="K817" s="282">
        <v>45356</v>
      </c>
      <c r="L817" s="285" t="s">
        <v>4734</v>
      </c>
      <c r="M817" s="285">
        <v>45364</v>
      </c>
      <c r="N817" s="285"/>
      <c r="O817" s="285"/>
      <c r="P817" s="285"/>
      <c r="Q817" s="285"/>
      <c r="R817" s="285"/>
      <c r="S817" s="285"/>
      <c r="T817" s="285"/>
      <c r="U817" s="285"/>
      <c r="V817" s="285"/>
      <c r="W817" s="285"/>
    </row>
    <row r="818" spans="1:23" x14ac:dyDescent="0.25">
      <c r="A818" s="31">
        <v>128</v>
      </c>
      <c r="B818" s="285" t="s">
        <v>4735</v>
      </c>
      <c r="C818" s="285" t="s">
        <v>1109</v>
      </c>
      <c r="D818" s="285" t="s">
        <v>1090</v>
      </c>
      <c r="E818" s="285">
        <v>3</v>
      </c>
      <c r="F818" s="285">
        <v>20</v>
      </c>
      <c r="G818" s="285" t="s">
        <v>4736</v>
      </c>
      <c r="H818" s="285" t="s">
        <v>964</v>
      </c>
      <c r="I818" s="285" t="s">
        <v>1075</v>
      </c>
      <c r="J818" s="302">
        <v>7010240302913</v>
      </c>
      <c r="K818" s="282">
        <v>45363</v>
      </c>
      <c r="L818" s="285"/>
      <c r="M818" s="285"/>
      <c r="N818" s="285"/>
      <c r="O818" s="285"/>
      <c r="P818" s="285"/>
      <c r="Q818" s="285"/>
      <c r="R818" s="285"/>
      <c r="S818" s="285"/>
      <c r="T818" s="285"/>
      <c r="U818" s="285"/>
      <c r="V818" s="285"/>
      <c r="W818" s="285"/>
    </row>
    <row r="819" spans="1:23" x14ac:dyDescent="0.25">
      <c r="A819" s="31">
        <v>129</v>
      </c>
      <c r="B819" s="285" t="s">
        <v>1952</v>
      </c>
      <c r="C819" s="285" t="s">
        <v>1953</v>
      </c>
      <c r="D819" s="285" t="s">
        <v>1085</v>
      </c>
      <c r="E819" s="285">
        <v>1.4</v>
      </c>
      <c r="F819" s="285">
        <v>20</v>
      </c>
      <c r="G819" s="285" t="s">
        <v>4737</v>
      </c>
      <c r="H819" s="285" t="s">
        <v>4103</v>
      </c>
      <c r="I819" s="285" t="s">
        <v>1075</v>
      </c>
      <c r="J819" s="302">
        <v>7030240302239</v>
      </c>
      <c r="K819" s="282">
        <v>45371</v>
      </c>
      <c r="L819" s="285" t="s">
        <v>4738</v>
      </c>
      <c r="M819" s="285">
        <v>45379</v>
      </c>
      <c r="N819" s="285"/>
      <c r="O819" s="285"/>
      <c r="P819" s="285"/>
      <c r="Q819" s="285"/>
      <c r="R819" s="285"/>
      <c r="S819" s="285"/>
      <c r="T819" s="285"/>
      <c r="U819" s="285"/>
      <c r="V819" s="285"/>
      <c r="W819" s="285"/>
    </row>
    <row r="820" spans="1:23" x14ac:dyDescent="0.25">
      <c r="A820" s="31">
        <v>130</v>
      </c>
      <c r="B820" s="285" t="s">
        <v>4887</v>
      </c>
      <c r="C820" s="285" t="s">
        <v>4888</v>
      </c>
      <c r="D820" s="285" t="s">
        <v>2870</v>
      </c>
      <c r="E820" s="285">
        <v>100</v>
      </c>
      <c r="F820" s="285">
        <v>110</v>
      </c>
      <c r="G820" s="285" t="s">
        <v>4889</v>
      </c>
      <c r="H820" s="285" t="s">
        <v>963</v>
      </c>
      <c r="I820" s="285" t="s">
        <v>1075</v>
      </c>
      <c r="J820" s="302">
        <v>7060231210243</v>
      </c>
      <c r="K820" s="282">
        <v>45281</v>
      </c>
      <c r="L820" s="285"/>
      <c r="M820" s="285"/>
      <c r="N820" s="285"/>
      <c r="O820" s="285"/>
      <c r="P820" s="285"/>
      <c r="Q820" s="285"/>
      <c r="R820" s="285"/>
      <c r="S820" s="285"/>
      <c r="T820" s="285"/>
      <c r="U820" s="285"/>
      <c r="V820" s="285"/>
      <c r="W820" s="285"/>
    </row>
    <row r="821" spans="1:23" x14ac:dyDescent="0.25">
      <c r="A821" s="31">
        <v>131</v>
      </c>
      <c r="B821" s="285" t="s">
        <v>4890</v>
      </c>
      <c r="C821" s="285" t="s">
        <v>4891</v>
      </c>
      <c r="D821" s="285" t="s">
        <v>1090</v>
      </c>
      <c r="E821" s="285">
        <v>42.9</v>
      </c>
      <c r="F821" s="285">
        <v>110</v>
      </c>
      <c r="G821" s="285" t="s">
        <v>4892</v>
      </c>
      <c r="H821" s="285" t="s">
        <v>963</v>
      </c>
      <c r="I821" s="285" t="s">
        <v>1075</v>
      </c>
      <c r="J821" s="302">
        <v>7010230635626</v>
      </c>
      <c r="K821" s="282">
        <v>45385</v>
      </c>
      <c r="L821" s="285"/>
      <c r="M821" s="285"/>
      <c r="N821" s="285"/>
      <c r="O821" s="285"/>
      <c r="P821" s="285"/>
      <c r="Q821" s="285"/>
      <c r="R821" s="285"/>
      <c r="S821" s="285"/>
      <c r="T821" s="285"/>
      <c r="U821" s="285"/>
      <c r="V821" s="285"/>
      <c r="W821" s="285"/>
    </row>
    <row r="822" spans="1:23" x14ac:dyDescent="0.25">
      <c r="A822" s="31">
        <v>132</v>
      </c>
      <c r="B822" s="285" t="s">
        <v>4893</v>
      </c>
      <c r="C822" s="285" t="s">
        <v>4894</v>
      </c>
      <c r="D822" s="285" t="s">
        <v>1080</v>
      </c>
      <c r="E822" s="285">
        <v>0.9</v>
      </c>
      <c r="F822" s="285">
        <v>20</v>
      </c>
      <c r="G822" s="285" t="s">
        <v>4895</v>
      </c>
      <c r="H822" s="285" t="s">
        <v>963</v>
      </c>
      <c r="I822" s="285" t="s">
        <v>1075</v>
      </c>
      <c r="J822" s="302">
        <v>7040230215121</v>
      </c>
      <c r="K822" s="282">
        <v>45394</v>
      </c>
      <c r="L822" s="285"/>
      <c r="M822" s="285"/>
      <c r="N822" s="285"/>
      <c r="O822" s="285"/>
      <c r="P822" s="285"/>
      <c r="Q822" s="285"/>
      <c r="R822" s="285"/>
      <c r="S822" s="285"/>
      <c r="T822" s="285"/>
      <c r="U822" s="285"/>
      <c r="V822" s="285"/>
      <c r="W822" s="285"/>
    </row>
    <row r="823" spans="1:23" x14ac:dyDescent="0.25">
      <c r="A823" s="31">
        <v>133</v>
      </c>
      <c r="B823" s="285" t="s">
        <v>4896</v>
      </c>
      <c r="C823" s="285" t="s">
        <v>2331</v>
      </c>
      <c r="D823" s="285" t="s">
        <v>1080</v>
      </c>
      <c r="E823" s="285">
        <v>4.95</v>
      </c>
      <c r="F823" s="285">
        <v>20</v>
      </c>
      <c r="G823" s="285" t="s">
        <v>4897</v>
      </c>
      <c r="H823" s="285" t="s">
        <v>1326</v>
      </c>
      <c r="I823" s="285" t="s">
        <v>1075</v>
      </c>
      <c r="J823" s="302">
        <v>7040240402264</v>
      </c>
      <c r="K823" s="282">
        <v>45400</v>
      </c>
      <c r="L823" s="285"/>
      <c r="M823" s="285"/>
      <c r="N823" s="285"/>
      <c r="O823" s="285"/>
      <c r="P823" s="285"/>
      <c r="Q823" s="285"/>
      <c r="R823" s="285"/>
      <c r="S823" s="285"/>
      <c r="T823" s="285"/>
      <c r="U823" s="285"/>
      <c r="V823" s="285"/>
      <c r="W823" s="285"/>
    </row>
    <row r="824" spans="1:23" x14ac:dyDescent="0.25">
      <c r="A824" s="31">
        <v>134</v>
      </c>
      <c r="B824" s="285" t="s">
        <v>4898</v>
      </c>
      <c r="C824" s="285" t="s">
        <v>4016</v>
      </c>
      <c r="D824" s="285" t="s">
        <v>1080</v>
      </c>
      <c r="E824" s="285">
        <v>14.2</v>
      </c>
      <c r="F824" s="285">
        <v>20</v>
      </c>
      <c r="G824" s="285" t="s">
        <v>4899</v>
      </c>
      <c r="H824" s="285" t="s">
        <v>963</v>
      </c>
      <c r="I824" s="285" t="s">
        <v>1075</v>
      </c>
      <c r="J824" s="302">
        <v>7040221113383</v>
      </c>
      <c r="K824" s="282">
        <v>45406</v>
      </c>
      <c r="L824" s="285"/>
      <c r="M824" s="285"/>
      <c r="N824" s="285"/>
      <c r="O824" s="285"/>
      <c r="P824" s="285"/>
      <c r="Q824" s="285"/>
      <c r="R824" s="285"/>
      <c r="S824" s="285"/>
      <c r="T824" s="285"/>
      <c r="U824" s="285"/>
      <c r="V824" s="285"/>
      <c r="W824" s="285"/>
    </row>
    <row r="825" spans="1:23" x14ac:dyDescent="0.25">
      <c r="A825" s="31">
        <v>135</v>
      </c>
      <c r="B825" s="285" t="s">
        <v>5030</v>
      </c>
      <c r="C825" s="285" t="s">
        <v>1121</v>
      </c>
      <c r="D825" s="285" t="s">
        <v>1072</v>
      </c>
      <c r="E825" s="285">
        <v>1</v>
      </c>
      <c r="F825" s="285">
        <v>20</v>
      </c>
      <c r="G825" s="285" t="s">
        <v>5031</v>
      </c>
      <c r="H825" s="285" t="s">
        <v>964</v>
      </c>
      <c r="I825" s="285" t="s">
        <v>1075</v>
      </c>
      <c r="J825" s="302">
        <v>7020240403399</v>
      </c>
      <c r="K825" s="282">
        <v>45428</v>
      </c>
      <c r="L825" s="285"/>
      <c r="M825" s="285"/>
      <c r="N825" s="285"/>
      <c r="O825" s="285"/>
      <c r="P825" s="285"/>
      <c r="Q825" s="285"/>
      <c r="R825" s="285"/>
      <c r="S825" s="285"/>
      <c r="T825" s="285"/>
      <c r="U825" s="285"/>
      <c r="V825" s="285"/>
      <c r="W825" s="285"/>
    </row>
    <row r="826" spans="1:23" x14ac:dyDescent="0.25">
      <c r="A826" s="31">
        <v>136</v>
      </c>
      <c r="B826" s="285" t="s">
        <v>5032</v>
      </c>
      <c r="C826" s="285" t="s">
        <v>2853</v>
      </c>
      <c r="D826" s="285" t="s">
        <v>3440</v>
      </c>
      <c r="E826" s="285">
        <v>4.9249999999999998</v>
      </c>
      <c r="F826" s="285">
        <v>20</v>
      </c>
      <c r="G826" s="285" t="s">
        <v>5033</v>
      </c>
      <c r="H826" s="285" t="s">
        <v>963</v>
      </c>
      <c r="I826" s="285" t="s">
        <v>1075</v>
      </c>
      <c r="J826" s="302">
        <v>7030240504146</v>
      </c>
      <c r="K826" s="282">
        <v>45427</v>
      </c>
      <c r="L826" s="285" t="s">
        <v>5034</v>
      </c>
      <c r="M826" s="295">
        <v>45455</v>
      </c>
      <c r="N826" s="285"/>
      <c r="O826" s="285"/>
      <c r="P826" s="285"/>
      <c r="Q826" s="285"/>
      <c r="R826" s="285"/>
      <c r="S826" s="285"/>
      <c r="T826" s="285"/>
      <c r="U826" s="285"/>
      <c r="V826" s="285"/>
      <c r="W826" s="285"/>
    </row>
    <row r="827" spans="1:23" x14ac:dyDescent="0.25">
      <c r="A827" s="31">
        <v>137</v>
      </c>
      <c r="B827" s="285" t="s">
        <v>5035</v>
      </c>
      <c r="C827" s="285" t="s">
        <v>4894</v>
      </c>
      <c r="D827" s="285" t="s">
        <v>1080</v>
      </c>
      <c r="E827" s="285">
        <v>1.38</v>
      </c>
      <c r="F827" s="285">
        <v>20</v>
      </c>
      <c r="G827" s="285" t="s">
        <v>5036</v>
      </c>
      <c r="H827" s="285" t="s">
        <v>963</v>
      </c>
      <c r="I827" s="285" t="s">
        <v>1075</v>
      </c>
      <c r="J827" s="302">
        <v>7040230316037</v>
      </c>
      <c r="K827" s="282">
        <v>45412</v>
      </c>
      <c r="L827" s="285"/>
      <c r="M827" s="285"/>
      <c r="N827" s="285"/>
      <c r="O827" s="285"/>
      <c r="P827" s="285"/>
      <c r="Q827" s="285"/>
      <c r="R827" s="285"/>
      <c r="S827" s="285"/>
      <c r="T827" s="285"/>
      <c r="U827" s="285" t="s">
        <v>5037</v>
      </c>
      <c r="V827" s="285"/>
      <c r="W827" s="285"/>
    </row>
    <row r="828" spans="1:23" x14ac:dyDescent="0.25">
      <c r="A828" s="31">
        <v>138</v>
      </c>
      <c r="B828" s="285" t="s">
        <v>5035</v>
      </c>
      <c r="C828" s="285" t="s">
        <v>4894</v>
      </c>
      <c r="D828" s="285" t="s">
        <v>1080</v>
      </c>
      <c r="E828" s="294">
        <v>1.38</v>
      </c>
      <c r="F828" s="285">
        <v>20</v>
      </c>
      <c r="G828" s="285" t="s">
        <v>5036</v>
      </c>
      <c r="H828" s="285" t="s">
        <v>963</v>
      </c>
      <c r="I828" s="285" t="s">
        <v>1075</v>
      </c>
      <c r="J828" s="302">
        <v>7040240603527</v>
      </c>
      <c r="K828" s="282">
        <v>45453</v>
      </c>
      <c r="L828" s="285"/>
      <c r="M828" s="285"/>
      <c r="N828" s="285"/>
      <c r="O828" s="285"/>
      <c r="P828" s="285"/>
      <c r="Q828" s="285"/>
      <c r="R828" s="285"/>
      <c r="S828" s="285"/>
      <c r="T828" s="285"/>
      <c r="U828" s="285"/>
      <c r="V828" s="285"/>
      <c r="W828" s="285"/>
    </row>
    <row r="829" spans="1:23" x14ac:dyDescent="0.25">
      <c r="A829" s="31">
        <v>139</v>
      </c>
      <c r="B829" s="285" t="s">
        <v>1091</v>
      </c>
      <c r="C829" s="285" t="s">
        <v>1149</v>
      </c>
      <c r="D829" s="285" t="s">
        <v>1085</v>
      </c>
      <c r="E829" s="294">
        <v>4.9249999999999998</v>
      </c>
      <c r="F829" s="285">
        <v>20</v>
      </c>
      <c r="G829" s="285" t="s">
        <v>1093</v>
      </c>
      <c r="H829" s="285" t="s">
        <v>4103</v>
      </c>
      <c r="I829" s="285" t="s">
        <v>1075</v>
      </c>
      <c r="J829" s="302">
        <v>7030240605281</v>
      </c>
      <c r="K829" s="282">
        <v>45457</v>
      </c>
      <c r="L829" s="285"/>
      <c r="M829" s="285"/>
      <c r="N829" s="285"/>
      <c r="O829" s="285"/>
      <c r="P829" s="285"/>
      <c r="Q829" s="285"/>
      <c r="R829" s="285"/>
      <c r="S829" s="285"/>
      <c r="T829" s="285"/>
      <c r="U829" s="285"/>
      <c r="V829" s="285"/>
      <c r="W829" s="285"/>
    </row>
    <row r="830" spans="1:23" x14ac:dyDescent="0.25">
      <c r="A830" s="31">
        <v>140</v>
      </c>
      <c r="B830" s="285" t="s">
        <v>4651</v>
      </c>
      <c r="C830" s="285" t="s">
        <v>2399</v>
      </c>
      <c r="D830" s="285" t="s">
        <v>1080</v>
      </c>
      <c r="E830" s="294">
        <v>15.63</v>
      </c>
      <c r="F830" s="285">
        <v>110</v>
      </c>
      <c r="G830" s="285" t="s">
        <v>5038</v>
      </c>
      <c r="H830" s="285" t="s">
        <v>963</v>
      </c>
      <c r="I830" s="285" t="s">
        <v>1075</v>
      </c>
      <c r="J830" s="302">
        <v>7040230315816</v>
      </c>
      <c r="K830" s="282">
        <v>45435</v>
      </c>
      <c r="L830" s="285"/>
      <c r="M830" s="285"/>
      <c r="N830" s="285"/>
      <c r="O830" s="285"/>
      <c r="P830" s="285"/>
      <c r="Q830" s="285"/>
      <c r="R830" s="285"/>
      <c r="S830" s="285"/>
      <c r="T830" s="285"/>
      <c r="U830" s="285"/>
      <c r="V830" s="285"/>
      <c r="W830" s="285"/>
    </row>
    <row r="831" spans="1:23" x14ac:dyDescent="0.25">
      <c r="A831" s="31">
        <v>141</v>
      </c>
      <c r="B831" s="285" t="s">
        <v>4651</v>
      </c>
      <c r="C831" s="285" t="s">
        <v>2399</v>
      </c>
      <c r="D831" s="285" t="s">
        <v>1080</v>
      </c>
      <c r="E831" s="294">
        <v>23.445</v>
      </c>
      <c r="F831" s="285">
        <v>110</v>
      </c>
      <c r="G831" s="285" t="s">
        <v>5039</v>
      </c>
      <c r="H831" s="285" t="s">
        <v>963</v>
      </c>
      <c r="I831" s="285" t="s">
        <v>1075</v>
      </c>
      <c r="J831" s="302">
        <v>7040230315817</v>
      </c>
      <c r="K831" s="282">
        <v>45435</v>
      </c>
      <c r="L831" s="285"/>
      <c r="M831" s="285"/>
      <c r="N831" s="285"/>
      <c r="O831" s="285"/>
      <c r="P831" s="285"/>
      <c r="Q831" s="285"/>
      <c r="R831" s="285"/>
      <c r="S831" s="285"/>
      <c r="T831" s="285"/>
      <c r="U831" s="285"/>
      <c r="V831" s="285"/>
      <c r="W831" s="285"/>
    </row>
    <row r="832" spans="1:23" x14ac:dyDescent="0.25">
      <c r="A832" s="31">
        <v>142</v>
      </c>
      <c r="B832" s="285" t="s">
        <v>5040</v>
      </c>
      <c r="C832" s="285" t="s">
        <v>3007</v>
      </c>
      <c r="D832" s="285" t="s">
        <v>1090</v>
      </c>
      <c r="E832" s="294">
        <v>48</v>
      </c>
      <c r="F832" s="285">
        <v>110</v>
      </c>
      <c r="G832" s="285" t="s">
        <v>3008</v>
      </c>
      <c r="H832" s="285" t="s">
        <v>963</v>
      </c>
      <c r="I832" s="285" t="s">
        <v>1075</v>
      </c>
      <c r="J832" s="302">
        <v>7010240100348</v>
      </c>
      <c r="K832" s="282">
        <v>45449</v>
      </c>
      <c r="L832" s="285"/>
      <c r="M832" s="285"/>
      <c r="N832" s="285"/>
      <c r="O832" s="285"/>
      <c r="P832" s="285"/>
      <c r="Q832" s="285"/>
      <c r="R832" s="285"/>
      <c r="S832" s="285"/>
      <c r="T832" s="285"/>
      <c r="U832" s="285"/>
      <c r="V832" s="285"/>
      <c r="W832" s="285"/>
    </row>
    <row r="833" spans="1:23" x14ac:dyDescent="0.25">
      <c r="A833" s="31">
        <v>143</v>
      </c>
      <c r="B833" s="285" t="s">
        <v>3009</v>
      </c>
      <c r="C833" s="285" t="s">
        <v>3007</v>
      </c>
      <c r="D833" s="285" t="s">
        <v>1090</v>
      </c>
      <c r="E833" s="294">
        <v>48</v>
      </c>
      <c r="F833" s="285">
        <v>110</v>
      </c>
      <c r="G833" s="285" t="s">
        <v>3010</v>
      </c>
      <c r="H833" s="285" t="s">
        <v>963</v>
      </c>
      <c r="I833" s="285" t="s">
        <v>1075</v>
      </c>
      <c r="J833" s="302">
        <v>7010240100350</v>
      </c>
      <c r="K833" s="282">
        <v>45449</v>
      </c>
      <c r="L833" s="285"/>
      <c r="M833" s="285"/>
      <c r="N833" s="285"/>
      <c r="O833" s="285"/>
      <c r="P833" s="285"/>
      <c r="Q833" s="285"/>
      <c r="R833" s="285"/>
      <c r="S833" s="285"/>
      <c r="T833" s="285"/>
      <c r="U833" s="285"/>
      <c r="V833" s="285"/>
      <c r="W833" s="285"/>
    </row>
    <row r="834" spans="1:23" x14ac:dyDescent="0.25">
      <c r="A834" s="31">
        <v>144</v>
      </c>
      <c r="B834" s="285" t="s">
        <v>5041</v>
      </c>
      <c r="C834" s="285" t="s">
        <v>3147</v>
      </c>
      <c r="D834" s="285" t="s">
        <v>3440</v>
      </c>
      <c r="E834" s="294">
        <v>1.2</v>
      </c>
      <c r="F834" s="285">
        <v>20</v>
      </c>
      <c r="G834" s="285" t="s">
        <v>5042</v>
      </c>
      <c r="H834" s="285" t="s">
        <v>963</v>
      </c>
      <c r="I834" s="285" t="s">
        <v>1075</v>
      </c>
      <c r="J834" s="302">
        <v>7030240200821</v>
      </c>
      <c r="K834" s="282">
        <v>45462</v>
      </c>
      <c r="L834" s="285"/>
      <c r="M834" s="285"/>
      <c r="N834" s="285"/>
      <c r="O834" s="285"/>
      <c r="P834" s="285"/>
      <c r="Q834" s="285"/>
      <c r="R834" s="285"/>
      <c r="S834" s="285"/>
      <c r="T834" s="285"/>
      <c r="U834" s="285"/>
      <c r="V834" s="285"/>
      <c r="W834" s="285"/>
    </row>
    <row r="835" spans="1:23" x14ac:dyDescent="0.25">
      <c r="A835" s="31">
        <v>145</v>
      </c>
      <c r="B835" s="285" t="s">
        <v>5043</v>
      </c>
      <c r="C835" s="285" t="s">
        <v>5044</v>
      </c>
      <c r="D835" s="285" t="s">
        <v>1100</v>
      </c>
      <c r="E835" s="285">
        <v>3.9</v>
      </c>
      <c r="F835" s="285">
        <v>20</v>
      </c>
      <c r="G835" s="285" t="s">
        <v>5045</v>
      </c>
      <c r="H835" s="285" t="s">
        <v>963</v>
      </c>
      <c r="I835" s="285" t="s">
        <v>1075</v>
      </c>
      <c r="J835" s="302">
        <v>7050240300798</v>
      </c>
      <c r="K835" s="282">
        <v>45460</v>
      </c>
      <c r="L835" s="285"/>
      <c r="M835" s="285"/>
      <c r="N835" s="285"/>
      <c r="O835" s="285"/>
      <c r="P835" s="285"/>
      <c r="Q835" s="285"/>
      <c r="R835" s="285"/>
      <c r="S835" s="285"/>
      <c r="T835" s="285"/>
      <c r="U835" s="285"/>
      <c r="V835" s="285"/>
      <c r="W835" s="285"/>
    </row>
    <row r="836" spans="1:23" x14ac:dyDescent="0.25">
      <c r="A836" s="31">
        <v>146</v>
      </c>
      <c r="B836" s="285" t="s">
        <v>5046</v>
      </c>
      <c r="C836" s="285" t="s">
        <v>5047</v>
      </c>
      <c r="D836" s="285" t="s">
        <v>1100</v>
      </c>
      <c r="E836" s="285">
        <v>3</v>
      </c>
      <c r="F836" s="285">
        <v>20</v>
      </c>
      <c r="G836" s="285" t="s">
        <v>5048</v>
      </c>
      <c r="H836" s="285" t="s">
        <v>963</v>
      </c>
      <c r="I836" s="285" t="s">
        <v>1075</v>
      </c>
      <c r="J836" s="302">
        <v>7050230913249</v>
      </c>
      <c r="K836" s="282">
        <v>45455</v>
      </c>
      <c r="L836" s="285"/>
      <c r="M836" s="285"/>
      <c r="N836" s="285"/>
      <c r="O836" s="285"/>
      <c r="P836" s="285"/>
      <c r="Q836" s="285"/>
      <c r="R836" s="285"/>
      <c r="S836" s="285"/>
      <c r="T836" s="285"/>
      <c r="U836" s="285"/>
      <c r="V836" s="285"/>
      <c r="W836" s="285"/>
    </row>
    <row r="837" spans="1:23" x14ac:dyDescent="0.25">
      <c r="A837" s="31">
        <v>147</v>
      </c>
      <c r="B837" s="285" t="s">
        <v>2187</v>
      </c>
      <c r="C837" s="285" t="s">
        <v>2188</v>
      </c>
      <c r="D837" s="285" t="s">
        <v>1090</v>
      </c>
      <c r="E837" s="294">
        <v>3.87</v>
      </c>
      <c r="F837" s="285">
        <v>20</v>
      </c>
      <c r="G837" s="285" t="s">
        <v>5327</v>
      </c>
      <c r="H837" s="285" t="s">
        <v>4103</v>
      </c>
      <c r="I837" s="285" t="s">
        <v>1075</v>
      </c>
      <c r="J837" s="302">
        <v>7010240607447</v>
      </c>
      <c r="K837" s="282">
        <v>45483</v>
      </c>
      <c r="L837" s="285" t="s">
        <v>5328</v>
      </c>
      <c r="M837" s="295">
        <v>45489</v>
      </c>
      <c r="N837" s="285"/>
      <c r="O837" s="285"/>
      <c r="P837" s="285"/>
      <c r="Q837" s="285"/>
      <c r="R837" s="285"/>
      <c r="S837" s="285"/>
      <c r="T837" s="285"/>
      <c r="U837" s="285"/>
      <c r="V837" s="285"/>
      <c r="W837" s="285"/>
    </row>
    <row r="838" spans="1:23" x14ac:dyDescent="0.25">
      <c r="A838" s="31">
        <v>148</v>
      </c>
      <c r="B838" s="285" t="s">
        <v>2852</v>
      </c>
      <c r="C838" s="285" t="s">
        <v>2853</v>
      </c>
      <c r="D838" s="285" t="s">
        <v>3440</v>
      </c>
      <c r="E838" s="294">
        <v>3</v>
      </c>
      <c r="F838" s="285">
        <v>20</v>
      </c>
      <c r="G838" s="285" t="s">
        <v>5601</v>
      </c>
      <c r="H838" s="285" t="s">
        <v>5602</v>
      </c>
      <c r="I838" s="285" t="s">
        <v>1075</v>
      </c>
      <c r="J838" s="302">
        <v>7030240706043</v>
      </c>
      <c r="K838" s="282">
        <v>45498</v>
      </c>
      <c r="L838" s="285" t="s">
        <v>5603</v>
      </c>
      <c r="M838" s="295">
        <v>45523</v>
      </c>
      <c r="N838" s="285"/>
      <c r="O838" s="285"/>
      <c r="P838" s="285"/>
      <c r="Q838" s="285"/>
      <c r="R838" s="285"/>
      <c r="S838" s="285"/>
      <c r="T838" s="285"/>
      <c r="U838" s="285"/>
      <c r="V838" s="285"/>
      <c r="W838" s="285"/>
    </row>
    <row r="839" spans="1:23" x14ac:dyDescent="0.25">
      <c r="A839" s="31">
        <v>149</v>
      </c>
      <c r="B839" s="285" t="s">
        <v>2165</v>
      </c>
      <c r="C839" s="285" t="s">
        <v>2166</v>
      </c>
      <c r="D839" s="285" t="s">
        <v>5604</v>
      </c>
      <c r="E839" s="294">
        <v>1.3</v>
      </c>
      <c r="F839" s="285">
        <v>20</v>
      </c>
      <c r="G839" s="285" t="s">
        <v>5605</v>
      </c>
      <c r="H839" s="285" t="s">
        <v>903</v>
      </c>
      <c r="I839" s="285" t="s">
        <v>1075</v>
      </c>
      <c r="J839" s="302">
        <v>7020240402852</v>
      </c>
      <c r="K839" s="282">
        <v>45518</v>
      </c>
      <c r="L839" s="285"/>
      <c r="M839" s="285"/>
      <c r="N839" s="285"/>
      <c r="O839" s="285"/>
      <c r="P839" s="285"/>
      <c r="Q839" s="285"/>
      <c r="R839" s="285"/>
      <c r="S839" s="285"/>
      <c r="T839" s="285"/>
      <c r="U839" s="285" t="s">
        <v>5606</v>
      </c>
      <c r="V839" s="285"/>
      <c r="W839" s="285"/>
    </row>
    <row r="840" spans="1:23" x14ac:dyDescent="0.25">
      <c r="A840" s="281">
        <v>150</v>
      </c>
      <c r="B840" s="285" t="s">
        <v>5715</v>
      </c>
      <c r="C840" s="285" t="s">
        <v>4124</v>
      </c>
      <c r="D840" s="285" t="s">
        <v>1090</v>
      </c>
      <c r="E840" s="285">
        <v>2</v>
      </c>
      <c r="F840" s="285">
        <v>20</v>
      </c>
      <c r="G840" s="285" t="s">
        <v>5716</v>
      </c>
      <c r="H840" s="285" t="s">
        <v>963</v>
      </c>
      <c r="I840" s="285" t="s">
        <v>1075</v>
      </c>
      <c r="J840" s="302">
        <v>7010230737342</v>
      </c>
      <c r="K840" s="282">
        <v>45531</v>
      </c>
      <c r="L840" s="285"/>
      <c r="M840" s="285"/>
      <c r="N840" s="285"/>
      <c r="O840" s="285"/>
      <c r="P840" s="285"/>
      <c r="Q840" s="285"/>
      <c r="R840" s="285"/>
      <c r="S840" s="285"/>
      <c r="T840" s="285"/>
      <c r="U840" s="285"/>
      <c r="V840" s="285"/>
      <c r="W840" s="285"/>
    </row>
    <row r="841" spans="1:23" x14ac:dyDescent="0.25">
      <c r="A841" s="281">
        <v>151</v>
      </c>
      <c r="B841" s="285" t="s">
        <v>5717</v>
      </c>
      <c r="C841" s="285" t="s">
        <v>3801</v>
      </c>
      <c r="D841" s="285" t="s">
        <v>5604</v>
      </c>
      <c r="E841" s="285">
        <v>2.1570999999999998</v>
      </c>
      <c r="F841" s="285">
        <v>20</v>
      </c>
      <c r="G841" s="285" t="s">
        <v>5718</v>
      </c>
      <c r="H841" s="285" t="s">
        <v>963</v>
      </c>
      <c r="I841" s="285" t="s">
        <v>1075</v>
      </c>
      <c r="J841" s="302">
        <v>7020240402758</v>
      </c>
      <c r="K841" s="282">
        <v>45531</v>
      </c>
      <c r="L841" s="285"/>
      <c r="M841" s="285"/>
      <c r="N841" s="285"/>
      <c r="O841" s="285"/>
      <c r="P841" s="285"/>
      <c r="Q841" s="285"/>
      <c r="R841" s="285"/>
      <c r="S841" s="285"/>
      <c r="T841" s="285"/>
      <c r="U841" s="285"/>
      <c r="V841" s="285"/>
      <c r="W841" s="285"/>
    </row>
    <row r="842" spans="1:23" x14ac:dyDescent="0.25">
      <c r="A842" s="281">
        <v>152</v>
      </c>
      <c r="B842" s="285" t="s">
        <v>4651</v>
      </c>
      <c r="C842" s="285" t="s">
        <v>3994</v>
      </c>
      <c r="D842" s="285" t="s">
        <v>1080</v>
      </c>
      <c r="E842" s="285">
        <v>28</v>
      </c>
      <c r="F842" s="285">
        <v>110</v>
      </c>
      <c r="G842" s="285" t="s">
        <v>5719</v>
      </c>
      <c r="H842" s="285" t="s">
        <v>963</v>
      </c>
      <c r="I842" s="285" t="s">
        <v>1075</v>
      </c>
      <c r="J842" s="302">
        <v>7040230316200</v>
      </c>
      <c r="K842" s="282">
        <v>45538</v>
      </c>
      <c r="L842" s="285"/>
      <c r="M842" s="285"/>
      <c r="N842" s="285"/>
      <c r="O842" s="285"/>
      <c r="P842" s="285"/>
      <c r="Q842" s="285"/>
      <c r="R842" s="285"/>
      <c r="S842" s="285"/>
      <c r="T842" s="285"/>
      <c r="U842" s="285"/>
      <c r="V842" s="285"/>
      <c r="W842" s="285"/>
    </row>
    <row r="843" spans="1:23" x14ac:dyDescent="0.25">
      <c r="A843" s="281">
        <v>153</v>
      </c>
      <c r="B843" s="285" t="s">
        <v>5720</v>
      </c>
      <c r="C843" s="285" t="s">
        <v>3147</v>
      </c>
      <c r="D843" s="285" t="s">
        <v>1085</v>
      </c>
      <c r="E843" s="285">
        <v>1</v>
      </c>
      <c r="F843" s="285">
        <v>20</v>
      </c>
      <c r="G843" s="285" t="s">
        <v>5721</v>
      </c>
      <c r="H843" s="285" t="s">
        <v>963</v>
      </c>
      <c r="I843" s="285" t="s">
        <v>1075</v>
      </c>
      <c r="J843" s="302">
        <v>7030230422950</v>
      </c>
      <c r="K843" s="282">
        <v>45532</v>
      </c>
      <c r="L843" s="285" t="s">
        <v>5722</v>
      </c>
      <c r="M843" s="295">
        <v>45538</v>
      </c>
      <c r="N843" s="285"/>
      <c r="O843" s="285"/>
      <c r="P843" s="285"/>
      <c r="Q843" s="285"/>
      <c r="R843" s="285"/>
      <c r="S843" s="285"/>
      <c r="T843" s="285"/>
      <c r="U843" s="285"/>
      <c r="V843" s="285"/>
      <c r="W843" s="285"/>
    </row>
    <row r="844" spans="1:23" x14ac:dyDescent="0.25">
      <c r="A844" s="281">
        <v>154</v>
      </c>
      <c r="B844" s="285" t="s">
        <v>5723</v>
      </c>
      <c r="C844" s="285" t="s">
        <v>5724</v>
      </c>
      <c r="D844" s="285" t="s">
        <v>1085</v>
      </c>
      <c r="E844" s="285">
        <v>4.9000000000000004</v>
      </c>
      <c r="F844" s="285">
        <v>20</v>
      </c>
      <c r="G844" s="285" t="s">
        <v>5725</v>
      </c>
      <c r="H844" s="285" t="s">
        <v>963</v>
      </c>
      <c r="I844" s="285" t="s">
        <v>1075</v>
      </c>
      <c r="J844" s="302">
        <v>7030240403014</v>
      </c>
      <c r="K844" s="282">
        <v>45504</v>
      </c>
      <c r="L844" s="285"/>
      <c r="M844" s="285"/>
      <c r="N844" s="285"/>
      <c r="O844" s="285"/>
      <c r="P844" s="285"/>
      <c r="Q844" s="285"/>
      <c r="R844" s="285"/>
      <c r="S844" s="285"/>
      <c r="T844" s="285"/>
      <c r="U844" s="285"/>
      <c r="V844" s="285"/>
      <c r="W844" s="285"/>
    </row>
    <row r="845" spans="1:23" x14ac:dyDescent="0.25">
      <c r="A845" s="281">
        <v>155</v>
      </c>
      <c r="B845" s="285" t="s">
        <v>4031</v>
      </c>
      <c r="C845" s="285" t="s">
        <v>2331</v>
      </c>
      <c r="D845" s="285" t="s">
        <v>1080</v>
      </c>
      <c r="E845" s="285">
        <v>41.125</v>
      </c>
      <c r="F845" s="285">
        <v>110</v>
      </c>
      <c r="G845" s="285" t="s">
        <v>5873</v>
      </c>
      <c r="H845" s="285" t="s">
        <v>963</v>
      </c>
      <c r="I845" s="285" t="s">
        <v>1075</v>
      </c>
      <c r="J845" s="302">
        <v>7040240502725</v>
      </c>
      <c r="K845" s="282">
        <v>45559</v>
      </c>
      <c r="L845" s="285"/>
      <c r="M845" s="285"/>
      <c r="N845" s="285"/>
      <c r="O845" s="285"/>
      <c r="P845" s="285"/>
      <c r="Q845" s="285"/>
      <c r="R845" s="285"/>
      <c r="S845" s="285"/>
      <c r="T845" s="285"/>
      <c r="U845" s="285"/>
      <c r="V845" s="285"/>
      <c r="W845" s="285"/>
    </row>
    <row r="846" spans="1:23" x14ac:dyDescent="0.25">
      <c r="A846" s="281">
        <v>156</v>
      </c>
      <c r="B846" s="285" t="s">
        <v>5874</v>
      </c>
      <c r="C846" s="285" t="s">
        <v>5875</v>
      </c>
      <c r="D846" s="285" t="s">
        <v>1100</v>
      </c>
      <c r="E846" s="285">
        <v>4.8</v>
      </c>
      <c r="F846" s="285">
        <v>20</v>
      </c>
      <c r="G846" s="285" t="s">
        <v>5876</v>
      </c>
      <c r="H846" s="285" t="s">
        <v>963</v>
      </c>
      <c r="I846" s="285" t="s">
        <v>1075</v>
      </c>
      <c r="J846" s="302">
        <v>7050230712345</v>
      </c>
      <c r="K846" s="282">
        <v>45580</v>
      </c>
      <c r="L846" s="285"/>
      <c r="M846" s="285"/>
      <c r="N846" s="285"/>
      <c r="O846" s="285"/>
      <c r="P846" s="285"/>
      <c r="Q846" s="285"/>
      <c r="R846" s="285"/>
      <c r="S846" s="285"/>
      <c r="T846" s="285"/>
      <c r="U846" s="285"/>
      <c r="V846" s="285"/>
      <c r="W846" s="285"/>
    </row>
    <row r="847" spans="1:23" x14ac:dyDescent="0.25">
      <c r="A847" s="281">
        <v>157</v>
      </c>
      <c r="B847" s="285" t="s">
        <v>5877</v>
      </c>
      <c r="C847" s="285" t="s">
        <v>5878</v>
      </c>
      <c r="D847" s="285" t="s">
        <v>2870</v>
      </c>
      <c r="E847" s="285">
        <v>1</v>
      </c>
      <c r="F847" s="285">
        <v>20</v>
      </c>
      <c r="G847" s="285" t="s">
        <v>5879</v>
      </c>
      <c r="H847" s="285" t="s">
        <v>963</v>
      </c>
      <c r="I847" s="285" t="s">
        <v>1075</v>
      </c>
      <c r="J847" s="302">
        <v>7060231009618</v>
      </c>
      <c r="K847" s="282">
        <v>45579</v>
      </c>
      <c r="L847" s="285"/>
      <c r="M847" s="285"/>
      <c r="N847" s="285"/>
      <c r="O847" s="285"/>
      <c r="P847" s="285"/>
      <c r="Q847" s="285"/>
      <c r="R847" s="285"/>
      <c r="S847" s="285"/>
      <c r="T847" s="285"/>
      <c r="U847" s="285"/>
      <c r="V847" s="285"/>
      <c r="W847" s="285"/>
    </row>
    <row r="848" spans="1:23" x14ac:dyDescent="0.25">
      <c r="A848" s="281">
        <v>158</v>
      </c>
      <c r="B848" s="285" t="s">
        <v>5880</v>
      </c>
      <c r="C848" s="285" t="s">
        <v>4585</v>
      </c>
      <c r="D848" s="285" t="s">
        <v>2870</v>
      </c>
      <c r="E848" s="285">
        <v>35.835999999999999</v>
      </c>
      <c r="F848" s="285">
        <v>110</v>
      </c>
      <c r="G848" s="285" t="s">
        <v>5881</v>
      </c>
      <c r="H848" s="285" t="s">
        <v>963</v>
      </c>
      <c r="I848" s="285" t="s">
        <v>1075</v>
      </c>
      <c r="J848" s="302">
        <v>7060231109984</v>
      </c>
      <c r="K848" s="282">
        <v>45588</v>
      </c>
      <c r="L848" s="285"/>
      <c r="M848" s="285"/>
      <c r="N848" s="285"/>
      <c r="O848" s="285"/>
      <c r="P848" s="285"/>
      <c r="Q848" s="285"/>
      <c r="R848" s="285"/>
      <c r="S848" s="285"/>
      <c r="T848" s="285"/>
      <c r="U848" s="285"/>
      <c r="V848" s="285"/>
      <c r="W848" s="285"/>
    </row>
    <row r="849" spans="1:23" x14ac:dyDescent="0.25">
      <c r="A849" s="281">
        <v>159</v>
      </c>
      <c r="B849" s="647" t="s">
        <v>5986</v>
      </c>
      <c r="C849" s="285" t="s">
        <v>5987</v>
      </c>
      <c r="D849" s="285" t="s">
        <v>1085</v>
      </c>
      <c r="E849" s="285">
        <v>4.9000000000000004</v>
      </c>
      <c r="F849" s="285">
        <v>20</v>
      </c>
      <c r="G849" s="285" t="s">
        <v>5988</v>
      </c>
      <c r="H849" s="285" t="s">
        <v>963</v>
      </c>
      <c r="I849" s="285" t="s">
        <v>1075</v>
      </c>
      <c r="J849" s="302">
        <v>7030240806973</v>
      </c>
      <c r="K849" s="282">
        <v>45601</v>
      </c>
      <c r="L849" s="285"/>
      <c r="M849" s="285"/>
      <c r="N849" s="285"/>
      <c r="O849" s="285"/>
      <c r="P849" s="285"/>
      <c r="Q849" s="285"/>
      <c r="R849" s="285"/>
      <c r="S849" s="285"/>
      <c r="T849" s="285"/>
      <c r="U849" s="285"/>
      <c r="V849" s="285"/>
      <c r="W849" s="285"/>
    </row>
    <row r="850" spans="1:23" x14ac:dyDescent="0.25">
      <c r="A850" s="281">
        <v>160</v>
      </c>
      <c r="B850" s="647" t="s">
        <v>4006</v>
      </c>
      <c r="C850" s="285" t="s">
        <v>4007</v>
      </c>
      <c r="D850" s="285" t="s">
        <v>3440</v>
      </c>
      <c r="E850" s="285">
        <v>49.875</v>
      </c>
      <c r="F850" s="285">
        <v>110</v>
      </c>
      <c r="G850" s="285" t="s">
        <v>5989</v>
      </c>
      <c r="H850" s="285" t="s">
        <v>4103</v>
      </c>
      <c r="I850" s="285" t="s">
        <v>1075</v>
      </c>
      <c r="J850" s="302">
        <v>7030241109735</v>
      </c>
      <c r="K850" s="282">
        <v>45615</v>
      </c>
      <c r="L850" s="285" t="s">
        <v>5990</v>
      </c>
      <c r="M850" s="295">
        <v>45622</v>
      </c>
      <c r="N850" s="285"/>
      <c r="O850" s="285"/>
      <c r="P850" s="285"/>
      <c r="Q850" s="285"/>
      <c r="R850" s="285"/>
      <c r="S850" s="285"/>
      <c r="T850" s="285"/>
      <c r="U850" s="285"/>
      <c r="V850" s="285"/>
      <c r="W850" s="285"/>
    </row>
    <row r="851" spans="1:23" x14ac:dyDescent="0.25">
      <c r="A851" s="281">
        <v>161</v>
      </c>
      <c r="B851" s="647" t="s">
        <v>5991</v>
      </c>
      <c r="C851" s="285" t="s">
        <v>3141</v>
      </c>
      <c r="D851" s="285" t="s">
        <v>5604</v>
      </c>
      <c r="E851" s="285">
        <v>1.9</v>
      </c>
      <c r="F851" s="285">
        <v>20</v>
      </c>
      <c r="G851" s="285" t="s">
        <v>5992</v>
      </c>
      <c r="H851" s="285" t="s">
        <v>4103</v>
      </c>
      <c r="I851" s="285" t="s">
        <v>1075</v>
      </c>
      <c r="J851" s="302">
        <v>7020241108881</v>
      </c>
      <c r="K851" s="282">
        <v>45617</v>
      </c>
      <c r="L851" s="285" t="s">
        <v>5993</v>
      </c>
      <c r="M851" s="295">
        <v>45624</v>
      </c>
      <c r="N851" s="285"/>
      <c r="O851" s="285"/>
      <c r="P851" s="285"/>
      <c r="Q851" s="285"/>
      <c r="R851" s="285"/>
      <c r="S851" s="285"/>
      <c r="T851" s="285"/>
      <c r="U851" s="285"/>
      <c r="V851" s="285"/>
      <c r="W851" s="285"/>
    </row>
    <row r="852" spans="1:23" x14ac:dyDescent="0.25">
      <c r="A852" s="281">
        <v>162</v>
      </c>
      <c r="B852" s="647" t="s">
        <v>5994</v>
      </c>
      <c r="C852" s="285" t="s">
        <v>1072</v>
      </c>
      <c r="D852" s="285" t="s">
        <v>1072</v>
      </c>
      <c r="E852" s="285">
        <v>49.8</v>
      </c>
      <c r="F852" s="285">
        <v>110</v>
      </c>
      <c r="G852" s="285" t="s">
        <v>5995</v>
      </c>
      <c r="H852" s="285" t="s">
        <v>963</v>
      </c>
      <c r="I852" s="285" t="s">
        <v>1075</v>
      </c>
      <c r="J852" s="302">
        <v>7020240301561</v>
      </c>
      <c r="K852" s="282">
        <v>45611</v>
      </c>
      <c r="L852" s="285"/>
      <c r="M852" s="285"/>
      <c r="N852" s="285"/>
      <c r="O852" s="285"/>
      <c r="P852" s="285"/>
      <c r="Q852" s="285"/>
      <c r="R852" s="285"/>
      <c r="S852" s="285"/>
      <c r="T852" s="285"/>
      <c r="U852" s="285"/>
      <c r="V852" s="285"/>
      <c r="W852" s="285"/>
    </row>
  </sheetData>
  <mergeCells count="8">
    <mergeCell ref="C8:F8"/>
    <mergeCell ref="C10:F10"/>
    <mergeCell ref="C2:F2"/>
    <mergeCell ref="C3:F3"/>
    <mergeCell ref="C4:F4"/>
    <mergeCell ref="C5:F5"/>
    <mergeCell ref="C6:F6"/>
    <mergeCell ref="C7:F7"/>
  </mergeCells>
  <conditionalFormatting sqref="J294:J343">
    <cfRule type="duplicateValues" dxfId="8" priority="8"/>
  </conditionalFormatting>
  <conditionalFormatting sqref="J294:J343">
    <cfRule type="duplicateValues" dxfId="7" priority="7"/>
  </conditionalFormatting>
  <conditionalFormatting sqref="J367:J383 J344:J362 J395:J403">
    <cfRule type="duplicateValues" dxfId="6" priority="6"/>
  </conditionalFormatting>
  <conditionalFormatting sqref="J392:J393">
    <cfRule type="duplicateValues" dxfId="5" priority="5"/>
  </conditionalFormatting>
  <conditionalFormatting sqref="J394">
    <cfRule type="duplicateValues" dxfId="4" priority="4" stopIfTrue="1"/>
  </conditionalFormatting>
  <conditionalFormatting sqref="J394">
    <cfRule type="duplicateValues" dxfId="3" priority="3" stopIfTrue="1"/>
  </conditionalFormatting>
  <conditionalFormatting sqref="J394">
    <cfRule type="duplicateValues" dxfId="2" priority="2" stopIfTrue="1"/>
  </conditionalFormatting>
  <conditionalFormatting sqref="J344:J403">
    <cfRule type="duplicateValues" dxfId="1" priority="1"/>
  </conditionalFormatting>
  <pageMargins left="0.7" right="0.7" top="0.75" bottom="0.75" header="0.3" footer="0.3"/>
  <pageSetup paperSize="9" orientation="portrait" r:id="rId1"/>
  <headerFooter>
    <oddHeader>&amp;CCod: TEL – 07.50 Ed. I, rev. 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zoomScaleNormal="100" workbookViewId="0">
      <selection activeCell="H6" sqref="H6"/>
    </sheetView>
  </sheetViews>
  <sheetFormatPr defaultRowHeight="15" x14ac:dyDescent="0.25"/>
  <cols>
    <col min="1" max="1" width="5.85546875" customWidth="1"/>
    <col min="2" max="2" width="50.140625" customWidth="1"/>
    <col min="3" max="3" width="36" customWidth="1"/>
    <col min="4" max="4" width="14.7109375" customWidth="1"/>
    <col min="5" max="5" width="15.140625" customWidth="1"/>
    <col min="7" max="7" width="26.85546875" customWidth="1"/>
    <col min="8" max="8" width="53.28515625" customWidth="1"/>
    <col min="9" max="11" width="24" customWidth="1"/>
    <col min="12" max="13" width="14.140625" customWidth="1"/>
    <col min="14" max="14" width="22.42578125"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3" ht="15.75" thickBot="1" x14ac:dyDescent="0.3"/>
    <row r="2" spans="1:23" x14ac:dyDescent="0.25">
      <c r="B2" s="23" t="s">
        <v>794</v>
      </c>
      <c r="C2" s="847">
        <v>45636</v>
      </c>
      <c r="D2" s="848"/>
      <c r="E2" s="848"/>
      <c r="F2" s="849"/>
      <c r="G2" s="24"/>
    </row>
    <row r="3" spans="1:23" ht="15.75" thickBot="1" x14ac:dyDescent="0.3">
      <c r="B3" s="25" t="s">
        <v>795</v>
      </c>
      <c r="C3" s="850" t="s">
        <v>796</v>
      </c>
      <c r="D3" s="850"/>
      <c r="E3" s="850"/>
      <c r="F3" s="851"/>
      <c r="G3" s="26"/>
    </row>
    <row r="4" spans="1:23" ht="15.75" x14ac:dyDescent="0.25">
      <c r="B4" s="27"/>
      <c r="C4" s="852" t="s">
        <v>797</v>
      </c>
      <c r="D4" s="852"/>
      <c r="E4" s="852"/>
      <c r="F4" s="853"/>
      <c r="G4" s="26"/>
    </row>
    <row r="5" spans="1:23" ht="15.75" thickBot="1" x14ac:dyDescent="0.3">
      <c r="B5" s="35"/>
      <c r="C5" s="858" t="s">
        <v>801</v>
      </c>
      <c r="D5" s="859"/>
      <c r="E5" s="859"/>
      <c r="F5" s="860"/>
    </row>
    <row r="6" spans="1:23" x14ac:dyDescent="0.25">
      <c r="B6" s="33"/>
      <c r="C6" s="861" t="s">
        <v>802</v>
      </c>
      <c r="D6" s="862"/>
      <c r="E6" s="862"/>
      <c r="F6" s="863"/>
    </row>
    <row r="7" spans="1:23" x14ac:dyDescent="0.25">
      <c r="B7" s="34"/>
      <c r="C7" s="864" t="s">
        <v>803</v>
      </c>
      <c r="D7" s="865"/>
      <c r="E7" s="865"/>
      <c r="F7" s="866"/>
    </row>
    <row r="8" spans="1:23" x14ac:dyDescent="0.25">
      <c r="B8" s="28"/>
      <c r="C8" s="854" t="s">
        <v>800</v>
      </c>
      <c r="D8" s="854"/>
      <c r="E8" s="854"/>
      <c r="F8" s="855"/>
      <c r="G8" s="26"/>
    </row>
    <row r="9" spans="1:23" x14ac:dyDescent="0.25">
      <c r="B9" s="32"/>
      <c r="C9" s="39" t="s">
        <v>799</v>
      </c>
      <c r="D9" s="40"/>
      <c r="E9" s="40"/>
      <c r="F9" s="41"/>
    </row>
    <row r="10" spans="1:23" x14ac:dyDescent="0.25">
      <c r="B10" s="29"/>
      <c r="C10" s="856" t="s">
        <v>804</v>
      </c>
      <c r="D10" s="856"/>
      <c r="E10" s="856"/>
      <c r="F10" s="857"/>
      <c r="G10" s="26" t="s">
        <v>798</v>
      </c>
    </row>
    <row r="11" spans="1:23" x14ac:dyDescent="0.25">
      <c r="B11" s="30"/>
      <c r="C11" s="42" t="s">
        <v>805</v>
      </c>
      <c r="D11" s="42"/>
      <c r="E11" s="42"/>
      <c r="F11" s="43"/>
      <c r="G11" s="26" t="s">
        <v>798</v>
      </c>
    </row>
    <row r="12" spans="1:23" x14ac:dyDescent="0.25">
      <c r="B12" s="31"/>
      <c r="C12" s="36" t="s">
        <v>806</v>
      </c>
      <c r="D12" s="37"/>
      <c r="E12" s="37"/>
      <c r="F12" s="38"/>
      <c r="G12" s="26" t="s">
        <v>798</v>
      </c>
    </row>
    <row r="13" spans="1:23" ht="15.75" thickBot="1" x14ac:dyDescent="0.3"/>
    <row r="14" spans="1:23" ht="39" thickBot="1" x14ac:dyDescent="0.3">
      <c r="A14" s="1" t="s">
        <v>28</v>
      </c>
      <c r="B14" s="4" t="s">
        <v>4</v>
      </c>
      <c r="C14" s="2" t="s">
        <v>5</v>
      </c>
      <c r="D14" s="4" t="s">
        <v>9</v>
      </c>
      <c r="E14" s="2" t="s">
        <v>2</v>
      </c>
      <c r="F14" s="2" t="s">
        <v>23</v>
      </c>
      <c r="G14" s="2" t="s">
        <v>10</v>
      </c>
      <c r="H14" s="2" t="s">
        <v>0</v>
      </c>
      <c r="I14" s="2" t="s">
        <v>11</v>
      </c>
      <c r="J14" s="5" t="s">
        <v>12</v>
      </c>
      <c r="K14" s="6" t="s">
        <v>13</v>
      </c>
      <c r="L14" s="2" t="s">
        <v>14</v>
      </c>
      <c r="M14" s="2" t="s">
        <v>24</v>
      </c>
      <c r="N14" s="7" t="s">
        <v>15</v>
      </c>
      <c r="O14" s="2" t="s">
        <v>16</v>
      </c>
      <c r="P14" s="2" t="s">
        <v>17</v>
      </c>
      <c r="Q14" s="2" t="s">
        <v>18</v>
      </c>
      <c r="R14" s="6" t="s">
        <v>19</v>
      </c>
      <c r="S14" s="6" t="s">
        <v>20</v>
      </c>
      <c r="T14" s="6" t="s">
        <v>21</v>
      </c>
      <c r="U14" s="6" t="s">
        <v>22</v>
      </c>
      <c r="V14" s="8" t="s">
        <v>26</v>
      </c>
      <c r="W14" s="3" t="s">
        <v>27</v>
      </c>
    </row>
    <row r="15" spans="1:23" x14ac:dyDescent="0.25">
      <c r="H15" s="9"/>
      <c r="O15" t="s">
        <v>25</v>
      </c>
      <c r="P15" t="s">
        <v>25</v>
      </c>
      <c r="Q15" t="s">
        <v>25</v>
      </c>
    </row>
    <row r="16" spans="1:23" x14ac:dyDescent="0.25">
      <c r="H16" s="10"/>
    </row>
  </sheetData>
  <mergeCells count="8">
    <mergeCell ref="C8:F8"/>
    <mergeCell ref="C10:F10"/>
    <mergeCell ref="C2:F2"/>
    <mergeCell ref="C3:F3"/>
    <mergeCell ref="C4:F4"/>
    <mergeCell ref="C5:F5"/>
    <mergeCell ref="C6:F6"/>
    <mergeCell ref="C7:F7"/>
  </mergeCells>
  <pageMargins left="0.7" right="0.7" top="0.75" bottom="0.75" header="0.3" footer="0.3"/>
  <pageSetup paperSize="9" orientation="portrait" r:id="rId1"/>
  <headerFooter>
    <oddHeader>&amp;CCod: TEL – 07.50 Ed. I, rev. 0</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zoomScaleNormal="100" workbookViewId="0">
      <selection activeCell="G7" sqref="G7"/>
    </sheetView>
  </sheetViews>
  <sheetFormatPr defaultRowHeight="15" x14ac:dyDescent="0.25"/>
  <cols>
    <col min="1" max="1" width="5.85546875" customWidth="1"/>
    <col min="2" max="2" width="50.140625" customWidth="1"/>
    <col min="3" max="3" width="36" customWidth="1"/>
    <col min="4" max="4" width="14.7109375" customWidth="1"/>
    <col min="5" max="5" width="15.140625" customWidth="1"/>
    <col min="7" max="7" width="26.85546875" customWidth="1"/>
    <col min="8" max="8" width="53.28515625" customWidth="1"/>
    <col min="9" max="10" width="24" customWidth="1"/>
    <col min="11" max="11" width="24" style="64" customWidth="1"/>
    <col min="12" max="12" width="14.140625" customWidth="1"/>
    <col min="13" max="13" width="14.140625" style="64" customWidth="1"/>
    <col min="14" max="14" width="22.42578125" style="64" customWidth="1"/>
    <col min="15" max="15" width="22.28515625" customWidth="1"/>
    <col min="16" max="16" width="20.28515625" customWidth="1"/>
    <col min="17" max="17" width="30.85546875" customWidth="1"/>
    <col min="18" max="18" width="30.5703125" customWidth="1"/>
    <col min="19" max="19" width="16.5703125" customWidth="1"/>
    <col min="20" max="20" width="20.7109375" customWidth="1"/>
    <col min="21" max="21" width="21.7109375" customWidth="1"/>
    <col min="22" max="22" width="17.7109375" customWidth="1"/>
    <col min="23" max="23" width="22" customWidth="1"/>
  </cols>
  <sheetData>
    <row r="1" spans="1:25" ht="15.75" thickBot="1" x14ac:dyDescent="0.3"/>
    <row r="2" spans="1:25" x14ac:dyDescent="0.25">
      <c r="B2" s="23" t="s">
        <v>794</v>
      </c>
      <c r="C2" s="847">
        <v>45636</v>
      </c>
      <c r="D2" s="848"/>
      <c r="E2" s="848"/>
      <c r="F2" s="849"/>
      <c r="G2" s="24"/>
    </row>
    <row r="3" spans="1:25" ht="15.75" thickBot="1" x14ac:dyDescent="0.3">
      <c r="B3" s="25" t="s">
        <v>795</v>
      </c>
      <c r="C3" s="850" t="s">
        <v>796</v>
      </c>
      <c r="D3" s="850"/>
      <c r="E3" s="850"/>
      <c r="F3" s="851"/>
      <c r="G3" s="26"/>
    </row>
    <row r="4" spans="1:25" ht="15.75" x14ac:dyDescent="0.25">
      <c r="B4" s="27"/>
      <c r="C4" s="852" t="s">
        <v>797</v>
      </c>
      <c r="D4" s="852"/>
      <c r="E4" s="852"/>
      <c r="F4" s="853"/>
      <c r="G4" s="26"/>
    </row>
    <row r="5" spans="1:25" ht="15.75" thickBot="1" x14ac:dyDescent="0.3">
      <c r="B5" s="35"/>
      <c r="C5" s="858" t="s">
        <v>801</v>
      </c>
      <c r="D5" s="859"/>
      <c r="E5" s="859"/>
      <c r="F5" s="860"/>
    </row>
    <row r="6" spans="1:25" x14ac:dyDescent="0.25">
      <c r="B6" s="33"/>
      <c r="C6" s="861" t="s">
        <v>802</v>
      </c>
      <c r="D6" s="862"/>
      <c r="E6" s="862"/>
      <c r="F6" s="863"/>
    </row>
    <row r="7" spans="1:25" x14ac:dyDescent="0.25">
      <c r="B7" s="34"/>
      <c r="C7" s="864" t="s">
        <v>803</v>
      </c>
      <c r="D7" s="865"/>
      <c r="E7" s="865"/>
      <c r="F7" s="866"/>
    </row>
    <row r="8" spans="1:25" x14ac:dyDescent="0.25">
      <c r="B8" s="28"/>
      <c r="C8" s="854" t="s">
        <v>800</v>
      </c>
      <c r="D8" s="854"/>
      <c r="E8" s="854"/>
      <c r="F8" s="855"/>
      <c r="G8" s="26"/>
    </row>
    <row r="9" spans="1:25" x14ac:dyDescent="0.25">
      <c r="B9" s="32"/>
      <c r="C9" s="39" t="s">
        <v>799</v>
      </c>
      <c r="D9" s="40"/>
      <c r="E9" s="40"/>
      <c r="F9" s="41"/>
    </row>
    <row r="10" spans="1:25" x14ac:dyDescent="0.25">
      <c r="B10" s="29"/>
      <c r="C10" s="856" t="s">
        <v>804</v>
      </c>
      <c r="D10" s="856"/>
      <c r="E10" s="856"/>
      <c r="F10" s="857"/>
      <c r="G10" s="26" t="s">
        <v>798</v>
      </c>
    </row>
    <row r="11" spans="1:25" x14ac:dyDescent="0.25">
      <c r="B11" s="30"/>
      <c r="C11" s="42" t="s">
        <v>805</v>
      </c>
      <c r="D11" s="42"/>
      <c r="E11" s="42"/>
      <c r="F11" s="43"/>
      <c r="G11" s="26" t="s">
        <v>798</v>
      </c>
    </row>
    <row r="12" spans="1:25" x14ac:dyDescent="0.25">
      <c r="B12" s="31"/>
      <c r="C12" s="36" t="s">
        <v>806</v>
      </c>
      <c r="D12" s="37"/>
      <c r="E12" s="37"/>
      <c r="F12" s="38"/>
      <c r="G12" s="26" t="s">
        <v>798</v>
      </c>
    </row>
    <row r="13" spans="1:25" ht="15.75" thickBot="1" x14ac:dyDescent="0.3"/>
    <row r="14" spans="1:25" ht="39" thickBot="1" x14ac:dyDescent="0.3">
      <c r="A14" s="1" t="s">
        <v>28</v>
      </c>
      <c r="B14" s="4" t="s">
        <v>4</v>
      </c>
      <c r="C14" s="2" t="s">
        <v>5</v>
      </c>
      <c r="D14" s="4" t="s">
        <v>9</v>
      </c>
      <c r="E14" s="2" t="s">
        <v>2</v>
      </c>
      <c r="F14" s="2" t="s">
        <v>23</v>
      </c>
      <c r="G14" s="2" t="s">
        <v>10</v>
      </c>
      <c r="H14" s="2" t="s">
        <v>0</v>
      </c>
      <c r="I14" s="2" t="s">
        <v>11</v>
      </c>
      <c r="J14" s="5" t="s">
        <v>12</v>
      </c>
      <c r="K14" s="65" t="s">
        <v>13</v>
      </c>
      <c r="L14" s="2" t="s">
        <v>14</v>
      </c>
      <c r="M14" s="67" t="s">
        <v>24</v>
      </c>
      <c r="N14" s="68" t="s">
        <v>15</v>
      </c>
      <c r="O14" s="2" t="s">
        <v>16</v>
      </c>
      <c r="P14" s="2" t="s">
        <v>17</v>
      </c>
      <c r="Q14" s="2" t="s">
        <v>18</v>
      </c>
      <c r="R14" s="6" t="s">
        <v>19</v>
      </c>
      <c r="S14" s="6" t="s">
        <v>20</v>
      </c>
      <c r="T14" s="6" t="s">
        <v>21</v>
      </c>
      <c r="U14" s="6" t="s">
        <v>22</v>
      </c>
      <c r="V14" s="8" t="s">
        <v>26</v>
      </c>
      <c r="W14" s="3" t="s">
        <v>27</v>
      </c>
      <c r="Y14" s="86"/>
    </row>
    <row r="15" spans="1:25" ht="38.25" x14ac:dyDescent="0.25">
      <c r="A15" s="44">
        <v>1</v>
      </c>
      <c r="B15" s="44" t="s">
        <v>348</v>
      </c>
      <c r="C15" s="44" t="s">
        <v>349</v>
      </c>
      <c r="D15" s="44" t="s">
        <v>290</v>
      </c>
      <c r="E15" s="44">
        <v>9.4</v>
      </c>
      <c r="F15" s="44">
        <v>110</v>
      </c>
      <c r="G15" s="44" t="s">
        <v>291</v>
      </c>
      <c r="H15" s="44" t="s">
        <v>350</v>
      </c>
      <c r="I15" s="44" t="s">
        <v>287</v>
      </c>
      <c r="J15" s="44">
        <v>892</v>
      </c>
      <c r="K15" s="62">
        <v>44502</v>
      </c>
      <c r="L15" s="44"/>
      <c r="M15" s="62"/>
      <c r="N15" s="62" t="s">
        <v>336</v>
      </c>
      <c r="O15" s="62" t="s">
        <v>25</v>
      </c>
      <c r="P15" s="62" t="s">
        <v>25</v>
      </c>
      <c r="Q15" s="62" t="s">
        <v>25</v>
      </c>
      <c r="R15" s="62"/>
      <c r="S15" s="62"/>
      <c r="T15" s="62"/>
      <c r="U15" s="62"/>
      <c r="V15" s="62"/>
      <c r="W15" s="72">
        <v>9.4</v>
      </c>
      <c r="Y15" s="86"/>
    </row>
    <row r="16" spans="1:25" ht="38.25" x14ac:dyDescent="0.25">
      <c r="A16" s="44">
        <v>2</v>
      </c>
      <c r="B16" s="44" t="s">
        <v>1194</v>
      </c>
      <c r="C16" s="44" t="s">
        <v>1195</v>
      </c>
      <c r="D16" s="44" t="s">
        <v>290</v>
      </c>
      <c r="E16" s="44">
        <v>9.4</v>
      </c>
      <c r="F16" s="44">
        <v>110</v>
      </c>
      <c r="G16" s="44" t="s">
        <v>291</v>
      </c>
      <c r="H16" s="44" t="s">
        <v>350</v>
      </c>
      <c r="I16" s="44" t="s">
        <v>287</v>
      </c>
      <c r="J16" s="44">
        <v>112</v>
      </c>
      <c r="K16" s="62">
        <v>44623</v>
      </c>
      <c r="L16" s="44"/>
      <c r="M16" s="62"/>
      <c r="N16" s="62" t="s">
        <v>336</v>
      </c>
      <c r="O16" s="62" t="s">
        <v>25</v>
      </c>
      <c r="P16" s="62" t="s">
        <v>25</v>
      </c>
      <c r="Q16" s="62" t="s">
        <v>25</v>
      </c>
      <c r="R16" s="62"/>
      <c r="S16" s="62"/>
      <c r="T16" s="62"/>
      <c r="U16" s="62"/>
      <c r="V16" s="62"/>
      <c r="W16" s="72">
        <v>9.4</v>
      </c>
      <c r="Y16" s="86"/>
    </row>
    <row r="17" spans="1:26" ht="38.25" x14ac:dyDescent="0.25">
      <c r="A17" s="44">
        <v>3</v>
      </c>
      <c r="B17" s="261" t="s">
        <v>351</v>
      </c>
      <c r="C17" s="44" t="s">
        <v>352</v>
      </c>
      <c r="D17" s="44" t="s">
        <v>290</v>
      </c>
      <c r="E17" s="44">
        <v>2.4</v>
      </c>
      <c r="F17" s="44">
        <v>6</v>
      </c>
      <c r="G17" s="44" t="s">
        <v>353</v>
      </c>
      <c r="H17" s="44" t="s">
        <v>354</v>
      </c>
      <c r="I17" s="44" t="s">
        <v>287</v>
      </c>
      <c r="J17" s="44">
        <v>1003742483</v>
      </c>
      <c r="K17" s="62">
        <v>44459</v>
      </c>
      <c r="L17" s="44">
        <v>1004003315</v>
      </c>
      <c r="M17" s="62">
        <v>44532</v>
      </c>
      <c r="N17" s="62">
        <v>44926</v>
      </c>
      <c r="O17" s="44" t="s">
        <v>25</v>
      </c>
      <c r="P17" s="44" t="s">
        <v>25</v>
      </c>
      <c r="Q17" s="44" t="s">
        <v>25</v>
      </c>
      <c r="R17" s="44">
        <v>1005057523</v>
      </c>
      <c r="S17" s="62">
        <v>44842</v>
      </c>
      <c r="T17" s="44">
        <v>2.4</v>
      </c>
      <c r="U17" s="44"/>
      <c r="V17" s="44">
        <v>2.4</v>
      </c>
      <c r="W17" s="44">
        <v>0</v>
      </c>
      <c r="Y17" s="86"/>
    </row>
    <row r="18" spans="1:26" ht="25.5" x14ac:dyDescent="0.25">
      <c r="A18" s="240">
        <v>4</v>
      </c>
      <c r="B18" s="261" t="s">
        <v>5230</v>
      </c>
      <c r="C18" s="240" t="s">
        <v>5231</v>
      </c>
      <c r="D18" s="240" t="s">
        <v>372</v>
      </c>
      <c r="E18" s="240">
        <v>1.2</v>
      </c>
      <c r="F18" s="240">
        <v>20</v>
      </c>
      <c r="G18" s="240" t="s">
        <v>5232</v>
      </c>
      <c r="H18" s="240" t="s">
        <v>5233</v>
      </c>
      <c r="I18" s="240" t="s">
        <v>287</v>
      </c>
      <c r="J18" s="240">
        <v>1005699414</v>
      </c>
      <c r="K18" s="241">
        <v>45478</v>
      </c>
      <c r="L18" s="240"/>
      <c r="M18" s="241"/>
      <c r="N18" s="241">
        <v>45657</v>
      </c>
      <c r="O18" s="240" t="s">
        <v>25</v>
      </c>
      <c r="P18" s="240" t="s">
        <v>25</v>
      </c>
      <c r="Q18" s="240" t="s">
        <v>25</v>
      </c>
      <c r="R18" s="240"/>
      <c r="S18" s="241"/>
      <c r="T18" s="240"/>
      <c r="U18" s="240"/>
      <c r="V18" s="240"/>
      <c r="W18" s="240">
        <v>1.2</v>
      </c>
      <c r="Y18" s="86"/>
    </row>
    <row r="19" spans="1:26" x14ac:dyDescent="0.25">
      <c r="Y19" s="86"/>
    </row>
    <row r="20" spans="1:26" ht="25.5" x14ac:dyDescent="0.25">
      <c r="A20" s="47">
        <v>1</v>
      </c>
      <c r="B20" s="47" t="s">
        <v>637</v>
      </c>
      <c r="C20" s="47" t="s">
        <v>638</v>
      </c>
      <c r="D20" s="47" t="s">
        <v>416</v>
      </c>
      <c r="E20" s="47">
        <v>6</v>
      </c>
      <c r="F20" s="47">
        <v>20</v>
      </c>
      <c r="G20" s="47" t="s">
        <v>639</v>
      </c>
      <c r="H20" s="47"/>
      <c r="I20" s="47" t="s">
        <v>426</v>
      </c>
      <c r="J20" s="47">
        <v>1300000149</v>
      </c>
      <c r="K20" s="66" t="s">
        <v>640</v>
      </c>
      <c r="L20" s="47">
        <v>3200070057</v>
      </c>
      <c r="M20" s="66" t="s">
        <v>641</v>
      </c>
      <c r="N20" s="66"/>
      <c r="O20" s="47"/>
      <c r="P20" s="47"/>
      <c r="Q20" s="47"/>
      <c r="R20" s="47"/>
      <c r="S20" s="47"/>
      <c r="T20" s="47"/>
      <c r="U20" s="47"/>
      <c r="V20" s="47"/>
      <c r="W20" s="47"/>
      <c r="Y20" s="86"/>
    </row>
    <row r="21" spans="1:26" ht="45" x14ac:dyDescent="0.25">
      <c r="A21" s="819">
        <v>2</v>
      </c>
      <c r="B21" s="820" t="s">
        <v>351</v>
      </c>
      <c r="C21" s="821" t="s">
        <v>2626</v>
      </c>
      <c r="D21" s="822" t="s">
        <v>2650</v>
      </c>
      <c r="E21" s="823">
        <v>2.3940000000000001</v>
      </c>
      <c r="F21" s="824">
        <v>20</v>
      </c>
      <c r="G21" s="825" t="s">
        <v>5828</v>
      </c>
      <c r="H21" s="825" t="s">
        <v>5828</v>
      </c>
      <c r="I21" s="826" t="s">
        <v>426</v>
      </c>
      <c r="J21" s="827">
        <v>1300000179</v>
      </c>
      <c r="K21" s="828">
        <v>45272</v>
      </c>
      <c r="L21" s="829">
        <v>3200098286</v>
      </c>
      <c r="M21" s="830">
        <v>45308</v>
      </c>
      <c r="N21" s="831" t="s">
        <v>5829</v>
      </c>
      <c r="O21" s="815"/>
      <c r="P21" s="815"/>
      <c r="Q21" s="815"/>
      <c r="R21" s="815">
        <v>8700029277</v>
      </c>
      <c r="S21" s="832">
        <v>45476</v>
      </c>
      <c r="T21" s="823" t="s">
        <v>3937</v>
      </c>
      <c r="U21" s="815"/>
      <c r="V21" s="823">
        <v>2.3940000000000001</v>
      </c>
      <c r="W21" s="823"/>
      <c r="Y21" s="86"/>
    </row>
    <row r="22" spans="1:26" ht="25.5" x14ac:dyDescent="0.25">
      <c r="A22" s="98">
        <v>3</v>
      </c>
      <c r="B22" s="132" t="s">
        <v>351</v>
      </c>
      <c r="C22" s="334" t="s">
        <v>5109</v>
      </c>
      <c r="D22" s="98" t="s">
        <v>94</v>
      </c>
      <c r="E22" s="326">
        <v>2.2000000000000002</v>
      </c>
      <c r="F22" s="721">
        <v>20</v>
      </c>
      <c r="G22" s="98" t="s">
        <v>5110</v>
      </c>
      <c r="H22" s="98" t="s">
        <v>5110</v>
      </c>
      <c r="I22" s="98" t="s">
        <v>426</v>
      </c>
      <c r="J22" s="98">
        <v>1300000176</v>
      </c>
      <c r="K22" s="99">
        <v>45222</v>
      </c>
      <c r="L22" s="98">
        <v>3200097101</v>
      </c>
      <c r="M22" s="99">
        <v>45251</v>
      </c>
      <c r="N22" s="98" t="s">
        <v>5111</v>
      </c>
      <c r="O22" s="98"/>
      <c r="P22" s="98"/>
      <c r="Q22" s="98"/>
      <c r="R22" s="98"/>
      <c r="S22" s="98"/>
      <c r="T22" s="98"/>
      <c r="U22" s="98"/>
      <c r="V22" s="98"/>
      <c r="W22" s="326">
        <v>2.2000000000000002</v>
      </c>
      <c r="Y22" s="60"/>
      <c r="Z22" s="87"/>
    </row>
    <row r="23" spans="1:26" ht="51" customHeight="1" x14ac:dyDescent="0.25">
      <c r="A23" s="98">
        <v>4</v>
      </c>
      <c r="B23" s="132" t="s">
        <v>351</v>
      </c>
      <c r="C23" s="334" t="s">
        <v>2626</v>
      </c>
      <c r="D23" s="98" t="s">
        <v>2650</v>
      </c>
      <c r="E23" s="326">
        <v>2.8</v>
      </c>
      <c r="F23" s="721">
        <v>20</v>
      </c>
      <c r="G23" s="98" t="s">
        <v>5112</v>
      </c>
      <c r="H23" s="98" t="s">
        <v>5112</v>
      </c>
      <c r="I23" s="98" t="s">
        <v>426</v>
      </c>
      <c r="J23" s="98">
        <v>1300000182</v>
      </c>
      <c r="K23" s="99">
        <v>45294</v>
      </c>
      <c r="L23" s="98">
        <v>3200098284</v>
      </c>
      <c r="M23" s="325">
        <v>45308</v>
      </c>
      <c r="N23" s="98" t="s">
        <v>5113</v>
      </c>
      <c r="O23" s="98"/>
      <c r="P23" s="98"/>
      <c r="Q23" s="98"/>
      <c r="R23" s="98"/>
      <c r="S23" s="98"/>
      <c r="T23" s="98"/>
      <c r="U23" s="98"/>
      <c r="V23" s="98"/>
      <c r="W23" s="326">
        <v>2.8</v>
      </c>
      <c r="Y23" s="60"/>
      <c r="Z23" s="87"/>
    </row>
    <row r="24" spans="1:26" ht="38.25" x14ac:dyDescent="0.25">
      <c r="A24" s="98">
        <v>5</v>
      </c>
      <c r="B24" s="132" t="s">
        <v>351</v>
      </c>
      <c r="C24" s="334" t="s">
        <v>2626</v>
      </c>
      <c r="D24" s="98" t="s">
        <v>779</v>
      </c>
      <c r="E24" s="324">
        <v>2.2669999999999999</v>
      </c>
      <c r="F24" s="98">
        <v>20</v>
      </c>
      <c r="G24" s="98" t="s">
        <v>5114</v>
      </c>
      <c r="H24" s="98" t="s">
        <v>5114</v>
      </c>
      <c r="I24" s="98" t="s">
        <v>426</v>
      </c>
      <c r="J24" s="98">
        <v>1300000183</v>
      </c>
      <c r="K24" s="99">
        <v>45342</v>
      </c>
      <c r="L24" s="98">
        <v>3200101123</v>
      </c>
      <c r="M24" s="99">
        <v>45405</v>
      </c>
      <c r="N24" s="98" t="s">
        <v>5115</v>
      </c>
      <c r="O24" s="98"/>
      <c r="P24" s="98"/>
      <c r="Q24" s="98"/>
      <c r="R24" s="98"/>
      <c r="S24" s="98"/>
      <c r="T24" s="98"/>
      <c r="U24" s="98"/>
      <c r="V24" s="98"/>
      <c r="W24" s="324">
        <v>2.2669999999999999</v>
      </c>
      <c r="Y24" s="60"/>
      <c r="Z24" s="87"/>
    </row>
    <row r="25" spans="1:26" ht="30" customHeight="1" x14ac:dyDescent="0.25">
      <c r="A25" s="98">
        <v>6</v>
      </c>
      <c r="B25" s="132" t="s">
        <v>351</v>
      </c>
      <c r="C25" s="334" t="s">
        <v>2626</v>
      </c>
      <c r="D25" s="98" t="s">
        <v>2650</v>
      </c>
      <c r="E25" s="326">
        <v>2.8</v>
      </c>
      <c r="F25" s="721">
        <v>20</v>
      </c>
      <c r="G25" s="98" t="s">
        <v>5112</v>
      </c>
      <c r="H25" s="98" t="s">
        <v>5112</v>
      </c>
      <c r="I25" s="98" t="s">
        <v>426</v>
      </c>
      <c r="J25" s="98">
        <v>1300000187</v>
      </c>
      <c r="K25" s="99">
        <v>45517</v>
      </c>
      <c r="L25" s="98">
        <v>3200098284</v>
      </c>
      <c r="M25" s="325">
        <v>45308</v>
      </c>
      <c r="N25" s="98" t="s">
        <v>5113</v>
      </c>
      <c r="O25" s="98"/>
      <c r="P25" s="98"/>
      <c r="Q25" s="98"/>
      <c r="R25" s="98"/>
      <c r="S25" s="98"/>
      <c r="T25" s="98"/>
      <c r="U25" s="98"/>
      <c r="V25" s="98"/>
      <c r="W25" s="326">
        <v>2.8</v>
      </c>
      <c r="Y25" s="60"/>
      <c r="Z25" s="87"/>
    </row>
    <row r="27" spans="1:26" x14ac:dyDescent="0.25">
      <c r="A27" s="29">
        <v>1</v>
      </c>
      <c r="B27" s="29" t="s">
        <v>959</v>
      </c>
      <c r="C27" s="29" t="s">
        <v>960</v>
      </c>
      <c r="D27" s="29" t="s">
        <v>917</v>
      </c>
      <c r="E27" s="29">
        <v>10.29</v>
      </c>
      <c r="F27" s="29">
        <v>20</v>
      </c>
      <c r="G27" s="29" t="s">
        <v>961</v>
      </c>
      <c r="H27" s="29" t="s">
        <v>932</v>
      </c>
      <c r="I27" s="29" t="s">
        <v>899</v>
      </c>
      <c r="J27" s="73">
        <v>3060210905488</v>
      </c>
      <c r="K27" s="29" t="s">
        <v>962</v>
      </c>
      <c r="L27" s="29" t="s">
        <v>116</v>
      </c>
      <c r="M27" s="29" t="s">
        <v>116</v>
      </c>
      <c r="N27" s="29"/>
      <c r="O27" s="29" t="s">
        <v>25</v>
      </c>
      <c r="P27" s="29" t="s">
        <v>25</v>
      </c>
      <c r="Q27" s="29" t="s">
        <v>25</v>
      </c>
      <c r="R27" s="29" t="s">
        <v>25</v>
      </c>
      <c r="S27" s="29"/>
      <c r="T27" s="29"/>
      <c r="U27" s="29"/>
      <c r="V27" s="29"/>
      <c r="W27" s="29"/>
    </row>
    <row r="28" spans="1:26" x14ac:dyDescent="0.25">
      <c r="A28" s="136">
        <v>2</v>
      </c>
      <c r="B28" s="249" t="s">
        <v>3266</v>
      </c>
      <c r="C28" s="249" t="s">
        <v>3181</v>
      </c>
      <c r="D28" s="136" t="s">
        <v>925</v>
      </c>
      <c r="E28" s="215">
        <v>20.154</v>
      </c>
      <c r="F28" s="136">
        <v>110</v>
      </c>
      <c r="G28" s="136" t="s">
        <v>3267</v>
      </c>
      <c r="H28" s="136" t="s">
        <v>3268</v>
      </c>
      <c r="I28" s="136" t="s">
        <v>2411</v>
      </c>
      <c r="J28" s="308">
        <v>3040220305279</v>
      </c>
      <c r="K28" s="187">
        <v>45120</v>
      </c>
      <c r="L28" s="136"/>
      <c r="M28" s="136"/>
      <c r="N28" s="136"/>
      <c r="O28" s="136"/>
      <c r="P28" s="136"/>
      <c r="Q28" s="136"/>
      <c r="R28" s="136"/>
      <c r="S28" s="136"/>
      <c r="T28" s="136"/>
      <c r="U28" s="136"/>
      <c r="V28" s="136"/>
      <c r="W28" s="136"/>
    </row>
    <row r="29" spans="1:26" x14ac:dyDescent="0.25">
      <c r="A29" s="136">
        <v>3</v>
      </c>
      <c r="B29" s="29" t="s">
        <v>351</v>
      </c>
      <c r="C29" s="249" t="s">
        <v>3623</v>
      </c>
      <c r="D29" s="136" t="s">
        <v>2546</v>
      </c>
      <c r="E29" s="215">
        <v>2.72</v>
      </c>
      <c r="F29" s="136">
        <v>20</v>
      </c>
      <c r="G29" s="136" t="s">
        <v>5858</v>
      </c>
      <c r="H29" s="136" t="s">
        <v>964</v>
      </c>
      <c r="I29" s="136" t="s">
        <v>2411</v>
      </c>
      <c r="J29" s="308">
        <v>3010240605670</v>
      </c>
      <c r="K29" s="187">
        <v>45545</v>
      </c>
      <c r="L29" s="136"/>
      <c r="M29" s="136"/>
      <c r="N29" s="136"/>
      <c r="O29" s="136"/>
      <c r="P29" s="136"/>
      <c r="Q29" s="136"/>
      <c r="R29" s="136"/>
      <c r="S29" s="136"/>
      <c r="T29" s="136"/>
      <c r="U29" s="136"/>
      <c r="V29" s="136"/>
      <c r="W29" s="136"/>
    </row>
    <row r="30" spans="1:26" x14ac:dyDescent="0.25">
      <c r="A30" s="136">
        <v>4</v>
      </c>
      <c r="B30" s="29" t="s">
        <v>351</v>
      </c>
      <c r="C30" s="249" t="s">
        <v>5859</v>
      </c>
      <c r="D30" s="136" t="s">
        <v>65</v>
      </c>
      <c r="E30" s="215">
        <v>1.42</v>
      </c>
      <c r="F30" s="136">
        <v>20</v>
      </c>
      <c r="G30" s="136" t="s">
        <v>5860</v>
      </c>
      <c r="H30" s="136" t="s">
        <v>964</v>
      </c>
      <c r="I30" s="136" t="s">
        <v>2411</v>
      </c>
      <c r="J30" s="308">
        <v>3030240603407</v>
      </c>
      <c r="K30" s="187">
        <v>45588</v>
      </c>
      <c r="L30" s="136"/>
      <c r="M30" s="136"/>
      <c r="N30" s="136"/>
      <c r="O30" s="136"/>
      <c r="P30" s="136"/>
      <c r="Q30" s="136"/>
      <c r="R30" s="136"/>
      <c r="S30" s="136"/>
      <c r="T30" s="136"/>
      <c r="U30" s="136"/>
      <c r="V30" s="136"/>
      <c r="W30" s="136"/>
    </row>
    <row r="31" spans="1:26" x14ac:dyDescent="0.25">
      <c r="A31" s="136">
        <v>5</v>
      </c>
      <c r="B31" s="745" t="s">
        <v>5927</v>
      </c>
      <c r="C31" s="249" t="s">
        <v>5928</v>
      </c>
      <c r="D31" s="136" t="s">
        <v>917</v>
      </c>
      <c r="E31" s="215">
        <v>3.3</v>
      </c>
      <c r="F31" s="136">
        <v>110</v>
      </c>
      <c r="G31" s="136" t="s">
        <v>5929</v>
      </c>
      <c r="H31" s="136" t="s">
        <v>1326</v>
      </c>
      <c r="I31" s="136" t="s">
        <v>2411</v>
      </c>
      <c r="J31" s="308">
        <v>3060240504036</v>
      </c>
      <c r="K31" s="187">
        <v>45581</v>
      </c>
      <c r="L31" s="136" t="s">
        <v>5930</v>
      </c>
      <c r="M31" s="187">
        <v>45603</v>
      </c>
      <c r="N31" s="136"/>
      <c r="O31" s="136"/>
      <c r="P31" s="136"/>
      <c r="Q31" s="136"/>
      <c r="R31" s="136"/>
      <c r="S31" s="136"/>
      <c r="T31" s="136"/>
      <c r="U31" s="136"/>
      <c r="V31" s="136"/>
      <c r="W31" s="136"/>
    </row>
    <row r="33" spans="1:23" x14ac:dyDescent="0.25">
      <c r="A33" s="30">
        <v>1</v>
      </c>
      <c r="B33" s="279" t="s">
        <v>351</v>
      </c>
      <c r="C33" s="30" t="s">
        <v>3936</v>
      </c>
      <c r="D33" s="30" t="s">
        <v>1045</v>
      </c>
      <c r="E33" s="542">
        <v>3.12</v>
      </c>
      <c r="F33" s="30">
        <v>20</v>
      </c>
      <c r="G33" s="30" t="s">
        <v>1867</v>
      </c>
      <c r="H33" s="30" t="s">
        <v>964</v>
      </c>
      <c r="I33" s="30" t="s">
        <v>1026</v>
      </c>
      <c r="J33" s="83">
        <v>6020220314973</v>
      </c>
      <c r="K33" s="89">
        <v>44832</v>
      </c>
      <c r="L33" s="83" t="s">
        <v>3656</v>
      </c>
      <c r="M33" s="89">
        <v>44998</v>
      </c>
      <c r="N33" s="30"/>
      <c r="O33" s="30"/>
      <c r="P33" s="30" t="s">
        <v>3937</v>
      </c>
      <c r="Q33" s="30"/>
      <c r="R33" s="30"/>
      <c r="S33" s="30"/>
      <c r="T33" s="30"/>
      <c r="U33" s="30"/>
      <c r="V33" s="30"/>
      <c r="W33" s="30"/>
    </row>
    <row r="34" spans="1:23" x14ac:dyDescent="0.25">
      <c r="A34" s="74">
        <v>2</v>
      </c>
      <c r="B34" s="647" t="s">
        <v>1056</v>
      </c>
      <c r="C34" s="74" t="s">
        <v>1828</v>
      </c>
      <c r="D34" s="74" t="s">
        <v>5705</v>
      </c>
      <c r="E34" s="196">
        <v>1.024</v>
      </c>
      <c r="F34" s="74">
        <v>10</v>
      </c>
      <c r="G34" s="74" t="s">
        <v>5971</v>
      </c>
      <c r="H34" s="74" t="s">
        <v>963</v>
      </c>
      <c r="I34" s="74" t="s">
        <v>1026</v>
      </c>
      <c r="J34" s="75">
        <v>6010241117042</v>
      </c>
      <c r="K34" s="181">
        <v>45625</v>
      </c>
      <c r="L34" s="74"/>
      <c r="M34" s="74"/>
      <c r="N34" s="74"/>
      <c r="O34" s="74"/>
      <c r="P34" s="74"/>
      <c r="Q34" s="74"/>
      <c r="R34" s="74"/>
      <c r="S34" s="74"/>
      <c r="T34" s="74"/>
      <c r="U34" s="74"/>
      <c r="V34" s="74"/>
      <c r="W34" s="74"/>
    </row>
    <row r="36" spans="1:23" x14ac:dyDescent="0.25">
      <c r="A36" s="587">
        <v>1</v>
      </c>
      <c r="B36" s="587" t="s">
        <v>4253</v>
      </c>
      <c r="C36" s="587" t="s">
        <v>1113</v>
      </c>
      <c r="D36" s="587" t="s">
        <v>1090</v>
      </c>
      <c r="E36" s="588">
        <v>13.164</v>
      </c>
      <c r="F36" s="587">
        <v>110</v>
      </c>
      <c r="G36" s="587" t="s">
        <v>4254</v>
      </c>
      <c r="H36" s="587" t="s">
        <v>3153</v>
      </c>
      <c r="I36" s="587" t="s">
        <v>1075</v>
      </c>
      <c r="J36" s="589">
        <v>7010231242912</v>
      </c>
      <c r="K36" s="590">
        <v>45278</v>
      </c>
      <c r="L36" s="620" t="s">
        <v>4670</v>
      </c>
      <c r="M36" s="621">
        <v>45299</v>
      </c>
      <c r="N36" s="587"/>
      <c r="O36" s="587" t="s">
        <v>25</v>
      </c>
      <c r="P36" s="587" t="s">
        <v>25</v>
      </c>
      <c r="Q36" s="587" t="s">
        <v>25</v>
      </c>
      <c r="R36" s="587"/>
      <c r="S36" s="587"/>
      <c r="T36" s="587"/>
      <c r="U36" s="587"/>
      <c r="V36" s="587"/>
      <c r="W36" s="587"/>
    </row>
  </sheetData>
  <mergeCells count="8">
    <mergeCell ref="C8:F8"/>
    <mergeCell ref="C10:F10"/>
    <mergeCell ref="C2:F2"/>
    <mergeCell ref="C3:F3"/>
    <mergeCell ref="C4:F4"/>
    <mergeCell ref="C5:F5"/>
    <mergeCell ref="C6:F6"/>
    <mergeCell ref="C7:F7"/>
  </mergeCells>
  <pageMargins left="0.7" right="0.7" top="0.75" bottom="0.75" header="0.3" footer="0.3"/>
  <pageSetup paperSize="9" orientation="portrait" r:id="rId1"/>
  <headerFooter>
    <oddHeader>&amp;CCod: TEL – 07.50 Ed. I, rev. 0</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10"/>
  <sheetViews>
    <sheetView zoomScale="80" zoomScaleNormal="80" workbookViewId="0">
      <selection activeCell="G42" sqref="G42"/>
    </sheetView>
  </sheetViews>
  <sheetFormatPr defaultRowHeight="15" x14ac:dyDescent="0.25"/>
  <cols>
    <col min="1" max="1" width="5.85546875" customWidth="1"/>
    <col min="2" max="2" width="50.140625" customWidth="1"/>
    <col min="3" max="3" width="34" customWidth="1"/>
    <col min="4" max="4" width="22" customWidth="1"/>
    <col min="5" max="5" width="24.42578125" customWidth="1"/>
    <col min="6" max="6" width="9.140625" customWidth="1"/>
    <col min="7" max="7" width="26.85546875" customWidth="1"/>
    <col min="8" max="8" width="43.5703125" customWidth="1"/>
    <col min="9" max="9" width="20.28515625" customWidth="1"/>
    <col min="10" max="10" width="24" style="95" customWidth="1"/>
    <col min="11" max="11" width="38.140625" style="64" customWidth="1"/>
    <col min="12" max="12" width="17.42578125" style="95" customWidth="1"/>
    <col min="13" max="13" width="17.7109375" style="64" customWidth="1"/>
    <col min="14" max="14" width="22.42578125" customWidth="1"/>
    <col min="15" max="15" width="22.28515625" customWidth="1"/>
    <col min="16" max="16" width="20.28515625" customWidth="1"/>
    <col min="17" max="17" width="30.85546875" customWidth="1"/>
    <col min="18" max="18" width="30.5703125" style="76" customWidth="1"/>
    <col min="19" max="19" width="16.5703125" style="64" customWidth="1"/>
    <col min="20" max="20" width="20.7109375" customWidth="1"/>
    <col min="21" max="21" width="21.7109375" customWidth="1"/>
    <col min="22" max="22" width="17.7109375" customWidth="1"/>
    <col min="23" max="23" width="22" customWidth="1"/>
    <col min="25" max="25" width="9.140625" style="86"/>
  </cols>
  <sheetData>
    <row r="1" spans="1:23" ht="15.75" thickBot="1" x14ac:dyDescent="0.3"/>
    <row r="2" spans="1:23" x14ac:dyDescent="0.25">
      <c r="B2" s="23" t="s">
        <v>794</v>
      </c>
      <c r="C2" s="847">
        <v>45636</v>
      </c>
      <c r="D2" s="848"/>
      <c r="E2" s="848"/>
      <c r="F2" s="849"/>
      <c r="G2" s="24"/>
    </row>
    <row r="3" spans="1:23" ht="15.75" thickBot="1" x14ac:dyDescent="0.3">
      <c r="B3" s="25" t="s">
        <v>795</v>
      </c>
      <c r="C3" s="850" t="s">
        <v>796</v>
      </c>
      <c r="D3" s="850"/>
      <c r="E3" s="850"/>
      <c r="F3" s="851"/>
      <c r="G3" s="26"/>
    </row>
    <row r="4" spans="1:23" ht="15.75" x14ac:dyDescent="0.25">
      <c r="B4" s="27"/>
      <c r="C4" s="852" t="s">
        <v>797</v>
      </c>
      <c r="D4" s="852"/>
      <c r="E4" s="852"/>
      <c r="F4" s="853"/>
      <c r="G4" s="26"/>
    </row>
    <row r="5" spans="1:23" ht="15.75" thickBot="1" x14ac:dyDescent="0.3">
      <c r="B5" s="35"/>
      <c r="C5" s="858" t="s">
        <v>801</v>
      </c>
      <c r="D5" s="859"/>
      <c r="E5" s="859"/>
      <c r="F5" s="860"/>
    </row>
    <row r="6" spans="1:23" x14ac:dyDescent="0.25">
      <c r="B6" s="33"/>
      <c r="C6" s="861" t="s">
        <v>802</v>
      </c>
      <c r="D6" s="862"/>
      <c r="E6" s="862"/>
      <c r="F6" s="863"/>
    </row>
    <row r="7" spans="1:23" x14ac:dyDescent="0.25">
      <c r="B7" s="34"/>
      <c r="C7" s="864" t="s">
        <v>803</v>
      </c>
      <c r="D7" s="865"/>
      <c r="E7" s="865"/>
      <c r="F7" s="866"/>
    </row>
    <row r="8" spans="1:23" x14ac:dyDescent="0.25">
      <c r="B8" s="28"/>
      <c r="C8" s="854" t="s">
        <v>800</v>
      </c>
      <c r="D8" s="854"/>
      <c r="E8" s="854"/>
      <c r="F8" s="855"/>
      <c r="G8" s="26"/>
    </row>
    <row r="9" spans="1:23" x14ac:dyDescent="0.25">
      <c r="B9" s="32"/>
      <c r="C9" s="39" t="s">
        <v>799</v>
      </c>
      <c r="D9" s="40"/>
      <c r="E9" s="40"/>
      <c r="F9" s="41"/>
    </row>
    <row r="10" spans="1:23" x14ac:dyDescent="0.25">
      <c r="B10" s="29"/>
      <c r="C10" s="856" t="s">
        <v>804</v>
      </c>
      <c r="D10" s="856"/>
      <c r="E10" s="856"/>
      <c r="F10" s="857"/>
      <c r="G10" s="26" t="s">
        <v>798</v>
      </c>
    </row>
    <row r="11" spans="1:23" x14ac:dyDescent="0.25">
      <c r="B11" s="30"/>
      <c r="C11" s="42" t="s">
        <v>805</v>
      </c>
      <c r="D11" s="42"/>
      <c r="E11" s="42"/>
      <c r="F11" s="43"/>
      <c r="G11" s="26" t="s">
        <v>798</v>
      </c>
    </row>
    <row r="12" spans="1:23" x14ac:dyDescent="0.25">
      <c r="B12" s="31"/>
      <c r="C12" s="36" t="s">
        <v>806</v>
      </c>
      <c r="D12" s="37"/>
      <c r="E12" s="37"/>
      <c r="F12" s="38"/>
      <c r="G12" s="26" t="s">
        <v>798</v>
      </c>
    </row>
    <row r="13" spans="1:23" ht="15.75" thickBot="1" x14ac:dyDescent="0.3"/>
    <row r="14" spans="1:23" ht="39" thickBot="1" x14ac:dyDescent="0.3">
      <c r="A14" s="1" t="s">
        <v>28</v>
      </c>
      <c r="B14" s="4" t="s">
        <v>4</v>
      </c>
      <c r="C14" s="2" t="s">
        <v>8</v>
      </c>
      <c r="D14" s="2" t="s">
        <v>1357</v>
      </c>
      <c r="E14" s="2" t="s">
        <v>29</v>
      </c>
      <c r="F14" s="2" t="s">
        <v>23</v>
      </c>
      <c r="G14" s="2" t="s">
        <v>10</v>
      </c>
      <c r="H14" s="2" t="s">
        <v>0</v>
      </c>
      <c r="I14" s="2" t="s">
        <v>11</v>
      </c>
      <c r="J14" s="189" t="s">
        <v>12</v>
      </c>
      <c r="K14" s="65" t="s">
        <v>13</v>
      </c>
      <c r="L14" s="208" t="s">
        <v>14</v>
      </c>
      <c r="M14" s="67" t="s">
        <v>24</v>
      </c>
      <c r="N14" s="7" t="s">
        <v>15</v>
      </c>
      <c r="O14" s="2" t="s">
        <v>16</v>
      </c>
      <c r="P14" s="2" t="s">
        <v>17</v>
      </c>
      <c r="Q14" s="2" t="s">
        <v>18</v>
      </c>
      <c r="R14" s="779" t="s">
        <v>19</v>
      </c>
      <c r="S14" s="65" t="s">
        <v>20</v>
      </c>
      <c r="T14" s="6" t="s">
        <v>21</v>
      </c>
      <c r="U14" s="6" t="s">
        <v>22</v>
      </c>
      <c r="V14" s="8" t="s">
        <v>26</v>
      </c>
      <c r="W14" s="3" t="s">
        <v>27</v>
      </c>
    </row>
    <row r="15" spans="1:23" ht="38.25" x14ac:dyDescent="0.25">
      <c r="A15" s="49">
        <v>1</v>
      </c>
      <c r="B15" s="50" t="s">
        <v>30</v>
      </c>
      <c r="C15" s="50" t="s">
        <v>31</v>
      </c>
      <c r="D15" s="50" t="s">
        <v>32</v>
      </c>
      <c r="E15" s="50">
        <v>52.07</v>
      </c>
      <c r="F15" s="50">
        <v>110</v>
      </c>
      <c r="G15" s="50" t="s">
        <v>33</v>
      </c>
      <c r="H15" s="50" t="s">
        <v>34</v>
      </c>
      <c r="I15" s="21" t="s">
        <v>91</v>
      </c>
      <c r="J15" s="211" t="s">
        <v>35</v>
      </c>
      <c r="K15" s="51">
        <v>42381</v>
      </c>
      <c r="L15" s="217" t="s">
        <v>36</v>
      </c>
      <c r="M15" s="69" t="s">
        <v>37</v>
      </c>
      <c r="N15" s="52" t="s">
        <v>38</v>
      </c>
      <c r="O15" s="52"/>
      <c r="P15" s="52"/>
      <c r="Q15" s="52"/>
      <c r="R15" s="780"/>
      <c r="S15" s="69"/>
      <c r="T15" s="52"/>
      <c r="U15" s="52"/>
      <c r="V15" s="52"/>
      <c r="W15" s="53" t="s">
        <v>3877</v>
      </c>
    </row>
    <row r="16" spans="1:23" ht="77.25" thickBot="1" x14ac:dyDescent="0.3">
      <c r="A16" s="54">
        <v>2</v>
      </c>
      <c r="B16" s="55" t="s">
        <v>39</v>
      </c>
      <c r="C16" s="55" t="s">
        <v>40</v>
      </c>
      <c r="D16" s="55" t="s">
        <v>41</v>
      </c>
      <c r="E16" s="55">
        <v>52</v>
      </c>
      <c r="F16" s="55">
        <v>110</v>
      </c>
      <c r="G16" s="55" t="s">
        <v>42</v>
      </c>
      <c r="H16" s="55" t="s">
        <v>43</v>
      </c>
      <c r="I16" s="21" t="s">
        <v>91</v>
      </c>
      <c r="J16" s="212" t="s">
        <v>44</v>
      </c>
      <c r="K16" s="176" t="s">
        <v>45</v>
      </c>
      <c r="L16" s="218" t="s">
        <v>46</v>
      </c>
      <c r="M16" s="56" t="s">
        <v>47</v>
      </c>
      <c r="N16" s="57" t="s">
        <v>48</v>
      </c>
      <c r="O16" s="22"/>
      <c r="P16" s="22"/>
      <c r="Q16" s="22"/>
      <c r="R16" s="781"/>
      <c r="S16" s="176"/>
      <c r="T16" s="22"/>
      <c r="U16" s="58"/>
      <c r="V16" s="58"/>
      <c r="W16" s="59" t="s">
        <v>49</v>
      </c>
    </row>
    <row r="17" spans="1:23" x14ac:dyDescent="0.25">
      <c r="H17" s="9"/>
    </row>
    <row r="18" spans="1:23" x14ac:dyDescent="0.25">
      <c r="A18" s="381">
        <v>1</v>
      </c>
      <c r="B18" s="381" t="s">
        <v>98</v>
      </c>
      <c r="C18" s="381" t="s">
        <v>99</v>
      </c>
      <c r="D18" s="381" t="s">
        <v>100</v>
      </c>
      <c r="E18" s="381">
        <v>1.7</v>
      </c>
      <c r="F18" s="381">
        <v>20</v>
      </c>
      <c r="G18" s="381" t="s">
        <v>101</v>
      </c>
      <c r="H18" s="381" t="s">
        <v>3334</v>
      </c>
      <c r="I18" s="381" t="s">
        <v>102</v>
      </c>
      <c r="J18" s="381">
        <v>8192250</v>
      </c>
      <c r="K18" s="382">
        <v>44445</v>
      </c>
      <c r="L18" s="381">
        <v>8192250</v>
      </c>
      <c r="M18" s="382">
        <v>44768</v>
      </c>
      <c r="N18" s="382"/>
      <c r="O18" s="381"/>
      <c r="P18" s="381"/>
      <c r="Q18" s="381"/>
      <c r="R18" s="782"/>
      <c r="S18" s="382"/>
      <c r="T18" s="381"/>
      <c r="U18" s="381">
        <v>0</v>
      </c>
      <c r="V18" s="381"/>
      <c r="W18" s="381"/>
    </row>
    <row r="19" spans="1:23" x14ac:dyDescent="0.25">
      <c r="A19" s="381">
        <v>2</v>
      </c>
      <c r="B19" s="381" t="s">
        <v>103</v>
      </c>
      <c r="C19" s="381" t="s">
        <v>104</v>
      </c>
      <c r="D19" s="381" t="s">
        <v>100</v>
      </c>
      <c r="E19" s="381">
        <v>1.3</v>
      </c>
      <c r="F19" s="381">
        <v>20</v>
      </c>
      <c r="G19" s="381" t="s">
        <v>101</v>
      </c>
      <c r="H19" s="381" t="s">
        <v>3335</v>
      </c>
      <c r="I19" s="381" t="s">
        <v>102</v>
      </c>
      <c r="J19" s="381">
        <v>6965103</v>
      </c>
      <c r="K19" s="382">
        <v>44305</v>
      </c>
      <c r="L19" s="381">
        <v>6965103</v>
      </c>
      <c r="M19" s="382">
        <v>44656</v>
      </c>
      <c r="N19" s="382"/>
      <c r="O19" s="381"/>
      <c r="P19" s="381"/>
      <c r="Q19" s="381"/>
      <c r="R19" s="782"/>
      <c r="S19" s="382"/>
      <c r="T19" s="381"/>
      <c r="U19" s="381">
        <v>0</v>
      </c>
      <c r="V19" s="381"/>
      <c r="W19" s="381"/>
    </row>
    <row r="20" spans="1:23" x14ac:dyDescent="0.25">
      <c r="A20" s="381">
        <v>3</v>
      </c>
      <c r="B20" s="395" t="s">
        <v>105</v>
      </c>
      <c r="C20" s="381" t="s">
        <v>106</v>
      </c>
      <c r="D20" s="381" t="s">
        <v>107</v>
      </c>
      <c r="E20" s="381">
        <v>1.8</v>
      </c>
      <c r="F20" s="381">
        <v>20</v>
      </c>
      <c r="G20" s="381" t="s">
        <v>108</v>
      </c>
      <c r="H20" s="381" t="s">
        <v>3336</v>
      </c>
      <c r="I20" s="381" t="s">
        <v>102</v>
      </c>
      <c r="J20" s="381">
        <v>8194869</v>
      </c>
      <c r="K20" s="382">
        <v>44407</v>
      </c>
      <c r="L20" s="381">
        <v>8194869</v>
      </c>
      <c r="M20" s="382">
        <v>44656</v>
      </c>
      <c r="N20" s="382">
        <v>45114</v>
      </c>
      <c r="O20" s="381"/>
      <c r="P20" s="381"/>
      <c r="Q20" s="381"/>
      <c r="R20" s="783" t="s">
        <v>3332</v>
      </c>
      <c r="S20" s="408">
        <v>45118</v>
      </c>
      <c r="T20" s="395">
        <v>1.8</v>
      </c>
      <c r="U20" s="395">
        <v>0</v>
      </c>
      <c r="V20" s="395">
        <v>1.8</v>
      </c>
      <c r="W20" s="395"/>
    </row>
    <row r="21" spans="1:23" x14ac:dyDescent="0.25">
      <c r="A21" s="381">
        <v>4</v>
      </c>
      <c r="B21" s="381" t="s">
        <v>109</v>
      </c>
      <c r="C21" s="381" t="s">
        <v>110</v>
      </c>
      <c r="D21" s="381" t="s">
        <v>32</v>
      </c>
      <c r="E21" s="381">
        <v>1.6579999999999999</v>
      </c>
      <c r="F21" s="381">
        <v>20</v>
      </c>
      <c r="G21" s="381" t="s">
        <v>111</v>
      </c>
      <c r="H21" s="381" t="s">
        <v>3337</v>
      </c>
      <c r="I21" s="381" t="s">
        <v>102</v>
      </c>
      <c r="J21" s="381">
        <v>8215132</v>
      </c>
      <c r="K21" s="382">
        <v>44473</v>
      </c>
      <c r="L21" s="381"/>
      <c r="M21" s="382"/>
      <c r="N21" s="382"/>
      <c r="O21" s="381"/>
      <c r="P21" s="381"/>
      <c r="Q21" s="381"/>
      <c r="R21" s="782"/>
      <c r="S21" s="382"/>
      <c r="T21" s="381"/>
      <c r="U21" s="381">
        <v>0</v>
      </c>
      <c r="V21" s="381"/>
      <c r="W21" s="381"/>
    </row>
    <row r="22" spans="1:23" x14ac:dyDescent="0.25">
      <c r="A22" s="381">
        <v>5</v>
      </c>
      <c r="B22" s="381" t="s">
        <v>113</v>
      </c>
      <c r="C22" s="381" t="s">
        <v>114</v>
      </c>
      <c r="D22" s="381" t="s">
        <v>112</v>
      </c>
      <c r="E22" s="381">
        <v>2.2999999999999998</v>
      </c>
      <c r="F22" s="381">
        <v>20</v>
      </c>
      <c r="G22" s="381" t="s">
        <v>115</v>
      </c>
      <c r="H22" s="381" t="s">
        <v>3338</v>
      </c>
      <c r="I22" s="381" t="s">
        <v>102</v>
      </c>
      <c r="J22" s="381">
        <v>7659013</v>
      </c>
      <c r="K22" s="382">
        <v>44301</v>
      </c>
      <c r="L22" s="381">
        <v>7659013</v>
      </c>
      <c r="M22" s="382">
        <v>44670</v>
      </c>
      <c r="N22" s="382"/>
      <c r="O22" s="381" t="s">
        <v>116</v>
      </c>
      <c r="P22" s="381"/>
      <c r="Q22" s="381"/>
      <c r="R22" s="782"/>
      <c r="S22" s="382"/>
      <c r="T22" s="381"/>
      <c r="U22" s="381">
        <v>0.98</v>
      </c>
      <c r="V22" s="381"/>
      <c r="W22" s="381"/>
    </row>
    <row r="23" spans="1:23" x14ac:dyDescent="0.25">
      <c r="A23" s="381">
        <v>7</v>
      </c>
      <c r="B23" s="381" t="s">
        <v>118</v>
      </c>
      <c r="C23" s="381" t="s">
        <v>119</v>
      </c>
      <c r="D23" s="381" t="s">
        <v>100</v>
      </c>
      <c r="E23" s="381">
        <v>1.1000000000000001</v>
      </c>
      <c r="F23" s="381">
        <v>20</v>
      </c>
      <c r="G23" s="381" t="s">
        <v>120</v>
      </c>
      <c r="H23" s="381" t="s">
        <v>3339</v>
      </c>
      <c r="I23" s="381" t="s">
        <v>102</v>
      </c>
      <c r="J23" s="381">
        <v>8051449</v>
      </c>
      <c r="K23" s="382">
        <v>44434</v>
      </c>
      <c r="L23" s="381"/>
      <c r="M23" s="382"/>
      <c r="N23" s="382"/>
      <c r="O23" s="381"/>
      <c r="P23" s="381"/>
      <c r="Q23" s="381"/>
      <c r="R23" s="782"/>
      <c r="S23" s="382"/>
      <c r="T23" s="381"/>
      <c r="U23" s="381">
        <v>0</v>
      </c>
      <c r="V23" s="381"/>
      <c r="W23" s="381"/>
    </row>
    <row r="24" spans="1:23" x14ac:dyDescent="0.25">
      <c r="A24" s="381">
        <v>8</v>
      </c>
      <c r="B24" s="395" t="s">
        <v>121</v>
      </c>
      <c r="C24" s="381" t="s">
        <v>122</v>
      </c>
      <c r="D24" s="381" t="s">
        <v>100</v>
      </c>
      <c r="E24" s="381">
        <v>4.47</v>
      </c>
      <c r="F24" s="381">
        <v>20</v>
      </c>
      <c r="G24" s="381" t="s">
        <v>123</v>
      </c>
      <c r="H24" s="381" t="s">
        <v>3340</v>
      </c>
      <c r="I24" s="381" t="s">
        <v>102</v>
      </c>
      <c r="J24" s="381">
        <v>8226916</v>
      </c>
      <c r="K24" s="382">
        <v>44446</v>
      </c>
      <c r="L24" s="381">
        <v>8226916</v>
      </c>
      <c r="M24" s="382">
        <v>44701</v>
      </c>
      <c r="N24" s="382">
        <v>45066</v>
      </c>
      <c r="O24" s="381"/>
      <c r="P24" s="381"/>
      <c r="Q24" s="381"/>
      <c r="R24" s="782" t="s">
        <v>3333</v>
      </c>
      <c r="S24" s="382">
        <v>45105</v>
      </c>
      <c r="T24" s="381">
        <v>4.47</v>
      </c>
      <c r="U24" s="381">
        <v>0</v>
      </c>
      <c r="V24" s="381"/>
      <c r="W24" s="381"/>
    </row>
    <row r="25" spans="1:23" x14ac:dyDescent="0.25">
      <c r="A25" s="381">
        <v>9</v>
      </c>
      <c r="B25" s="395" t="s">
        <v>124</v>
      </c>
      <c r="C25" s="381" t="s">
        <v>125</v>
      </c>
      <c r="D25" s="381" t="s">
        <v>100</v>
      </c>
      <c r="E25" s="381">
        <v>5.64</v>
      </c>
      <c r="F25" s="381">
        <v>20</v>
      </c>
      <c r="G25" s="381" t="s">
        <v>126</v>
      </c>
      <c r="H25" s="381" t="s">
        <v>3341</v>
      </c>
      <c r="I25" s="381" t="s">
        <v>102</v>
      </c>
      <c r="J25" s="381">
        <v>8433133</v>
      </c>
      <c r="K25" s="382">
        <v>44546</v>
      </c>
      <c r="L25" s="381">
        <v>8433133</v>
      </c>
      <c r="M25" s="382" t="s">
        <v>3372</v>
      </c>
      <c r="N25" s="382"/>
      <c r="O25" s="381"/>
      <c r="P25" s="381"/>
      <c r="Q25" s="381"/>
      <c r="R25" s="782"/>
      <c r="S25" s="382"/>
      <c r="T25" s="381"/>
      <c r="U25" s="381">
        <v>0</v>
      </c>
      <c r="V25" s="381"/>
      <c r="W25" s="381"/>
    </row>
    <row r="26" spans="1:23" x14ac:dyDescent="0.25">
      <c r="A26" s="381">
        <v>10</v>
      </c>
      <c r="B26" s="395" t="s">
        <v>127</v>
      </c>
      <c r="C26" s="381" t="s">
        <v>128</v>
      </c>
      <c r="D26" s="381" t="s">
        <v>100</v>
      </c>
      <c r="E26" s="381">
        <v>1.454</v>
      </c>
      <c r="F26" s="381">
        <v>20</v>
      </c>
      <c r="G26" s="381" t="s">
        <v>129</v>
      </c>
      <c r="H26" s="381" t="s">
        <v>3342</v>
      </c>
      <c r="I26" s="381" t="s">
        <v>102</v>
      </c>
      <c r="J26" s="381">
        <v>8899261</v>
      </c>
      <c r="K26" s="382">
        <v>44542</v>
      </c>
      <c r="L26" s="381"/>
      <c r="M26" s="382"/>
      <c r="N26" s="382"/>
      <c r="O26" s="381"/>
      <c r="P26" s="381"/>
      <c r="Q26" s="381"/>
      <c r="R26" s="782"/>
      <c r="S26" s="382"/>
      <c r="T26" s="381"/>
      <c r="U26" s="381">
        <v>0</v>
      </c>
      <c r="V26" s="381"/>
      <c r="W26" s="381"/>
    </row>
    <row r="27" spans="1:23" x14ac:dyDescent="0.25">
      <c r="A27" s="381">
        <v>11</v>
      </c>
      <c r="B27" s="395" t="s">
        <v>2303</v>
      </c>
      <c r="C27" s="381" t="s">
        <v>2304</v>
      </c>
      <c r="D27" s="381" t="s">
        <v>100</v>
      </c>
      <c r="E27" s="381">
        <v>1.7</v>
      </c>
      <c r="F27" s="381">
        <v>20</v>
      </c>
      <c r="G27" s="381" t="s">
        <v>2305</v>
      </c>
      <c r="H27" s="381" t="s">
        <v>2306</v>
      </c>
      <c r="I27" s="381" t="s">
        <v>102</v>
      </c>
      <c r="J27" s="381">
        <v>6755919</v>
      </c>
      <c r="K27" s="382">
        <v>44211</v>
      </c>
      <c r="L27" s="381"/>
      <c r="M27" s="382"/>
      <c r="N27" s="382"/>
      <c r="O27" s="381"/>
      <c r="P27" s="381"/>
      <c r="Q27" s="381"/>
      <c r="R27" s="782"/>
      <c r="S27" s="382"/>
      <c r="T27" s="381"/>
      <c r="U27" s="381">
        <v>1.1100000000000001</v>
      </c>
      <c r="V27" s="381"/>
      <c r="W27" s="381"/>
    </row>
    <row r="28" spans="1:23" x14ac:dyDescent="0.25">
      <c r="A28" s="381">
        <v>13</v>
      </c>
      <c r="B28" s="395" t="s">
        <v>132</v>
      </c>
      <c r="C28" s="381" t="s">
        <v>133</v>
      </c>
      <c r="D28" s="381" t="s">
        <v>32</v>
      </c>
      <c r="E28" s="381">
        <v>3.39</v>
      </c>
      <c r="F28" s="381">
        <v>20</v>
      </c>
      <c r="G28" s="381" t="s">
        <v>134</v>
      </c>
      <c r="H28" s="381" t="s">
        <v>3343</v>
      </c>
      <c r="I28" s="381" t="s">
        <v>102</v>
      </c>
      <c r="J28" s="381">
        <v>7929838</v>
      </c>
      <c r="K28" s="382">
        <v>44354</v>
      </c>
      <c r="L28" s="381">
        <v>7929838</v>
      </c>
      <c r="M28" s="382">
        <v>44620</v>
      </c>
      <c r="N28" s="382"/>
      <c r="O28" s="381"/>
      <c r="P28" s="381"/>
      <c r="Q28" s="381"/>
      <c r="R28" s="782"/>
      <c r="S28" s="382"/>
      <c r="T28" s="381"/>
      <c r="U28" s="381">
        <v>2.3199999999999998</v>
      </c>
      <c r="V28" s="381"/>
      <c r="W28" s="381"/>
    </row>
    <row r="29" spans="1:23" x14ac:dyDescent="0.25">
      <c r="A29" s="381">
        <v>14</v>
      </c>
      <c r="B29" s="395" t="s">
        <v>137</v>
      </c>
      <c r="C29" s="381" t="s">
        <v>138</v>
      </c>
      <c r="D29" s="381" t="s">
        <v>100</v>
      </c>
      <c r="E29" s="381">
        <v>1.5</v>
      </c>
      <c r="F29" s="381">
        <v>20</v>
      </c>
      <c r="G29" s="381" t="s">
        <v>139</v>
      </c>
      <c r="H29" s="381" t="s">
        <v>3344</v>
      </c>
      <c r="I29" s="381" t="s">
        <v>102</v>
      </c>
      <c r="J29" s="381">
        <v>6960732</v>
      </c>
      <c r="K29" s="382">
        <v>44322</v>
      </c>
      <c r="L29" s="381">
        <v>6960732</v>
      </c>
      <c r="M29" s="382">
        <v>44410</v>
      </c>
      <c r="N29" s="382"/>
      <c r="O29" s="381"/>
      <c r="P29" s="381"/>
      <c r="Q29" s="381"/>
      <c r="R29" s="782"/>
      <c r="S29" s="382"/>
      <c r="T29" s="381"/>
      <c r="U29" s="381">
        <v>0</v>
      </c>
      <c r="V29" s="381"/>
      <c r="W29" s="381"/>
    </row>
    <row r="30" spans="1:23" x14ac:dyDescent="0.25">
      <c r="A30" s="381">
        <v>16</v>
      </c>
      <c r="B30" s="395" t="s">
        <v>140</v>
      </c>
      <c r="C30" s="381" t="s">
        <v>141</v>
      </c>
      <c r="D30" s="381" t="s">
        <v>100</v>
      </c>
      <c r="E30" s="381">
        <v>2.6</v>
      </c>
      <c r="F30" s="381">
        <v>20</v>
      </c>
      <c r="G30" s="381" t="s">
        <v>142</v>
      </c>
      <c r="H30" s="381" t="s">
        <v>3345</v>
      </c>
      <c r="I30" s="381" t="s">
        <v>2059</v>
      </c>
      <c r="J30" s="381">
        <v>6737279</v>
      </c>
      <c r="K30" s="382">
        <v>44326</v>
      </c>
      <c r="L30" s="381">
        <v>6737279</v>
      </c>
      <c r="M30" s="382">
        <v>44490</v>
      </c>
      <c r="N30" s="382"/>
      <c r="O30" s="381"/>
      <c r="P30" s="381"/>
      <c r="Q30" s="381"/>
      <c r="R30" s="782"/>
      <c r="S30" s="382"/>
      <c r="T30" s="381"/>
      <c r="U30" s="381">
        <v>0</v>
      </c>
      <c r="V30" s="381"/>
      <c r="W30" s="381"/>
    </row>
    <row r="31" spans="1:23" x14ac:dyDescent="0.25">
      <c r="A31" s="381">
        <v>17</v>
      </c>
      <c r="B31" s="395" t="s">
        <v>143</v>
      </c>
      <c r="C31" s="381" t="s">
        <v>144</v>
      </c>
      <c r="D31" s="381" t="s">
        <v>100</v>
      </c>
      <c r="E31" s="381">
        <v>2.6</v>
      </c>
      <c r="F31" s="381">
        <v>20</v>
      </c>
      <c r="G31" s="381" t="s">
        <v>117</v>
      </c>
      <c r="H31" s="381" t="s">
        <v>3346</v>
      </c>
      <c r="I31" s="381" t="s">
        <v>102</v>
      </c>
      <c r="J31" s="381">
        <v>6999533</v>
      </c>
      <c r="K31" s="382">
        <v>44383</v>
      </c>
      <c r="L31" s="381">
        <v>6999533</v>
      </c>
      <c r="M31" s="382">
        <v>44490</v>
      </c>
      <c r="N31" s="382"/>
      <c r="O31" s="381"/>
      <c r="P31" s="381"/>
      <c r="Q31" s="381"/>
      <c r="R31" s="782"/>
      <c r="S31" s="382"/>
      <c r="T31" s="381"/>
      <c r="U31" s="381">
        <v>0</v>
      </c>
      <c r="V31" s="381"/>
      <c r="W31" s="381"/>
    </row>
    <row r="32" spans="1:23" x14ac:dyDescent="0.25">
      <c r="A32" s="381">
        <v>18</v>
      </c>
      <c r="B32" s="395" t="s">
        <v>2307</v>
      </c>
      <c r="C32" s="381" t="s">
        <v>2308</v>
      </c>
      <c r="D32" s="381" t="s">
        <v>112</v>
      </c>
      <c r="E32" s="381">
        <v>1.111</v>
      </c>
      <c r="F32" s="381">
        <v>20</v>
      </c>
      <c r="G32" s="381" t="s">
        <v>2309</v>
      </c>
      <c r="H32" s="381" t="s">
        <v>2310</v>
      </c>
      <c r="I32" s="381" t="s">
        <v>102</v>
      </c>
      <c r="J32" s="381">
        <v>7659071</v>
      </c>
      <c r="K32" s="382">
        <v>44301</v>
      </c>
      <c r="L32" s="381">
        <v>7659071</v>
      </c>
      <c r="M32" s="382">
        <v>44375</v>
      </c>
      <c r="N32" s="382">
        <v>45042</v>
      </c>
      <c r="O32" s="381"/>
      <c r="P32" s="381"/>
      <c r="Q32" s="381"/>
      <c r="R32" s="783" t="s">
        <v>3681</v>
      </c>
      <c r="S32" s="408">
        <v>45187</v>
      </c>
      <c r="T32" s="395">
        <v>1.111</v>
      </c>
      <c r="U32" s="450">
        <v>0.54</v>
      </c>
      <c r="V32" s="395">
        <v>1.111</v>
      </c>
      <c r="W32" s="395">
        <v>0.57099999999999995</v>
      </c>
    </row>
    <row r="33" spans="1:39" x14ac:dyDescent="0.25">
      <c r="A33" s="381">
        <v>19</v>
      </c>
      <c r="B33" s="395" t="s">
        <v>143</v>
      </c>
      <c r="C33" s="381" t="s">
        <v>145</v>
      </c>
      <c r="D33" s="381" t="s">
        <v>100</v>
      </c>
      <c r="E33" s="381">
        <v>1.6</v>
      </c>
      <c r="F33" s="381">
        <v>20</v>
      </c>
      <c r="G33" s="381" t="s">
        <v>139</v>
      </c>
      <c r="H33" s="381" t="s">
        <v>3347</v>
      </c>
      <c r="I33" s="381" t="s">
        <v>102</v>
      </c>
      <c r="J33" s="381">
        <v>5080420</v>
      </c>
      <c r="K33" s="382">
        <v>43885</v>
      </c>
      <c r="L33" s="381">
        <v>5080420</v>
      </c>
      <c r="M33" s="382">
        <v>44042</v>
      </c>
      <c r="N33" s="382"/>
      <c r="O33" s="381"/>
      <c r="P33" s="381"/>
      <c r="Q33" s="381"/>
      <c r="R33" s="782"/>
      <c r="S33" s="382"/>
      <c r="T33" s="381"/>
      <c r="U33" s="381">
        <v>0</v>
      </c>
      <c r="V33" s="381"/>
      <c r="W33" s="381"/>
    </row>
    <row r="34" spans="1:39" x14ac:dyDescent="0.25">
      <c r="A34" s="381">
        <v>20</v>
      </c>
      <c r="B34" s="395" t="s">
        <v>813</v>
      </c>
      <c r="C34" s="381" t="s">
        <v>814</v>
      </c>
      <c r="D34" s="381" t="s">
        <v>100</v>
      </c>
      <c r="E34" s="381">
        <v>1.03</v>
      </c>
      <c r="F34" s="381">
        <v>20</v>
      </c>
      <c r="G34" s="381" t="s">
        <v>123</v>
      </c>
      <c r="H34" s="381" t="s">
        <v>3348</v>
      </c>
      <c r="I34" s="381" t="s">
        <v>102</v>
      </c>
      <c r="J34" s="381">
        <v>4340491</v>
      </c>
      <c r="K34" s="382">
        <v>43662</v>
      </c>
      <c r="L34" s="381">
        <v>4340491</v>
      </c>
      <c r="M34" s="382">
        <v>43763</v>
      </c>
      <c r="N34" s="382"/>
      <c r="O34" s="381"/>
      <c r="P34" s="381"/>
      <c r="Q34" s="381"/>
      <c r="R34" s="782"/>
      <c r="S34" s="382"/>
      <c r="T34" s="381"/>
      <c r="U34" s="381">
        <v>0</v>
      </c>
      <c r="V34" s="381"/>
      <c r="W34" s="381"/>
    </row>
    <row r="35" spans="1:39" s="219" customFormat="1" x14ac:dyDescent="0.25">
      <c r="A35" s="381">
        <v>21</v>
      </c>
      <c r="B35" s="395" t="s">
        <v>815</v>
      </c>
      <c r="C35" s="381" t="s">
        <v>816</v>
      </c>
      <c r="D35" s="381" t="s">
        <v>100</v>
      </c>
      <c r="E35" s="381">
        <v>1.9977</v>
      </c>
      <c r="F35" s="381">
        <v>20</v>
      </c>
      <c r="G35" s="381" t="s">
        <v>129</v>
      </c>
      <c r="H35" s="381" t="s">
        <v>3349</v>
      </c>
      <c r="I35" s="381" t="s">
        <v>102</v>
      </c>
      <c r="J35" s="381">
        <v>2744119</v>
      </c>
      <c r="K35" s="382">
        <v>43440</v>
      </c>
      <c r="L35" s="381">
        <v>2744119</v>
      </c>
      <c r="M35" s="382">
        <v>43518</v>
      </c>
      <c r="N35" s="382"/>
      <c r="O35" s="381"/>
      <c r="P35" s="381"/>
      <c r="Q35" s="381"/>
      <c r="R35" s="782"/>
      <c r="S35" s="382"/>
      <c r="T35" s="381"/>
      <c r="U35" s="381">
        <v>0</v>
      </c>
      <c r="V35" s="381"/>
      <c r="W35" s="381"/>
      <c r="Y35" s="220"/>
    </row>
    <row r="36" spans="1:39" s="219" customFormat="1" x14ac:dyDescent="0.25">
      <c r="A36" s="381">
        <v>22</v>
      </c>
      <c r="B36" s="395" t="s">
        <v>817</v>
      </c>
      <c r="C36" s="381" t="s">
        <v>818</v>
      </c>
      <c r="D36" s="381" t="s">
        <v>100</v>
      </c>
      <c r="E36" s="381">
        <v>1.903</v>
      </c>
      <c r="F36" s="381">
        <v>20</v>
      </c>
      <c r="G36" s="381" t="s">
        <v>142</v>
      </c>
      <c r="H36" s="381" t="s">
        <v>3350</v>
      </c>
      <c r="I36" s="381" t="s">
        <v>102</v>
      </c>
      <c r="J36" s="381">
        <v>6153517</v>
      </c>
      <c r="K36" s="382">
        <v>44074</v>
      </c>
      <c r="L36" s="381">
        <v>6153517</v>
      </c>
      <c r="M36" s="382">
        <v>44160</v>
      </c>
      <c r="N36" s="382"/>
      <c r="O36" s="381"/>
      <c r="P36" s="381"/>
      <c r="Q36" s="381"/>
      <c r="R36" s="782"/>
      <c r="S36" s="382"/>
      <c r="T36" s="381"/>
      <c r="U36" s="381">
        <v>0</v>
      </c>
      <c r="V36" s="381"/>
      <c r="W36" s="381"/>
      <c r="Y36" s="220"/>
    </row>
    <row r="37" spans="1:39" s="219" customFormat="1" x14ac:dyDescent="0.25">
      <c r="A37" s="381">
        <v>23</v>
      </c>
      <c r="B37" s="395" t="s">
        <v>819</v>
      </c>
      <c r="C37" s="381" t="s">
        <v>820</v>
      </c>
      <c r="D37" s="381" t="s">
        <v>100</v>
      </c>
      <c r="E37" s="381">
        <v>1.36</v>
      </c>
      <c r="F37" s="381">
        <v>20</v>
      </c>
      <c r="G37" s="381" t="s">
        <v>139</v>
      </c>
      <c r="H37" s="381" t="s">
        <v>3351</v>
      </c>
      <c r="I37" s="381" t="s">
        <v>102</v>
      </c>
      <c r="J37" s="381">
        <v>8471971</v>
      </c>
      <c r="K37" s="382">
        <v>44509</v>
      </c>
      <c r="L37" s="381">
        <v>8471971</v>
      </c>
      <c r="M37" s="382">
        <v>44581</v>
      </c>
      <c r="N37" s="382">
        <v>45106</v>
      </c>
      <c r="O37" s="381"/>
      <c r="P37" s="381"/>
      <c r="Q37" s="381"/>
      <c r="R37" s="782"/>
      <c r="S37" s="382"/>
      <c r="T37" s="381"/>
      <c r="U37" s="381">
        <v>0</v>
      </c>
      <c r="V37" s="381"/>
      <c r="W37" s="381"/>
      <c r="Y37" s="220"/>
    </row>
    <row r="38" spans="1:39" s="219" customFormat="1" x14ac:dyDescent="0.25">
      <c r="A38" s="381">
        <v>24</v>
      </c>
      <c r="B38" s="395" t="s">
        <v>821</v>
      </c>
      <c r="C38" s="381" t="s">
        <v>822</v>
      </c>
      <c r="D38" s="381" t="s">
        <v>100</v>
      </c>
      <c r="E38" s="381">
        <v>5.1100000000000003</v>
      </c>
      <c r="F38" s="381">
        <v>20</v>
      </c>
      <c r="G38" s="381" t="s">
        <v>123</v>
      </c>
      <c r="H38" s="381" t="s">
        <v>3352</v>
      </c>
      <c r="I38" s="381" t="s">
        <v>102</v>
      </c>
      <c r="J38" s="381">
        <v>8653812</v>
      </c>
      <c r="K38" s="382">
        <v>44638</v>
      </c>
      <c r="L38" s="381">
        <v>8653812</v>
      </c>
      <c r="M38" s="382">
        <v>44712</v>
      </c>
      <c r="N38" s="382"/>
      <c r="O38" s="381"/>
      <c r="P38" s="381"/>
      <c r="Q38" s="381"/>
      <c r="R38" s="782"/>
      <c r="S38" s="382"/>
      <c r="T38" s="381"/>
      <c r="U38" s="381">
        <v>0</v>
      </c>
      <c r="V38" s="381"/>
      <c r="W38" s="381"/>
      <c r="Y38" s="97"/>
      <c r="Z38" s="96"/>
      <c r="AA38" s="96"/>
      <c r="AB38" s="96"/>
      <c r="AC38" s="96"/>
      <c r="AD38" s="96"/>
      <c r="AE38" s="96"/>
      <c r="AF38" s="96"/>
      <c r="AG38" s="96"/>
      <c r="AH38" s="96"/>
      <c r="AI38" s="96"/>
      <c r="AJ38" s="96"/>
      <c r="AK38" s="96"/>
      <c r="AL38" s="96"/>
      <c r="AM38" s="96"/>
    </row>
    <row r="39" spans="1:39" x14ac:dyDescent="0.25">
      <c r="A39" s="381">
        <v>25</v>
      </c>
      <c r="B39" s="395" t="s">
        <v>823</v>
      </c>
      <c r="C39" s="381" t="s">
        <v>824</v>
      </c>
      <c r="D39" s="381" t="s">
        <v>32</v>
      </c>
      <c r="E39" s="381">
        <v>2.8050000000000002</v>
      </c>
      <c r="F39" s="381">
        <v>20</v>
      </c>
      <c r="G39" s="381" t="s">
        <v>134</v>
      </c>
      <c r="H39" s="381" t="s">
        <v>3353</v>
      </c>
      <c r="I39" s="381" t="s">
        <v>102</v>
      </c>
      <c r="J39" s="381">
        <v>9554537</v>
      </c>
      <c r="K39" s="382">
        <v>44628</v>
      </c>
      <c r="L39" s="381">
        <v>9554537</v>
      </c>
      <c r="M39" s="382">
        <v>44644</v>
      </c>
      <c r="N39" s="382"/>
      <c r="O39" s="381"/>
      <c r="P39" s="381"/>
      <c r="Q39" s="381"/>
      <c r="R39" s="782"/>
      <c r="S39" s="382"/>
      <c r="T39" s="381"/>
      <c r="U39" s="381">
        <v>1.07</v>
      </c>
      <c r="V39" s="381"/>
      <c r="W39" s="381"/>
      <c r="Y39" s="97"/>
      <c r="Z39" s="96"/>
      <c r="AA39" s="96"/>
      <c r="AB39" s="96"/>
      <c r="AC39" s="96"/>
      <c r="AD39" s="70"/>
      <c r="AE39" s="70"/>
      <c r="AF39" s="70"/>
      <c r="AG39" s="70"/>
      <c r="AH39" s="70"/>
      <c r="AI39" s="70"/>
      <c r="AJ39" s="70"/>
      <c r="AK39" s="70"/>
      <c r="AL39" s="70"/>
      <c r="AM39" s="70"/>
    </row>
    <row r="40" spans="1:39" x14ac:dyDescent="0.25">
      <c r="A40" s="381">
        <v>26</v>
      </c>
      <c r="B40" s="395" t="s">
        <v>1207</v>
      </c>
      <c r="C40" s="381" t="s">
        <v>1208</v>
      </c>
      <c r="D40" s="381" t="s">
        <v>100</v>
      </c>
      <c r="E40" s="381">
        <v>1.96</v>
      </c>
      <c r="F40" s="381">
        <v>20</v>
      </c>
      <c r="G40" s="381" t="s">
        <v>1209</v>
      </c>
      <c r="H40" s="381" t="s">
        <v>1210</v>
      </c>
      <c r="I40" s="381" t="s">
        <v>102</v>
      </c>
      <c r="J40" s="381">
        <v>9391699</v>
      </c>
      <c r="K40" s="382">
        <v>44663</v>
      </c>
      <c r="L40" s="381"/>
      <c r="M40" s="382"/>
      <c r="N40" s="382"/>
      <c r="O40" s="381"/>
      <c r="P40" s="381"/>
      <c r="Q40" s="381"/>
      <c r="R40" s="782"/>
      <c r="S40" s="382"/>
      <c r="T40" s="381"/>
      <c r="U40" s="381">
        <v>0</v>
      </c>
      <c r="V40" s="381"/>
      <c r="W40" s="381"/>
      <c r="Y40" s="97"/>
      <c r="Z40" s="96"/>
      <c r="AA40" s="96"/>
      <c r="AB40" s="96"/>
      <c r="AC40" s="96"/>
      <c r="AD40" s="70"/>
      <c r="AE40" s="70"/>
      <c r="AF40" s="70"/>
      <c r="AG40" s="70"/>
      <c r="AH40" s="70"/>
      <c r="AI40" s="70"/>
      <c r="AJ40" s="70"/>
      <c r="AK40" s="70"/>
      <c r="AL40" s="70"/>
      <c r="AM40" s="70"/>
    </row>
    <row r="41" spans="1:39" x14ac:dyDescent="0.25">
      <c r="A41" s="381">
        <v>27</v>
      </c>
      <c r="B41" s="395" t="s">
        <v>1211</v>
      </c>
      <c r="C41" s="381" t="s">
        <v>1212</v>
      </c>
      <c r="D41" s="381" t="s">
        <v>100</v>
      </c>
      <c r="E41" s="381">
        <v>1.20604</v>
      </c>
      <c r="F41" s="381">
        <v>20</v>
      </c>
      <c r="G41" s="381" t="s">
        <v>1213</v>
      </c>
      <c r="H41" s="381" t="s">
        <v>1214</v>
      </c>
      <c r="I41" s="381" t="s">
        <v>102</v>
      </c>
      <c r="J41" s="381">
        <v>8923553</v>
      </c>
      <c r="K41" s="382">
        <v>44650</v>
      </c>
      <c r="L41" s="381">
        <v>8923553</v>
      </c>
      <c r="M41" s="382">
        <v>44750</v>
      </c>
      <c r="N41" s="382"/>
      <c r="O41" s="381"/>
      <c r="P41" s="381"/>
      <c r="Q41" s="381"/>
      <c r="R41" s="782"/>
      <c r="S41" s="382"/>
      <c r="T41" s="381"/>
      <c r="U41" s="381">
        <v>0</v>
      </c>
      <c r="V41" s="381"/>
      <c r="W41" s="381"/>
      <c r="Y41" s="97"/>
      <c r="Z41" s="96"/>
      <c r="AA41" s="96"/>
      <c r="AB41" s="96"/>
      <c r="AC41" s="96"/>
      <c r="AD41" s="70"/>
      <c r="AE41" s="70"/>
      <c r="AF41" s="70"/>
      <c r="AG41" s="70"/>
      <c r="AH41" s="70"/>
      <c r="AI41" s="70"/>
      <c r="AJ41" s="70"/>
      <c r="AK41" s="70"/>
      <c r="AL41" s="70"/>
      <c r="AM41" s="70"/>
    </row>
    <row r="42" spans="1:39" x14ac:dyDescent="0.25">
      <c r="A42" s="381">
        <v>28</v>
      </c>
      <c r="B42" s="395" t="s">
        <v>1215</v>
      </c>
      <c r="C42" s="381" t="s">
        <v>1216</v>
      </c>
      <c r="D42" s="381" t="s">
        <v>100</v>
      </c>
      <c r="E42" s="381">
        <v>1.0089999999999999</v>
      </c>
      <c r="F42" s="381">
        <v>20</v>
      </c>
      <c r="G42" s="381" t="s">
        <v>1217</v>
      </c>
      <c r="H42" s="381" t="s">
        <v>1218</v>
      </c>
      <c r="I42" s="381" t="s">
        <v>102</v>
      </c>
      <c r="J42" s="381">
        <v>8781570</v>
      </c>
      <c r="K42" s="382">
        <v>44627</v>
      </c>
      <c r="L42" s="381"/>
      <c r="M42" s="382"/>
      <c r="N42" s="382"/>
      <c r="O42" s="381"/>
      <c r="P42" s="381"/>
      <c r="Q42" s="381"/>
      <c r="R42" s="782"/>
      <c r="S42" s="382"/>
      <c r="T42" s="381"/>
      <c r="U42" s="381">
        <v>0</v>
      </c>
      <c r="V42" s="381"/>
      <c r="W42" s="381"/>
      <c r="Y42" s="97"/>
      <c r="Z42" s="96"/>
      <c r="AA42" s="96"/>
      <c r="AB42" s="96"/>
      <c r="AC42" s="96"/>
      <c r="AD42" s="70"/>
      <c r="AE42" s="70"/>
      <c r="AF42" s="70"/>
      <c r="AG42" s="70"/>
      <c r="AH42" s="70"/>
      <c r="AI42" s="70"/>
      <c r="AJ42" s="70"/>
      <c r="AK42" s="70"/>
      <c r="AL42" s="70"/>
      <c r="AM42" s="70"/>
    </row>
    <row r="43" spans="1:39" x14ac:dyDescent="0.25">
      <c r="A43" s="381">
        <f>A42+1</f>
        <v>29</v>
      </c>
      <c r="B43" s="395" t="s">
        <v>1297</v>
      </c>
      <c r="C43" s="381" t="s">
        <v>1298</v>
      </c>
      <c r="D43" s="381" t="s">
        <v>100</v>
      </c>
      <c r="E43" s="381">
        <v>1.7410000000000001</v>
      </c>
      <c r="F43" s="381">
        <v>20</v>
      </c>
      <c r="G43" s="381" t="s">
        <v>1213</v>
      </c>
      <c r="H43" s="381" t="s">
        <v>3354</v>
      </c>
      <c r="I43" s="381" t="s">
        <v>102</v>
      </c>
      <c r="J43" s="381">
        <v>9288716</v>
      </c>
      <c r="K43" s="382">
        <v>44732</v>
      </c>
      <c r="L43" s="381"/>
      <c r="M43" s="382"/>
      <c r="N43" s="382"/>
      <c r="O43" s="381"/>
      <c r="P43" s="381"/>
      <c r="Q43" s="381"/>
      <c r="R43" s="782"/>
      <c r="S43" s="382"/>
      <c r="T43" s="381"/>
      <c r="U43" s="381">
        <v>0</v>
      </c>
      <c r="V43" s="381"/>
      <c r="W43" s="381"/>
      <c r="Y43" s="97"/>
      <c r="Z43" s="96"/>
      <c r="AA43" s="96"/>
      <c r="AB43" s="96"/>
      <c r="AC43" s="96"/>
      <c r="AD43" s="70"/>
      <c r="AE43" s="70"/>
      <c r="AF43" s="70"/>
      <c r="AG43" s="70"/>
      <c r="AH43" s="70"/>
      <c r="AI43" s="70"/>
      <c r="AJ43" s="70"/>
      <c r="AK43" s="70"/>
      <c r="AL43" s="70"/>
      <c r="AM43" s="70"/>
    </row>
    <row r="44" spans="1:39" x14ac:dyDescent="0.25">
      <c r="A44" s="381">
        <f t="shared" ref="A44:A107" si="0">A43+1</f>
        <v>30</v>
      </c>
      <c r="B44" s="395" t="s">
        <v>1292</v>
      </c>
      <c r="C44" s="381" t="s">
        <v>130</v>
      </c>
      <c r="D44" s="381" t="s">
        <v>32</v>
      </c>
      <c r="E44" s="381">
        <v>2</v>
      </c>
      <c r="F44" s="381">
        <v>20</v>
      </c>
      <c r="G44" s="381" t="s">
        <v>1293</v>
      </c>
      <c r="H44" s="381" t="s">
        <v>3355</v>
      </c>
      <c r="I44" s="381" t="s">
        <v>102</v>
      </c>
      <c r="J44" s="381">
        <v>9637826</v>
      </c>
      <c r="K44" s="382">
        <v>44694</v>
      </c>
      <c r="L44" s="381"/>
      <c r="M44" s="382"/>
      <c r="N44" s="382"/>
      <c r="O44" s="381"/>
      <c r="P44" s="381"/>
      <c r="Q44" s="381"/>
      <c r="R44" s="782"/>
      <c r="S44" s="382"/>
      <c r="T44" s="381"/>
      <c r="U44" s="381">
        <v>0</v>
      </c>
      <c r="V44" s="381"/>
      <c r="W44" s="381"/>
      <c r="Y44" s="97"/>
      <c r="Z44" s="96"/>
      <c r="AB44" s="96"/>
      <c r="AC44" s="96"/>
      <c r="AD44" s="70"/>
      <c r="AE44" s="70"/>
      <c r="AF44" s="70"/>
      <c r="AG44" s="70"/>
      <c r="AH44" s="70"/>
      <c r="AI44" s="70"/>
      <c r="AJ44" s="70"/>
      <c r="AK44" s="70"/>
      <c r="AL44" s="70"/>
      <c r="AM44" s="70"/>
    </row>
    <row r="45" spans="1:39" x14ac:dyDescent="0.25">
      <c r="A45" s="381">
        <f t="shared" si="0"/>
        <v>31</v>
      </c>
      <c r="B45" s="381" t="s">
        <v>1294</v>
      </c>
      <c r="C45" s="381" t="s">
        <v>1295</v>
      </c>
      <c r="D45" s="381" t="s">
        <v>100</v>
      </c>
      <c r="E45" s="381">
        <v>4.2</v>
      </c>
      <c r="F45" s="381">
        <v>20</v>
      </c>
      <c r="G45" s="381" t="s">
        <v>123</v>
      </c>
      <c r="H45" s="381" t="s">
        <v>3356</v>
      </c>
      <c r="I45" s="381" t="s">
        <v>102</v>
      </c>
      <c r="J45" s="381" t="s">
        <v>3373</v>
      </c>
      <c r="K45" s="382">
        <v>44741</v>
      </c>
      <c r="L45" s="381">
        <v>9643299</v>
      </c>
      <c r="M45" s="382">
        <v>44809</v>
      </c>
      <c r="N45" s="382"/>
      <c r="O45" s="381"/>
      <c r="P45" s="381"/>
      <c r="Q45" s="381"/>
      <c r="R45" s="782"/>
      <c r="S45" s="382"/>
      <c r="T45" s="381"/>
      <c r="U45" s="381">
        <v>0</v>
      </c>
      <c r="V45" s="381" t="s">
        <v>1296</v>
      </c>
      <c r="W45" s="381"/>
      <c r="Y45" s="97"/>
      <c r="Z45" s="96"/>
      <c r="AB45" s="96"/>
      <c r="AC45" s="96"/>
      <c r="AD45" s="70"/>
      <c r="AE45" s="70"/>
      <c r="AF45" s="70"/>
      <c r="AG45" s="70"/>
      <c r="AH45" s="70"/>
      <c r="AI45" s="70"/>
      <c r="AJ45" s="70"/>
      <c r="AK45" s="70"/>
      <c r="AL45" s="70"/>
      <c r="AM45" s="70"/>
    </row>
    <row r="46" spans="1:39" x14ac:dyDescent="0.25">
      <c r="A46" s="381">
        <f t="shared" si="0"/>
        <v>32</v>
      </c>
      <c r="B46" s="381" t="s">
        <v>105</v>
      </c>
      <c r="C46" s="381" t="s">
        <v>1289</v>
      </c>
      <c r="D46" s="381" t="s">
        <v>107</v>
      </c>
      <c r="E46" s="381">
        <v>1.6</v>
      </c>
      <c r="F46" s="381">
        <v>20</v>
      </c>
      <c r="G46" s="381" t="s">
        <v>1290</v>
      </c>
      <c r="H46" s="381" t="s">
        <v>3357</v>
      </c>
      <c r="I46" s="381" t="s">
        <v>102</v>
      </c>
      <c r="J46" s="381">
        <v>9458611</v>
      </c>
      <c r="K46" s="382">
        <v>44718</v>
      </c>
      <c r="L46" s="381"/>
      <c r="M46" s="382"/>
      <c r="N46" s="382"/>
      <c r="O46" s="381"/>
      <c r="P46" s="381"/>
      <c r="Q46" s="381"/>
      <c r="R46" s="782"/>
      <c r="S46" s="382"/>
      <c r="T46" s="381"/>
      <c r="U46" s="381">
        <v>0</v>
      </c>
      <c r="V46" s="381"/>
      <c r="W46" s="381"/>
      <c r="Y46" s="97"/>
      <c r="Z46" s="96"/>
      <c r="AB46" s="96"/>
      <c r="AC46" s="96"/>
      <c r="AD46" s="70"/>
      <c r="AE46" s="70"/>
      <c r="AF46" s="70"/>
      <c r="AG46" s="70"/>
      <c r="AH46" s="70"/>
      <c r="AI46" s="70"/>
      <c r="AJ46" s="70"/>
      <c r="AK46" s="70"/>
      <c r="AL46" s="70"/>
      <c r="AM46" s="70"/>
    </row>
    <row r="47" spans="1:39" x14ac:dyDescent="0.25">
      <c r="A47" s="381">
        <f t="shared" si="0"/>
        <v>33</v>
      </c>
      <c r="B47" s="381" t="s">
        <v>1366</v>
      </c>
      <c r="C47" s="381" t="s">
        <v>130</v>
      </c>
      <c r="D47" s="381" t="s">
        <v>152</v>
      </c>
      <c r="E47" s="381">
        <v>1.2</v>
      </c>
      <c r="F47" s="381">
        <v>6</v>
      </c>
      <c r="G47" s="381" t="s">
        <v>1367</v>
      </c>
      <c r="H47" s="381" t="s">
        <v>3358</v>
      </c>
      <c r="I47" s="381" t="s">
        <v>2059</v>
      </c>
      <c r="J47" s="381" t="s">
        <v>3374</v>
      </c>
      <c r="K47" s="382">
        <v>44756</v>
      </c>
      <c r="L47" s="381">
        <v>10090160</v>
      </c>
      <c r="M47" s="382">
        <v>45008</v>
      </c>
      <c r="N47" s="382"/>
      <c r="O47" s="381"/>
      <c r="P47" s="381"/>
      <c r="Q47" s="381"/>
      <c r="R47" s="782"/>
      <c r="S47" s="382"/>
      <c r="T47" s="381"/>
      <c r="U47" s="381">
        <v>0</v>
      </c>
      <c r="V47" s="381"/>
      <c r="W47" s="381"/>
      <c r="Y47" s="97"/>
      <c r="Z47" s="96"/>
      <c r="AB47" s="96"/>
      <c r="AC47" s="96"/>
      <c r="AD47" s="70"/>
      <c r="AE47" s="70"/>
      <c r="AF47" s="70"/>
      <c r="AG47" s="70"/>
      <c r="AH47" s="70"/>
      <c r="AI47" s="70"/>
      <c r="AJ47" s="70"/>
      <c r="AK47" s="70"/>
      <c r="AL47" s="70"/>
      <c r="AM47" s="70"/>
    </row>
    <row r="48" spans="1:39" x14ac:dyDescent="0.25">
      <c r="A48" s="381">
        <f t="shared" si="0"/>
        <v>34</v>
      </c>
      <c r="B48" s="381" t="s">
        <v>1368</v>
      </c>
      <c r="C48" s="381" t="s">
        <v>130</v>
      </c>
      <c r="D48" s="381" t="s">
        <v>152</v>
      </c>
      <c r="E48" s="381">
        <v>1.8</v>
      </c>
      <c r="F48" s="381">
        <v>6</v>
      </c>
      <c r="G48" s="381" t="s">
        <v>1367</v>
      </c>
      <c r="H48" s="381" t="s">
        <v>3359</v>
      </c>
      <c r="I48" s="381" t="s">
        <v>2059</v>
      </c>
      <c r="J48" s="381" t="s">
        <v>3375</v>
      </c>
      <c r="K48" s="382">
        <v>44756</v>
      </c>
      <c r="L48" s="381">
        <v>10090190</v>
      </c>
      <c r="M48" s="382">
        <v>45008</v>
      </c>
      <c r="N48" s="382"/>
      <c r="O48" s="381"/>
      <c r="P48" s="381"/>
      <c r="Q48" s="381"/>
      <c r="R48" s="782"/>
      <c r="S48" s="382"/>
      <c r="T48" s="381"/>
      <c r="U48" s="381">
        <v>0</v>
      </c>
      <c r="V48" s="381"/>
      <c r="W48" s="381"/>
      <c r="Y48" s="97"/>
      <c r="Z48" s="96"/>
      <c r="AB48" s="96"/>
      <c r="AC48" s="96"/>
      <c r="AD48" s="70"/>
      <c r="AE48" s="70"/>
      <c r="AF48" s="70"/>
      <c r="AG48" s="70"/>
      <c r="AH48" s="70"/>
      <c r="AI48" s="70"/>
      <c r="AJ48" s="70"/>
      <c r="AK48" s="70"/>
      <c r="AL48" s="70"/>
      <c r="AM48" s="70"/>
    </row>
    <row r="49" spans="1:39" x14ac:dyDescent="0.25">
      <c r="A49" s="381">
        <f t="shared" si="0"/>
        <v>35</v>
      </c>
      <c r="B49" s="381" t="s">
        <v>1370</v>
      </c>
      <c r="C49" s="381" t="s">
        <v>1371</v>
      </c>
      <c r="D49" s="381" t="s">
        <v>156</v>
      </c>
      <c r="E49" s="381">
        <v>1.2310000000000001</v>
      </c>
      <c r="F49" s="381" t="s">
        <v>1369</v>
      </c>
      <c r="G49" s="381" t="s">
        <v>123</v>
      </c>
      <c r="H49" s="381" t="s">
        <v>3360</v>
      </c>
      <c r="I49" s="381" t="s">
        <v>2059</v>
      </c>
      <c r="J49" s="381" t="s">
        <v>1372</v>
      </c>
      <c r="K49" s="382">
        <v>44756</v>
      </c>
      <c r="L49" s="448">
        <v>10065103</v>
      </c>
      <c r="M49" s="449">
        <v>44811</v>
      </c>
      <c r="N49" s="449">
        <v>45211</v>
      </c>
      <c r="O49" s="448"/>
      <c r="P49" s="448"/>
      <c r="Q49" s="448"/>
      <c r="R49" s="784"/>
      <c r="S49" s="449"/>
      <c r="T49" s="448"/>
      <c r="U49" s="448">
        <v>0</v>
      </c>
      <c r="V49" s="448"/>
      <c r="W49" s="448"/>
      <c r="Y49" s="97"/>
      <c r="Z49" s="96"/>
      <c r="AB49" s="96"/>
      <c r="AC49" s="96"/>
      <c r="AD49" s="70"/>
      <c r="AE49" s="70"/>
      <c r="AF49" s="70"/>
      <c r="AG49" s="70"/>
      <c r="AH49" s="70"/>
      <c r="AI49" s="70"/>
      <c r="AJ49" s="70"/>
      <c r="AK49" s="70"/>
      <c r="AL49" s="70"/>
      <c r="AM49" s="70"/>
    </row>
    <row r="50" spans="1:39" x14ac:dyDescent="0.25">
      <c r="A50" s="381">
        <f t="shared" si="0"/>
        <v>36</v>
      </c>
      <c r="B50" s="381" t="s">
        <v>1721</v>
      </c>
      <c r="C50" s="381" t="s">
        <v>1722</v>
      </c>
      <c r="D50" s="381" t="s">
        <v>156</v>
      </c>
      <c r="E50" s="381">
        <v>3.0011999999999999</v>
      </c>
      <c r="F50" s="381">
        <v>20</v>
      </c>
      <c r="G50" s="381" t="s">
        <v>101</v>
      </c>
      <c r="H50" s="381" t="s">
        <v>3361</v>
      </c>
      <c r="I50" s="381" t="s">
        <v>2059</v>
      </c>
      <c r="J50" s="381">
        <v>9651010</v>
      </c>
      <c r="K50" s="382">
        <v>44802</v>
      </c>
      <c r="L50" s="448">
        <v>9651010</v>
      </c>
      <c r="M50" s="449">
        <v>44918</v>
      </c>
      <c r="N50" s="449">
        <v>45278</v>
      </c>
      <c r="O50" s="448"/>
      <c r="P50" s="448"/>
      <c r="Q50" s="448"/>
      <c r="R50" s="784" t="s">
        <v>4162</v>
      </c>
      <c r="S50" s="449">
        <v>45288</v>
      </c>
      <c r="T50" s="448">
        <v>1.5</v>
      </c>
      <c r="U50" s="448">
        <v>0</v>
      </c>
      <c r="V50" s="448">
        <v>1.5</v>
      </c>
      <c r="W50" s="448" t="s">
        <v>4163</v>
      </c>
      <c r="Y50" s="97"/>
      <c r="Z50" s="96"/>
      <c r="AB50" s="96"/>
      <c r="AC50" s="96"/>
      <c r="AD50" s="70"/>
      <c r="AE50" s="70"/>
      <c r="AF50" s="70"/>
      <c r="AG50" s="70"/>
      <c r="AH50" s="70"/>
      <c r="AI50" s="70"/>
      <c r="AJ50" s="70"/>
      <c r="AK50" s="70"/>
      <c r="AL50" s="70"/>
      <c r="AM50" s="70"/>
    </row>
    <row r="51" spans="1:39" x14ac:dyDescent="0.25">
      <c r="A51" s="381">
        <f t="shared" si="0"/>
        <v>37</v>
      </c>
      <c r="B51" s="381" t="s">
        <v>1723</v>
      </c>
      <c r="C51" s="381" t="s">
        <v>1724</v>
      </c>
      <c r="D51" s="381" t="s">
        <v>160</v>
      </c>
      <c r="E51" s="381">
        <v>3.82</v>
      </c>
      <c r="F51" s="381">
        <v>20</v>
      </c>
      <c r="G51" s="381" t="s">
        <v>1725</v>
      </c>
      <c r="H51" s="381" t="s">
        <v>3362</v>
      </c>
      <c r="I51" s="381" t="s">
        <v>2059</v>
      </c>
      <c r="J51" s="381">
        <v>9649749</v>
      </c>
      <c r="K51" s="382">
        <v>44798</v>
      </c>
      <c r="L51" s="448">
        <v>9649749</v>
      </c>
      <c r="M51" s="448" t="s">
        <v>3376</v>
      </c>
      <c r="N51" s="449">
        <v>45187</v>
      </c>
      <c r="O51" s="448"/>
      <c r="P51" s="448"/>
      <c r="Q51" s="448"/>
      <c r="R51" s="784" t="s">
        <v>4164</v>
      </c>
      <c r="S51" s="449">
        <v>45233</v>
      </c>
      <c r="T51" s="448">
        <v>3.82</v>
      </c>
      <c r="U51" s="448">
        <v>0</v>
      </c>
      <c r="V51" s="448"/>
      <c r="W51" s="448"/>
      <c r="Y51" s="97"/>
      <c r="Z51" s="96"/>
      <c r="AB51" s="96"/>
      <c r="AC51" s="96"/>
      <c r="AD51" s="70"/>
      <c r="AE51" s="70"/>
      <c r="AF51" s="70"/>
      <c r="AG51" s="70"/>
      <c r="AH51" s="70"/>
      <c r="AI51" s="70"/>
      <c r="AJ51" s="70"/>
      <c r="AK51" s="70"/>
      <c r="AL51" s="70"/>
      <c r="AM51" s="70"/>
    </row>
    <row r="52" spans="1:39" x14ac:dyDescent="0.25">
      <c r="A52" s="381">
        <f t="shared" si="0"/>
        <v>38</v>
      </c>
      <c r="B52" s="381" t="s">
        <v>1726</v>
      </c>
      <c r="C52" s="381" t="s">
        <v>1727</v>
      </c>
      <c r="D52" s="381" t="s">
        <v>160</v>
      </c>
      <c r="E52" s="381">
        <v>2.0299999999999998</v>
      </c>
      <c r="F52" s="381">
        <v>20</v>
      </c>
      <c r="G52" s="381" t="s">
        <v>1728</v>
      </c>
      <c r="H52" s="381" t="s">
        <v>3363</v>
      </c>
      <c r="I52" s="381" t="s">
        <v>2059</v>
      </c>
      <c r="J52" s="381" t="s">
        <v>1729</v>
      </c>
      <c r="K52" s="382">
        <v>44798</v>
      </c>
      <c r="L52" s="381"/>
      <c r="M52" s="382"/>
      <c r="N52" s="382"/>
      <c r="O52" s="381"/>
      <c r="P52" s="381"/>
      <c r="Q52" s="381"/>
      <c r="R52" s="782"/>
      <c r="S52" s="382"/>
      <c r="T52" s="381"/>
      <c r="U52" s="381">
        <v>0.43</v>
      </c>
      <c r="V52" s="381"/>
      <c r="W52" s="381"/>
      <c r="Y52" s="97"/>
      <c r="Z52" s="96"/>
      <c r="AB52" s="96"/>
      <c r="AC52" s="96"/>
      <c r="AD52" s="70"/>
      <c r="AE52" s="70"/>
      <c r="AF52" s="70"/>
      <c r="AG52" s="70"/>
      <c r="AH52" s="70"/>
      <c r="AI52" s="70"/>
      <c r="AJ52" s="70"/>
      <c r="AK52" s="70"/>
      <c r="AL52" s="70"/>
      <c r="AM52" s="70"/>
    </row>
    <row r="53" spans="1:39" x14ac:dyDescent="0.25">
      <c r="A53" s="381">
        <f t="shared" si="0"/>
        <v>39</v>
      </c>
      <c r="B53" s="381" t="s">
        <v>1730</v>
      </c>
      <c r="C53" s="381" t="s">
        <v>1731</v>
      </c>
      <c r="D53" s="381" t="s">
        <v>160</v>
      </c>
      <c r="E53" s="381">
        <v>4.4000000000000004</v>
      </c>
      <c r="F53" s="381">
        <v>20</v>
      </c>
      <c r="G53" s="381" t="s">
        <v>1732</v>
      </c>
      <c r="H53" s="381" t="s">
        <v>3364</v>
      </c>
      <c r="I53" s="381" t="s">
        <v>2059</v>
      </c>
      <c r="J53" s="381">
        <v>9100280</v>
      </c>
      <c r="K53" s="382">
        <v>44798</v>
      </c>
      <c r="L53" s="381"/>
      <c r="M53" s="382"/>
      <c r="N53" s="382"/>
      <c r="O53" s="381"/>
      <c r="P53" s="381"/>
      <c r="Q53" s="381"/>
      <c r="R53" s="782"/>
      <c r="S53" s="382"/>
      <c r="T53" s="381"/>
      <c r="U53" s="381">
        <v>0</v>
      </c>
      <c r="V53" s="381"/>
      <c r="W53" s="381"/>
      <c r="Y53" s="97"/>
      <c r="Z53" s="96"/>
      <c r="AB53" s="96"/>
      <c r="AC53" s="96"/>
      <c r="AD53" s="70"/>
      <c r="AE53" s="70"/>
      <c r="AF53" s="70"/>
      <c r="AG53" s="70"/>
      <c r="AH53" s="70"/>
      <c r="AI53" s="70"/>
      <c r="AJ53" s="70"/>
      <c r="AK53" s="70"/>
      <c r="AL53" s="70"/>
      <c r="AM53" s="70"/>
    </row>
    <row r="54" spans="1:39" x14ac:dyDescent="0.25">
      <c r="A54" s="381">
        <f t="shared" si="0"/>
        <v>40</v>
      </c>
      <c r="B54" s="381" t="s">
        <v>105</v>
      </c>
      <c r="C54" s="381" t="s">
        <v>1809</v>
      </c>
      <c r="D54" s="381" t="s">
        <v>148</v>
      </c>
      <c r="E54" s="381">
        <v>1.1000000000000001</v>
      </c>
      <c r="F54" s="381">
        <v>20</v>
      </c>
      <c r="G54" s="381" t="s">
        <v>1810</v>
      </c>
      <c r="H54" s="381" t="s">
        <v>3365</v>
      </c>
      <c r="I54" s="381" t="s">
        <v>2059</v>
      </c>
      <c r="J54" s="381">
        <v>10894502</v>
      </c>
      <c r="K54" s="382">
        <v>44832</v>
      </c>
      <c r="L54" s="381">
        <v>10894502</v>
      </c>
      <c r="M54" s="382">
        <v>44903</v>
      </c>
      <c r="N54" s="382">
        <v>45027</v>
      </c>
      <c r="O54" s="381"/>
      <c r="P54" s="381"/>
      <c r="Q54" s="381"/>
      <c r="R54" s="782" t="s">
        <v>3377</v>
      </c>
      <c r="S54" s="382">
        <v>45050</v>
      </c>
      <c r="T54" s="381">
        <v>1.1000000000000001</v>
      </c>
      <c r="U54" s="381">
        <v>0</v>
      </c>
      <c r="V54" s="381"/>
      <c r="W54" s="381"/>
      <c r="Y54" s="97"/>
      <c r="Z54" s="96"/>
      <c r="AB54" s="96"/>
      <c r="AC54" s="96"/>
      <c r="AD54" s="70"/>
      <c r="AE54" s="70"/>
      <c r="AF54" s="70"/>
      <c r="AG54" s="70"/>
      <c r="AH54" s="70"/>
      <c r="AI54" s="70"/>
      <c r="AJ54" s="70"/>
      <c r="AK54" s="70"/>
      <c r="AL54" s="70"/>
      <c r="AM54" s="70"/>
    </row>
    <row r="55" spans="1:39" x14ac:dyDescent="0.25">
      <c r="A55" s="381">
        <f t="shared" si="0"/>
        <v>41</v>
      </c>
      <c r="B55" s="381" t="s">
        <v>105</v>
      </c>
      <c r="C55" s="381" t="s">
        <v>1839</v>
      </c>
      <c r="D55" s="381" t="s">
        <v>148</v>
      </c>
      <c r="E55" s="381">
        <v>1.1000000000000001</v>
      </c>
      <c r="F55" s="381">
        <v>20</v>
      </c>
      <c r="G55" s="381" t="s">
        <v>1840</v>
      </c>
      <c r="H55" s="381" t="s">
        <v>3366</v>
      </c>
      <c r="I55" s="381" t="s">
        <v>2059</v>
      </c>
      <c r="J55" s="381">
        <v>10894576</v>
      </c>
      <c r="K55" s="382">
        <v>44832</v>
      </c>
      <c r="L55" s="381">
        <v>10894576</v>
      </c>
      <c r="M55" s="382">
        <v>44907</v>
      </c>
      <c r="N55" s="382">
        <v>44973</v>
      </c>
      <c r="O55" s="381"/>
      <c r="P55" s="381"/>
      <c r="Q55" s="381"/>
      <c r="R55" s="782" t="s">
        <v>3378</v>
      </c>
      <c r="S55" s="382">
        <v>44973</v>
      </c>
      <c r="T55" s="381">
        <v>1.1000000000000001</v>
      </c>
      <c r="U55" s="381">
        <v>0</v>
      </c>
      <c r="V55" s="381">
        <v>1.1000000000000001</v>
      </c>
      <c r="W55" s="381"/>
      <c r="Y55" s="97"/>
      <c r="Z55" s="96"/>
      <c r="AB55" s="96"/>
      <c r="AC55" s="96"/>
      <c r="AD55" s="70"/>
      <c r="AE55" s="70"/>
      <c r="AF55" s="70"/>
      <c r="AG55" s="70"/>
      <c r="AH55" s="70"/>
      <c r="AI55" s="70"/>
      <c r="AJ55" s="70"/>
      <c r="AK55" s="70"/>
      <c r="AL55" s="70"/>
      <c r="AM55" s="70"/>
    </row>
    <row r="56" spans="1:39" x14ac:dyDescent="0.25">
      <c r="A56" s="381">
        <f t="shared" si="0"/>
        <v>42</v>
      </c>
      <c r="B56" s="381" t="s">
        <v>2311</v>
      </c>
      <c r="C56" s="381" t="s">
        <v>2312</v>
      </c>
      <c r="D56" s="381" t="s">
        <v>156</v>
      </c>
      <c r="E56" s="381">
        <v>3.4</v>
      </c>
      <c r="F56" s="381">
        <v>20</v>
      </c>
      <c r="G56" s="381" t="s">
        <v>101</v>
      </c>
      <c r="H56" s="381" t="s">
        <v>2313</v>
      </c>
      <c r="I56" s="381" t="s">
        <v>2059</v>
      </c>
      <c r="J56" s="381">
        <v>11768708</v>
      </c>
      <c r="K56" s="382">
        <v>44860</v>
      </c>
      <c r="L56" s="381">
        <v>11768708</v>
      </c>
      <c r="M56" s="382">
        <v>44862</v>
      </c>
      <c r="N56" s="382"/>
      <c r="O56" s="381"/>
      <c r="P56" s="381"/>
      <c r="Q56" s="381"/>
      <c r="R56" s="782"/>
      <c r="S56" s="382"/>
      <c r="T56" s="381"/>
      <c r="U56" s="381">
        <v>2.5</v>
      </c>
      <c r="V56" s="381"/>
      <c r="W56" s="381"/>
      <c r="Y56" s="97"/>
      <c r="Z56" s="96"/>
      <c r="AB56" s="96"/>
      <c r="AC56" s="96"/>
      <c r="AD56" s="70"/>
      <c r="AE56" s="70"/>
      <c r="AF56" s="70"/>
      <c r="AG56" s="70"/>
      <c r="AH56" s="70"/>
      <c r="AI56" s="70"/>
      <c r="AJ56" s="70"/>
      <c r="AK56" s="70"/>
      <c r="AL56" s="70"/>
      <c r="AM56" s="70"/>
    </row>
    <row r="57" spans="1:39" x14ac:dyDescent="0.25">
      <c r="A57" s="381">
        <f t="shared" si="0"/>
        <v>43</v>
      </c>
      <c r="B57" s="381" t="s">
        <v>2060</v>
      </c>
      <c r="C57" s="381" t="s">
        <v>2061</v>
      </c>
      <c r="D57" s="381" t="s">
        <v>160</v>
      </c>
      <c r="E57" s="381">
        <v>2</v>
      </c>
      <c r="F57" s="381">
        <v>20</v>
      </c>
      <c r="G57" s="381" t="s">
        <v>3379</v>
      </c>
      <c r="H57" s="381" t="s">
        <v>3367</v>
      </c>
      <c r="I57" s="381" t="s">
        <v>2059</v>
      </c>
      <c r="J57" s="381" t="s">
        <v>2062</v>
      </c>
      <c r="K57" s="382">
        <v>44917</v>
      </c>
      <c r="L57" s="381">
        <v>13318465</v>
      </c>
      <c r="M57" s="382">
        <v>45043</v>
      </c>
      <c r="N57" s="382"/>
      <c r="O57" s="381"/>
      <c r="P57" s="381"/>
      <c r="Q57" s="381"/>
      <c r="R57" s="782"/>
      <c r="S57" s="382"/>
      <c r="T57" s="381"/>
      <c r="U57" s="381"/>
      <c r="V57" s="381"/>
      <c r="W57" s="381"/>
      <c r="Y57" s="97"/>
      <c r="Z57" s="96"/>
      <c r="AB57" s="96"/>
      <c r="AC57" s="96"/>
      <c r="AD57" s="70"/>
      <c r="AE57" s="70"/>
      <c r="AF57" s="70"/>
      <c r="AG57" s="70"/>
      <c r="AH57" s="70"/>
      <c r="AI57" s="70"/>
      <c r="AJ57" s="70"/>
      <c r="AK57" s="70"/>
      <c r="AL57" s="70"/>
      <c r="AM57" s="70"/>
    </row>
    <row r="58" spans="1:39" x14ac:dyDescent="0.25">
      <c r="A58" s="381">
        <f t="shared" si="0"/>
        <v>44</v>
      </c>
      <c r="B58" s="381" t="s">
        <v>2060</v>
      </c>
      <c r="C58" s="381" t="s">
        <v>2063</v>
      </c>
      <c r="D58" s="381" t="s">
        <v>156</v>
      </c>
      <c r="E58" s="381">
        <v>1.72</v>
      </c>
      <c r="F58" s="381">
        <v>20</v>
      </c>
      <c r="G58" s="381" t="s">
        <v>2058</v>
      </c>
      <c r="H58" s="381" t="s">
        <v>3368</v>
      </c>
      <c r="I58" s="381" t="s">
        <v>2059</v>
      </c>
      <c r="J58" s="381" t="s">
        <v>2064</v>
      </c>
      <c r="K58" s="382">
        <v>44916</v>
      </c>
      <c r="L58" s="381"/>
      <c r="M58" s="382"/>
      <c r="N58" s="382"/>
      <c r="O58" s="381"/>
      <c r="P58" s="381"/>
      <c r="Q58" s="381"/>
      <c r="R58" s="782"/>
      <c r="S58" s="382"/>
      <c r="T58" s="381"/>
      <c r="U58" s="381">
        <v>0.15</v>
      </c>
      <c r="V58" s="381"/>
      <c r="W58" s="381"/>
      <c r="Y58" s="97"/>
      <c r="Z58" s="96"/>
      <c r="AB58" s="96"/>
      <c r="AC58" s="96"/>
      <c r="AD58" s="70"/>
      <c r="AE58" s="70"/>
      <c r="AF58" s="70"/>
      <c r="AG58" s="70"/>
      <c r="AH58" s="70"/>
      <c r="AI58" s="70"/>
      <c r="AJ58" s="70"/>
      <c r="AK58" s="70"/>
      <c r="AL58" s="70"/>
      <c r="AM58" s="70"/>
    </row>
    <row r="59" spans="1:39" x14ac:dyDescent="0.25">
      <c r="A59" s="381">
        <f t="shared" si="0"/>
        <v>45</v>
      </c>
      <c r="B59" s="381" t="s">
        <v>2065</v>
      </c>
      <c r="C59" s="381" t="s">
        <v>135</v>
      </c>
      <c r="D59" s="381" t="s">
        <v>152</v>
      </c>
      <c r="E59" s="381">
        <v>2</v>
      </c>
      <c r="F59" s="381">
        <v>20</v>
      </c>
      <c r="G59" s="381" t="s">
        <v>2066</v>
      </c>
      <c r="H59" s="381" t="s">
        <v>3369</v>
      </c>
      <c r="I59" s="381" t="s">
        <v>2059</v>
      </c>
      <c r="J59" s="381" t="s">
        <v>2067</v>
      </c>
      <c r="K59" s="382">
        <v>44915</v>
      </c>
      <c r="L59" s="381"/>
      <c r="M59" s="382"/>
      <c r="N59" s="382"/>
      <c r="O59" s="381"/>
      <c r="P59" s="381"/>
      <c r="Q59" s="381"/>
      <c r="R59" s="782"/>
      <c r="S59" s="382"/>
      <c r="T59" s="381"/>
      <c r="U59" s="381">
        <v>0.85</v>
      </c>
      <c r="V59" s="381"/>
      <c r="W59" s="381"/>
      <c r="Y59" s="97"/>
      <c r="Z59" s="96"/>
      <c r="AB59" s="96"/>
      <c r="AC59" s="96"/>
      <c r="AD59" s="70"/>
      <c r="AE59" s="70"/>
      <c r="AF59" s="70"/>
      <c r="AG59" s="70"/>
      <c r="AH59" s="70"/>
      <c r="AI59" s="70"/>
      <c r="AJ59" s="70"/>
      <c r="AK59" s="70"/>
      <c r="AL59" s="70"/>
      <c r="AM59" s="70"/>
    </row>
    <row r="60" spans="1:39" x14ac:dyDescent="0.25">
      <c r="A60" s="381">
        <f t="shared" si="0"/>
        <v>46</v>
      </c>
      <c r="B60" s="381" t="s">
        <v>2218</v>
      </c>
      <c r="C60" s="381" t="s">
        <v>2219</v>
      </c>
      <c r="D60" s="381" t="s">
        <v>156</v>
      </c>
      <c r="E60" s="381">
        <v>4</v>
      </c>
      <c r="F60" s="381">
        <v>20</v>
      </c>
      <c r="G60" s="381" t="s">
        <v>2220</v>
      </c>
      <c r="H60" s="381" t="s">
        <v>3370</v>
      </c>
      <c r="I60" s="381" t="s">
        <v>2059</v>
      </c>
      <c r="J60" s="381" t="s">
        <v>2221</v>
      </c>
      <c r="K60" s="382">
        <v>44917</v>
      </c>
      <c r="L60" s="381"/>
      <c r="M60" s="382"/>
      <c r="N60" s="382"/>
      <c r="O60" s="381"/>
      <c r="P60" s="381"/>
      <c r="Q60" s="381"/>
      <c r="R60" s="782"/>
      <c r="S60" s="382"/>
      <c r="T60" s="381"/>
      <c r="U60" s="381">
        <v>3.7999999999999999E-2</v>
      </c>
      <c r="V60" s="381"/>
      <c r="W60" s="381"/>
      <c r="Y60" s="97"/>
      <c r="Z60" s="96"/>
      <c r="AB60" s="96"/>
      <c r="AC60" s="96"/>
      <c r="AD60" s="70"/>
      <c r="AE60" s="70"/>
      <c r="AF60" s="70"/>
      <c r="AG60" s="70"/>
      <c r="AH60" s="70"/>
      <c r="AI60" s="70"/>
      <c r="AJ60" s="70"/>
      <c r="AK60" s="70"/>
      <c r="AL60" s="70"/>
      <c r="AM60" s="70"/>
    </row>
    <row r="61" spans="1:39" x14ac:dyDescent="0.25">
      <c r="A61" s="381">
        <f t="shared" si="0"/>
        <v>47</v>
      </c>
      <c r="B61" s="381" t="s">
        <v>2222</v>
      </c>
      <c r="C61" s="381" t="s">
        <v>2223</v>
      </c>
      <c r="D61" s="381" t="s">
        <v>156</v>
      </c>
      <c r="E61" s="381">
        <v>2.35</v>
      </c>
      <c r="F61" s="381">
        <v>20</v>
      </c>
      <c r="G61" s="381" t="s">
        <v>2224</v>
      </c>
      <c r="H61" s="381" t="s">
        <v>3371</v>
      </c>
      <c r="I61" s="381" t="s">
        <v>2059</v>
      </c>
      <c r="J61" s="381" t="s">
        <v>2225</v>
      </c>
      <c r="K61" s="382">
        <v>44949</v>
      </c>
      <c r="L61" s="381" t="s">
        <v>2225</v>
      </c>
      <c r="M61" s="382">
        <v>44953</v>
      </c>
      <c r="N61" s="382"/>
      <c r="O61" s="381"/>
      <c r="P61" s="381"/>
      <c r="Q61" s="381"/>
      <c r="R61" s="782"/>
      <c r="S61" s="382"/>
      <c r="T61" s="381"/>
      <c r="U61" s="381">
        <v>1.7</v>
      </c>
      <c r="V61" s="381"/>
      <c r="W61" s="381">
        <v>0.65</v>
      </c>
      <c r="Y61" s="97"/>
      <c r="Z61" s="96"/>
      <c r="AB61" s="96"/>
      <c r="AC61" s="96"/>
      <c r="AD61" s="70"/>
      <c r="AE61" s="70"/>
      <c r="AF61" s="70"/>
      <c r="AG61" s="70"/>
      <c r="AH61" s="70"/>
      <c r="AI61" s="70"/>
      <c r="AJ61" s="70"/>
      <c r="AK61" s="70"/>
      <c r="AL61" s="70"/>
      <c r="AM61" s="70"/>
    </row>
    <row r="62" spans="1:39" x14ac:dyDescent="0.25">
      <c r="A62" s="381">
        <f t="shared" si="0"/>
        <v>48</v>
      </c>
      <c r="B62" s="381" t="s">
        <v>2314</v>
      </c>
      <c r="C62" s="381" t="s">
        <v>2315</v>
      </c>
      <c r="D62" s="381" t="s">
        <v>148</v>
      </c>
      <c r="E62" s="381">
        <v>6.3</v>
      </c>
      <c r="F62" s="381">
        <v>110</v>
      </c>
      <c r="G62" s="381" t="s">
        <v>2316</v>
      </c>
      <c r="H62" s="381" t="s">
        <v>2317</v>
      </c>
      <c r="I62" s="381" t="s">
        <v>2059</v>
      </c>
      <c r="J62" s="381" t="s">
        <v>2318</v>
      </c>
      <c r="K62" s="382">
        <v>44952</v>
      </c>
      <c r="L62" s="381"/>
      <c r="M62" s="382"/>
      <c r="N62" s="382"/>
      <c r="O62" s="381"/>
      <c r="P62" s="381"/>
      <c r="Q62" s="381"/>
      <c r="R62" s="782"/>
      <c r="S62" s="382"/>
      <c r="T62" s="381"/>
      <c r="U62" s="381">
        <v>6.3</v>
      </c>
      <c r="V62" s="381"/>
      <c r="W62" s="381"/>
      <c r="Y62" s="97"/>
      <c r="Z62" s="96"/>
      <c r="AB62" s="96"/>
      <c r="AC62" s="96"/>
      <c r="AD62" s="70"/>
      <c r="AE62" s="70"/>
      <c r="AF62" s="70"/>
      <c r="AG62" s="70"/>
      <c r="AH62" s="70"/>
      <c r="AI62" s="70"/>
      <c r="AJ62" s="70"/>
      <c r="AK62" s="70"/>
      <c r="AL62" s="70"/>
      <c r="AM62" s="70"/>
    </row>
    <row r="63" spans="1:39" x14ac:dyDescent="0.25">
      <c r="A63" s="381">
        <f t="shared" si="0"/>
        <v>49</v>
      </c>
      <c r="B63" s="381" t="s">
        <v>2435</v>
      </c>
      <c r="C63" s="381" t="s">
        <v>1291</v>
      </c>
      <c r="D63" s="381" t="s">
        <v>156</v>
      </c>
      <c r="E63" s="381">
        <v>2.113</v>
      </c>
      <c r="F63" s="381">
        <v>20</v>
      </c>
      <c r="G63" s="381" t="s">
        <v>142</v>
      </c>
      <c r="H63" s="381" t="s">
        <v>2436</v>
      </c>
      <c r="I63" s="381" t="s">
        <v>2059</v>
      </c>
      <c r="J63" s="381" t="s">
        <v>2437</v>
      </c>
      <c r="K63" s="382">
        <v>44819</v>
      </c>
      <c r="L63" s="381">
        <v>12029376</v>
      </c>
      <c r="M63" s="382">
        <v>44992</v>
      </c>
      <c r="N63" s="382"/>
      <c r="O63" s="381"/>
      <c r="P63" s="381"/>
      <c r="Q63" s="381"/>
      <c r="R63" s="782"/>
      <c r="S63" s="382"/>
      <c r="T63" s="381"/>
      <c r="U63" s="381">
        <v>0</v>
      </c>
      <c r="V63" s="381"/>
      <c r="W63" s="381"/>
      <c r="Y63" s="97"/>
      <c r="Z63" s="96"/>
      <c r="AB63" s="96"/>
      <c r="AC63" s="96"/>
      <c r="AD63" s="70"/>
      <c r="AE63" s="70"/>
      <c r="AF63" s="70"/>
      <c r="AG63" s="70"/>
      <c r="AH63" s="70"/>
      <c r="AI63" s="70"/>
      <c r="AJ63" s="70"/>
      <c r="AK63" s="70"/>
      <c r="AL63" s="70"/>
      <c r="AM63" s="70"/>
    </row>
    <row r="64" spans="1:39" x14ac:dyDescent="0.25">
      <c r="A64" s="381">
        <f t="shared" si="0"/>
        <v>50</v>
      </c>
      <c r="B64" s="381" t="s">
        <v>2491</v>
      </c>
      <c r="C64" s="381" t="s">
        <v>2492</v>
      </c>
      <c r="D64" s="381" t="s">
        <v>156</v>
      </c>
      <c r="E64" s="381">
        <v>2.2999999999999998</v>
      </c>
      <c r="F64" s="381">
        <v>20</v>
      </c>
      <c r="G64" s="381" t="s">
        <v>123</v>
      </c>
      <c r="H64" s="381" t="s">
        <v>2493</v>
      </c>
      <c r="I64" s="381" t="s">
        <v>2059</v>
      </c>
      <c r="J64" s="381">
        <v>16260304</v>
      </c>
      <c r="K64" s="382">
        <v>45005</v>
      </c>
      <c r="L64" s="381"/>
      <c r="M64" s="382"/>
      <c r="N64" s="382"/>
      <c r="O64" s="381"/>
      <c r="P64" s="381"/>
      <c r="Q64" s="381"/>
      <c r="R64" s="782"/>
      <c r="S64" s="382"/>
      <c r="T64" s="381"/>
      <c r="U64" s="381">
        <v>0</v>
      </c>
      <c r="V64" s="381"/>
      <c r="W64" s="381"/>
      <c r="Y64" s="97"/>
      <c r="Z64" s="96"/>
      <c r="AB64" s="96"/>
      <c r="AC64" s="96"/>
      <c r="AD64" s="70"/>
      <c r="AE64" s="70"/>
      <c r="AF64" s="70"/>
      <c r="AG64" s="70"/>
      <c r="AH64" s="70"/>
      <c r="AI64" s="70"/>
      <c r="AJ64" s="70"/>
      <c r="AK64" s="70"/>
      <c r="AL64" s="70"/>
      <c r="AM64" s="70"/>
    </row>
    <row r="65" spans="1:39" x14ac:dyDescent="0.25">
      <c r="A65" s="381">
        <f t="shared" si="0"/>
        <v>51</v>
      </c>
      <c r="B65" s="381" t="s">
        <v>2494</v>
      </c>
      <c r="C65" s="381" t="s">
        <v>135</v>
      </c>
      <c r="D65" s="381" t="s">
        <v>156</v>
      </c>
      <c r="E65" s="381">
        <v>3</v>
      </c>
      <c r="F65" s="381">
        <v>20</v>
      </c>
      <c r="G65" s="381" t="s">
        <v>2495</v>
      </c>
      <c r="H65" s="381" t="s">
        <v>2496</v>
      </c>
      <c r="I65" s="381" t="s">
        <v>2059</v>
      </c>
      <c r="J65" s="381">
        <v>16449957</v>
      </c>
      <c r="K65" s="382">
        <v>45009</v>
      </c>
      <c r="L65" s="381"/>
      <c r="M65" s="382"/>
      <c r="N65" s="382"/>
      <c r="O65" s="381"/>
      <c r="P65" s="381"/>
      <c r="Q65" s="381"/>
      <c r="R65" s="782"/>
      <c r="S65" s="382"/>
      <c r="T65" s="381"/>
      <c r="U65" s="381">
        <v>0</v>
      </c>
      <c r="V65" s="381"/>
      <c r="W65" s="381"/>
      <c r="Y65" s="97"/>
      <c r="Z65" s="96"/>
      <c r="AB65" s="96"/>
      <c r="AC65" s="96"/>
      <c r="AD65" s="70"/>
      <c r="AE65" s="70"/>
      <c r="AF65" s="70"/>
      <c r="AG65" s="70"/>
      <c r="AH65" s="70"/>
      <c r="AI65" s="70"/>
      <c r="AJ65" s="70"/>
      <c r="AK65" s="70"/>
      <c r="AL65" s="70"/>
      <c r="AM65" s="70"/>
    </row>
    <row r="66" spans="1:39" x14ac:dyDescent="0.25">
      <c r="A66" s="381">
        <f t="shared" si="0"/>
        <v>52</v>
      </c>
      <c r="B66" s="381" t="s">
        <v>2497</v>
      </c>
      <c r="C66" s="381" t="s">
        <v>2498</v>
      </c>
      <c r="D66" s="381" t="s">
        <v>156</v>
      </c>
      <c r="E66" s="381">
        <v>2</v>
      </c>
      <c r="F66" s="381">
        <v>20</v>
      </c>
      <c r="G66" s="381" t="s">
        <v>131</v>
      </c>
      <c r="H66" s="381" t="s">
        <v>2499</v>
      </c>
      <c r="I66" s="381" t="s">
        <v>2059</v>
      </c>
      <c r="J66" s="381" t="s">
        <v>2500</v>
      </c>
      <c r="K66" s="382">
        <v>45008</v>
      </c>
      <c r="L66" s="381"/>
      <c r="M66" s="382"/>
      <c r="N66" s="382"/>
      <c r="O66" s="381"/>
      <c r="P66" s="381"/>
      <c r="Q66" s="381"/>
      <c r="R66" s="782"/>
      <c r="S66" s="382"/>
      <c r="T66" s="381"/>
      <c r="U66" s="381">
        <v>0</v>
      </c>
      <c r="V66" s="381"/>
      <c r="W66" s="381"/>
      <c r="Y66" s="97"/>
      <c r="Z66" s="96"/>
      <c r="AB66" s="96"/>
      <c r="AC66" s="96"/>
      <c r="AD66" s="70"/>
      <c r="AE66" s="70"/>
      <c r="AF66" s="70"/>
      <c r="AG66" s="70"/>
      <c r="AH66" s="70"/>
      <c r="AI66" s="70"/>
      <c r="AJ66" s="70"/>
      <c r="AK66" s="70"/>
      <c r="AL66" s="70"/>
      <c r="AM66" s="70"/>
    </row>
    <row r="67" spans="1:39" x14ac:dyDescent="0.25">
      <c r="A67" s="381">
        <f t="shared" si="0"/>
        <v>53</v>
      </c>
      <c r="B67" s="381" t="s">
        <v>2501</v>
      </c>
      <c r="C67" s="381" t="s">
        <v>2502</v>
      </c>
      <c r="D67" s="381" t="s">
        <v>148</v>
      </c>
      <c r="E67" s="381">
        <v>1.44</v>
      </c>
      <c r="F67" s="381">
        <v>20</v>
      </c>
      <c r="G67" s="381" t="s">
        <v>108</v>
      </c>
      <c r="H67" s="381" t="s">
        <v>2503</v>
      </c>
      <c r="I67" s="381" t="s">
        <v>2059</v>
      </c>
      <c r="J67" s="381" t="s">
        <v>2504</v>
      </c>
      <c r="K67" s="382">
        <v>45012</v>
      </c>
      <c r="L67" s="381"/>
      <c r="M67" s="382"/>
      <c r="N67" s="382"/>
      <c r="O67" s="381"/>
      <c r="P67" s="381"/>
      <c r="Q67" s="381"/>
      <c r="R67" s="782"/>
      <c r="S67" s="382"/>
      <c r="T67" s="381"/>
      <c r="U67" s="381">
        <v>0</v>
      </c>
      <c r="V67" s="381"/>
      <c r="W67" s="381"/>
      <c r="Y67" s="97"/>
      <c r="Z67" s="96"/>
      <c r="AB67" s="96"/>
      <c r="AC67" s="96"/>
      <c r="AD67" s="70"/>
      <c r="AE67" s="70"/>
      <c r="AF67" s="70"/>
      <c r="AG67" s="70"/>
      <c r="AH67" s="70"/>
      <c r="AI67" s="70"/>
      <c r="AJ67" s="70"/>
      <c r="AK67" s="70"/>
      <c r="AL67" s="70"/>
      <c r="AM67" s="70"/>
    </row>
    <row r="68" spans="1:39" x14ac:dyDescent="0.25">
      <c r="A68" s="381">
        <f t="shared" si="0"/>
        <v>54</v>
      </c>
      <c r="B68" s="381" t="s">
        <v>2604</v>
      </c>
      <c r="C68" s="381" t="s">
        <v>130</v>
      </c>
      <c r="D68" s="381" t="s">
        <v>160</v>
      </c>
      <c r="E68" s="381">
        <v>3</v>
      </c>
      <c r="F68" s="381">
        <v>20</v>
      </c>
      <c r="G68" s="381" t="s">
        <v>136</v>
      </c>
      <c r="H68" s="381" t="s">
        <v>2605</v>
      </c>
      <c r="I68" s="381" t="s">
        <v>2059</v>
      </c>
      <c r="J68" s="381">
        <v>10090412</v>
      </c>
      <c r="K68" s="382">
        <v>45026</v>
      </c>
      <c r="L68" s="395"/>
      <c r="M68" s="408"/>
      <c r="N68" s="382"/>
      <c r="O68" s="381"/>
      <c r="P68" s="381"/>
      <c r="Q68" s="381"/>
      <c r="R68" s="782"/>
      <c r="S68" s="382"/>
      <c r="T68" s="381"/>
      <c r="U68" s="381">
        <v>1.8</v>
      </c>
      <c r="V68" s="381"/>
      <c r="W68" s="381">
        <v>1.2</v>
      </c>
      <c r="Y68" s="97"/>
      <c r="Z68" s="96"/>
      <c r="AB68" s="96"/>
      <c r="AC68" s="96"/>
      <c r="AD68" s="70"/>
      <c r="AE68" s="70"/>
      <c r="AF68" s="70"/>
      <c r="AG68" s="70"/>
      <c r="AH68" s="70"/>
      <c r="AI68" s="70"/>
      <c r="AJ68" s="70"/>
      <c r="AK68" s="70"/>
      <c r="AL68" s="70"/>
      <c r="AM68" s="70"/>
    </row>
    <row r="69" spans="1:39" x14ac:dyDescent="0.25">
      <c r="A69" s="381">
        <f t="shared" si="0"/>
        <v>55</v>
      </c>
      <c r="B69" s="381" t="s">
        <v>2745</v>
      </c>
      <c r="C69" s="381" t="s">
        <v>2746</v>
      </c>
      <c r="D69" s="381" t="s">
        <v>156</v>
      </c>
      <c r="E69" s="381">
        <v>1.97</v>
      </c>
      <c r="F69" s="381">
        <v>20</v>
      </c>
      <c r="G69" s="381" t="s">
        <v>120</v>
      </c>
      <c r="H69" s="381" t="s">
        <v>2747</v>
      </c>
      <c r="I69" s="381" t="s">
        <v>2059</v>
      </c>
      <c r="J69" s="381">
        <v>9723248</v>
      </c>
      <c r="K69" s="382">
        <v>45035</v>
      </c>
      <c r="L69" s="395"/>
      <c r="M69" s="408"/>
      <c r="N69" s="382"/>
      <c r="O69" s="381"/>
      <c r="P69" s="381"/>
      <c r="Q69" s="381"/>
      <c r="R69" s="782"/>
      <c r="S69" s="382"/>
      <c r="T69" s="381"/>
      <c r="U69" s="381"/>
      <c r="V69" s="381"/>
      <c r="W69" s="381"/>
      <c r="Y69" s="97"/>
      <c r="Z69" s="96"/>
      <c r="AB69" s="96"/>
      <c r="AC69" s="96"/>
      <c r="AD69" s="70"/>
      <c r="AE69" s="70"/>
      <c r="AF69" s="70"/>
      <c r="AG69" s="70"/>
      <c r="AH69" s="70"/>
      <c r="AI69" s="70"/>
      <c r="AJ69" s="70"/>
      <c r="AK69" s="70"/>
      <c r="AL69" s="70"/>
      <c r="AM69" s="70"/>
    </row>
    <row r="70" spans="1:39" x14ac:dyDescent="0.25">
      <c r="A70" s="381">
        <f t="shared" si="0"/>
        <v>56</v>
      </c>
      <c r="B70" s="381" t="s">
        <v>2748</v>
      </c>
      <c r="C70" s="381" t="s">
        <v>2749</v>
      </c>
      <c r="D70" s="381" t="s">
        <v>160</v>
      </c>
      <c r="E70" s="381">
        <v>1.1776</v>
      </c>
      <c r="F70" s="381">
        <v>20</v>
      </c>
      <c r="G70" s="381" t="s">
        <v>2750</v>
      </c>
      <c r="H70" s="381" t="s">
        <v>2751</v>
      </c>
      <c r="I70" s="381" t="s">
        <v>2059</v>
      </c>
      <c r="J70" s="381">
        <v>16201661</v>
      </c>
      <c r="K70" s="382">
        <v>45040</v>
      </c>
      <c r="L70" s="395">
        <v>16201661</v>
      </c>
      <c r="M70" s="408">
        <v>45169</v>
      </c>
      <c r="N70" s="449">
        <v>45253</v>
      </c>
      <c r="O70" s="448"/>
      <c r="P70" s="448"/>
      <c r="Q70" s="448"/>
      <c r="R70" s="784" t="s">
        <v>4165</v>
      </c>
      <c r="S70" s="449">
        <v>45257</v>
      </c>
      <c r="T70" s="448">
        <v>1.1175999999999999</v>
      </c>
      <c r="U70" s="567"/>
      <c r="V70" s="448">
        <v>0</v>
      </c>
      <c r="W70" s="448"/>
      <c r="Y70" s="97"/>
      <c r="Z70" s="96"/>
      <c r="AB70" s="96"/>
      <c r="AC70" s="96"/>
      <c r="AD70" s="70"/>
      <c r="AE70" s="70"/>
      <c r="AF70" s="70"/>
      <c r="AG70" s="70"/>
      <c r="AH70" s="70"/>
      <c r="AI70" s="70"/>
      <c r="AJ70" s="70"/>
      <c r="AK70" s="70"/>
      <c r="AL70" s="70"/>
      <c r="AM70" s="70"/>
    </row>
    <row r="71" spans="1:39" x14ac:dyDescent="0.25">
      <c r="A71" s="381">
        <f t="shared" si="0"/>
        <v>57</v>
      </c>
      <c r="B71" s="381" t="s">
        <v>3074</v>
      </c>
      <c r="C71" s="381" t="s">
        <v>3075</v>
      </c>
      <c r="D71" s="381" t="s">
        <v>156</v>
      </c>
      <c r="E71" s="381">
        <v>1</v>
      </c>
      <c r="F71" s="381">
        <v>20</v>
      </c>
      <c r="G71" s="381" t="s">
        <v>139</v>
      </c>
      <c r="H71" s="381" t="s">
        <v>3076</v>
      </c>
      <c r="I71" s="381" t="s">
        <v>2059</v>
      </c>
      <c r="J71" s="381" t="s">
        <v>3077</v>
      </c>
      <c r="K71" s="382">
        <v>45091</v>
      </c>
      <c r="L71" s="395"/>
      <c r="M71" s="408"/>
      <c r="N71" s="382"/>
      <c r="O71" s="381"/>
      <c r="P71" s="381"/>
      <c r="Q71" s="381"/>
      <c r="R71" s="782"/>
      <c r="S71" s="382"/>
      <c r="T71" s="381"/>
      <c r="U71" s="381">
        <v>0</v>
      </c>
      <c r="V71" s="381"/>
      <c r="W71" s="381"/>
      <c r="Y71" s="97"/>
      <c r="Z71" s="96"/>
      <c r="AB71" s="96"/>
      <c r="AC71" s="96"/>
      <c r="AD71" s="70"/>
      <c r="AE71" s="70"/>
      <c r="AF71" s="70"/>
      <c r="AG71" s="70"/>
      <c r="AH71" s="70"/>
      <c r="AI71" s="70"/>
      <c r="AJ71" s="70"/>
      <c r="AK71" s="70"/>
      <c r="AL71" s="70"/>
      <c r="AM71" s="70"/>
    </row>
    <row r="72" spans="1:39" x14ac:dyDescent="0.25">
      <c r="A72" s="381">
        <f t="shared" si="0"/>
        <v>58</v>
      </c>
      <c r="B72" s="381" t="s">
        <v>3078</v>
      </c>
      <c r="C72" s="381" t="s">
        <v>3078</v>
      </c>
      <c r="D72" s="381" t="s">
        <v>156</v>
      </c>
      <c r="E72" s="381">
        <v>1.84</v>
      </c>
      <c r="F72" s="381">
        <v>20</v>
      </c>
      <c r="G72" s="381" t="s">
        <v>139</v>
      </c>
      <c r="H72" s="381" t="s">
        <v>3079</v>
      </c>
      <c r="I72" s="381" t="s">
        <v>2059</v>
      </c>
      <c r="J72" s="381">
        <v>17673584</v>
      </c>
      <c r="K72" s="382">
        <v>45106</v>
      </c>
      <c r="L72" s="395">
        <v>17673584</v>
      </c>
      <c r="M72" s="408">
        <v>45141</v>
      </c>
      <c r="N72" s="382"/>
      <c r="O72" s="381"/>
      <c r="P72" s="381"/>
      <c r="Q72" s="381"/>
      <c r="R72" s="782"/>
      <c r="S72" s="382"/>
      <c r="T72" s="381"/>
      <c r="U72" s="381">
        <v>0.75</v>
      </c>
      <c r="V72" s="381"/>
      <c r="W72" s="381"/>
      <c r="Y72" s="97"/>
      <c r="Z72" s="96"/>
      <c r="AB72" s="96"/>
      <c r="AC72" s="96"/>
      <c r="AD72" s="70"/>
      <c r="AE72" s="70"/>
      <c r="AF72" s="70"/>
      <c r="AG72" s="70"/>
      <c r="AH72" s="70"/>
      <c r="AI72" s="70"/>
      <c r="AJ72" s="70"/>
      <c r="AK72" s="70"/>
      <c r="AL72" s="70"/>
      <c r="AM72" s="70"/>
    </row>
    <row r="73" spans="1:39" x14ac:dyDescent="0.25">
      <c r="A73" s="381">
        <f t="shared" si="0"/>
        <v>59</v>
      </c>
      <c r="B73" s="381" t="s">
        <v>3106</v>
      </c>
      <c r="C73" s="381" t="s">
        <v>3107</v>
      </c>
      <c r="D73" s="381" t="s">
        <v>156</v>
      </c>
      <c r="E73" s="381">
        <v>6.95</v>
      </c>
      <c r="F73" s="381">
        <v>20</v>
      </c>
      <c r="G73" s="381" t="s">
        <v>3108</v>
      </c>
      <c r="H73" s="381" t="s">
        <v>3109</v>
      </c>
      <c r="I73" s="381" t="s">
        <v>2059</v>
      </c>
      <c r="J73" s="381">
        <v>11468086</v>
      </c>
      <c r="K73" s="382">
        <v>45107</v>
      </c>
      <c r="L73" s="395"/>
      <c r="M73" s="408"/>
      <c r="N73" s="382"/>
      <c r="O73" s="381"/>
      <c r="P73" s="381"/>
      <c r="Q73" s="381"/>
      <c r="R73" s="782"/>
      <c r="S73" s="382"/>
      <c r="T73" s="381"/>
      <c r="U73" s="381">
        <v>0</v>
      </c>
      <c r="V73" s="381"/>
      <c r="W73" s="381">
        <v>6.95</v>
      </c>
      <c r="Y73" s="97"/>
      <c r="Z73" s="96"/>
      <c r="AB73" s="96"/>
      <c r="AC73" s="96"/>
      <c r="AD73" s="70"/>
      <c r="AE73" s="70"/>
      <c r="AF73" s="70"/>
      <c r="AG73" s="70"/>
      <c r="AH73" s="70"/>
      <c r="AI73" s="70"/>
      <c r="AJ73" s="70"/>
      <c r="AK73" s="70"/>
      <c r="AL73" s="70"/>
      <c r="AM73" s="70"/>
    </row>
    <row r="74" spans="1:39" x14ac:dyDescent="0.25">
      <c r="A74" s="383">
        <f t="shared" si="0"/>
        <v>60</v>
      </c>
      <c r="B74" s="383" t="s">
        <v>3110</v>
      </c>
      <c r="C74" s="383" t="s">
        <v>3111</v>
      </c>
      <c r="D74" s="383" t="s">
        <v>156</v>
      </c>
      <c r="E74" s="383">
        <v>1.1011500000000001</v>
      </c>
      <c r="F74" s="383">
        <v>20</v>
      </c>
      <c r="G74" s="383" t="s">
        <v>3112</v>
      </c>
      <c r="H74" s="383" t="s">
        <v>3113</v>
      </c>
      <c r="I74" s="383" t="s">
        <v>2059</v>
      </c>
      <c r="J74" s="383">
        <v>17570704</v>
      </c>
      <c r="K74" s="384">
        <v>45111</v>
      </c>
      <c r="L74" s="409">
        <v>17570704</v>
      </c>
      <c r="M74" s="410">
        <v>45166</v>
      </c>
      <c r="N74" s="492">
        <v>45218</v>
      </c>
      <c r="O74" s="491"/>
      <c r="P74" s="491"/>
      <c r="Q74" s="491"/>
      <c r="R74" s="785" t="s">
        <v>4166</v>
      </c>
      <c r="S74" s="492">
        <v>45245</v>
      </c>
      <c r="T74" s="491">
        <v>1.1011500000000001</v>
      </c>
      <c r="U74" s="491">
        <v>0</v>
      </c>
      <c r="V74" s="491"/>
      <c r="W74" s="491">
        <v>1.1011500000000001</v>
      </c>
      <c r="Y74" s="97"/>
      <c r="Z74" s="96"/>
      <c r="AB74" s="96"/>
      <c r="AC74" s="96"/>
      <c r="AD74" s="70"/>
      <c r="AE74" s="70"/>
      <c r="AF74" s="70"/>
      <c r="AG74" s="70"/>
      <c r="AH74" s="70"/>
      <c r="AI74" s="70"/>
      <c r="AJ74" s="70"/>
      <c r="AK74" s="70"/>
      <c r="AL74" s="70"/>
      <c r="AM74" s="70"/>
    </row>
    <row r="75" spans="1:39" x14ac:dyDescent="0.25">
      <c r="A75" s="381">
        <f t="shared" si="0"/>
        <v>61</v>
      </c>
      <c r="B75" s="394" t="s">
        <v>3380</v>
      </c>
      <c r="C75" s="394" t="s">
        <v>3380</v>
      </c>
      <c r="D75" s="381" t="s">
        <v>156</v>
      </c>
      <c r="E75" s="381">
        <v>1</v>
      </c>
      <c r="F75" s="381">
        <v>20</v>
      </c>
      <c r="G75" s="381" t="s">
        <v>101</v>
      </c>
      <c r="H75" s="381" t="s">
        <v>3381</v>
      </c>
      <c r="I75" s="381" t="s">
        <v>2059</v>
      </c>
      <c r="J75" s="381">
        <v>17530422</v>
      </c>
      <c r="K75" s="382">
        <v>45119</v>
      </c>
      <c r="L75" s="395"/>
      <c r="M75" s="395"/>
      <c r="N75" s="381"/>
      <c r="O75" s="381"/>
      <c r="P75" s="381"/>
      <c r="Q75" s="381"/>
      <c r="R75" s="782"/>
      <c r="S75" s="382"/>
      <c r="T75" s="381"/>
      <c r="U75" s="381">
        <v>0</v>
      </c>
      <c r="V75" s="381"/>
      <c r="W75" s="381">
        <v>1</v>
      </c>
      <c r="Y75" s="97"/>
      <c r="Z75" s="96"/>
      <c r="AB75" s="96"/>
      <c r="AC75" s="96"/>
      <c r="AD75" s="70"/>
      <c r="AE75" s="70"/>
      <c r="AF75" s="70"/>
      <c r="AG75" s="70"/>
      <c r="AH75" s="70"/>
      <c r="AI75" s="70"/>
      <c r="AJ75" s="70"/>
      <c r="AK75" s="70"/>
      <c r="AL75" s="70"/>
      <c r="AM75" s="70"/>
    </row>
    <row r="76" spans="1:39" x14ac:dyDescent="0.25">
      <c r="A76" s="381">
        <f t="shared" si="0"/>
        <v>62</v>
      </c>
      <c r="B76" s="394" t="s">
        <v>3382</v>
      </c>
      <c r="C76" s="394" t="s">
        <v>3383</v>
      </c>
      <c r="D76" s="381" t="s">
        <v>148</v>
      </c>
      <c r="E76" s="381">
        <v>5.9</v>
      </c>
      <c r="F76" s="381">
        <v>20</v>
      </c>
      <c r="G76" s="381" t="s">
        <v>3384</v>
      </c>
      <c r="H76" s="381"/>
      <c r="I76" s="381" t="s">
        <v>2059</v>
      </c>
      <c r="J76" s="381" t="s">
        <v>3385</v>
      </c>
      <c r="K76" s="382">
        <v>45119</v>
      </c>
      <c r="L76" s="448">
        <v>17531182</v>
      </c>
      <c r="M76" s="449">
        <v>45222</v>
      </c>
      <c r="N76" s="381"/>
      <c r="O76" s="381"/>
      <c r="P76" s="381"/>
      <c r="Q76" s="381"/>
      <c r="R76" s="782"/>
      <c r="S76" s="382"/>
      <c r="T76" s="381"/>
      <c r="U76" s="381">
        <v>5</v>
      </c>
      <c r="V76" s="381"/>
      <c r="W76" s="381">
        <v>0.9</v>
      </c>
      <c r="Y76" s="97"/>
      <c r="Z76" s="96"/>
      <c r="AB76" s="96"/>
      <c r="AC76" s="96"/>
      <c r="AD76" s="70"/>
      <c r="AE76" s="70"/>
      <c r="AF76" s="70"/>
      <c r="AG76" s="70"/>
      <c r="AH76" s="70"/>
      <c r="AI76" s="70"/>
      <c r="AJ76" s="70"/>
      <c r="AK76" s="70"/>
      <c r="AL76" s="70"/>
      <c r="AM76" s="70"/>
    </row>
    <row r="77" spans="1:39" x14ac:dyDescent="0.25">
      <c r="A77" s="381">
        <f t="shared" si="0"/>
        <v>63</v>
      </c>
      <c r="B77" s="394" t="s">
        <v>3386</v>
      </c>
      <c r="C77" s="394" t="s">
        <v>3387</v>
      </c>
      <c r="D77" s="381" t="s">
        <v>156</v>
      </c>
      <c r="E77" s="381">
        <v>6.93</v>
      </c>
      <c r="F77" s="381">
        <v>20</v>
      </c>
      <c r="G77" s="381" t="s">
        <v>101</v>
      </c>
      <c r="H77" s="381" t="s">
        <v>3388</v>
      </c>
      <c r="I77" s="381" t="s">
        <v>2059</v>
      </c>
      <c r="J77" s="381">
        <v>17671710</v>
      </c>
      <c r="K77" s="382">
        <v>45118</v>
      </c>
      <c r="L77" s="395"/>
      <c r="M77" s="395"/>
      <c r="N77" s="381"/>
      <c r="O77" s="381"/>
      <c r="P77" s="381"/>
      <c r="Q77" s="381"/>
      <c r="R77" s="782"/>
      <c r="S77" s="382"/>
      <c r="T77" s="381"/>
      <c r="U77" s="381">
        <v>6.9</v>
      </c>
      <c r="V77" s="381"/>
      <c r="W77" s="381">
        <v>0.03</v>
      </c>
      <c r="Y77" s="97"/>
      <c r="Z77" s="96"/>
      <c r="AB77" s="96"/>
      <c r="AC77" s="96"/>
      <c r="AD77" s="70"/>
      <c r="AE77" s="70"/>
      <c r="AF77" s="70"/>
      <c r="AG77" s="70"/>
      <c r="AH77" s="70"/>
      <c r="AI77" s="70"/>
      <c r="AJ77" s="70"/>
      <c r="AK77" s="70"/>
      <c r="AL77" s="70"/>
      <c r="AM77" s="70"/>
    </row>
    <row r="78" spans="1:39" x14ac:dyDescent="0.25">
      <c r="A78" s="381">
        <f t="shared" si="0"/>
        <v>64</v>
      </c>
      <c r="B78" s="395" t="s">
        <v>3389</v>
      </c>
      <c r="C78" s="395" t="s">
        <v>3390</v>
      </c>
      <c r="D78" s="381" t="s">
        <v>156</v>
      </c>
      <c r="E78" s="381">
        <v>1.08</v>
      </c>
      <c r="F78" s="381">
        <v>20</v>
      </c>
      <c r="G78" s="381" t="s">
        <v>139</v>
      </c>
      <c r="H78" s="381" t="s">
        <v>3391</v>
      </c>
      <c r="I78" s="381" t="s">
        <v>2059</v>
      </c>
      <c r="J78" s="385" t="s">
        <v>3392</v>
      </c>
      <c r="K78" s="382">
        <v>45124</v>
      </c>
      <c r="L78" s="395"/>
      <c r="M78" s="395"/>
      <c r="N78" s="381"/>
      <c r="O78" s="381"/>
      <c r="P78" s="381"/>
      <c r="Q78" s="381"/>
      <c r="R78" s="782"/>
      <c r="S78" s="382"/>
      <c r="T78" s="381"/>
      <c r="U78" s="381">
        <v>0.8</v>
      </c>
      <c r="V78" s="381"/>
      <c r="W78" s="381">
        <v>0.28000000000000003</v>
      </c>
      <c r="Y78" s="97"/>
      <c r="Z78" s="96"/>
      <c r="AB78" s="96"/>
      <c r="AC78" s="96"/>
      <c r="AD78" s="70"/>
      <c r="AE78" s="70"/>
      <c r="AF78" s="70"/>
      <c r="AG78" s="70"/>
      <c r="AH78" s="70"/>
      <c r="AI78" s="70"/>
      <c r="AJ78" s="70"/>
      <c r="AK78" s="70"/>
      <c r="AL78" s="70"/>
      <c r="AM78" s="70"/>
    </row>
    <row r="79" spans="1:39" x14ac:dyDescent="0.25">
      <c r="A79" s="381">
        <f t="shared" si="0"/>
        <v>65</v>
      </c>
      <c r="B79" s="394" t="s">
        <v>3393</v>
      </c>
      <c r="C79" s="394" t="s">
        <v>3394</v>
      </c>
      <c r="D79" s="381" t="s">
        <v>152</v>
      </c>
      <c r="E79" s="381">
        <v>2</v>
      </c>
      <c r="F79" s="381">
        <v>20</v>
      </c>
      <c r="G79" s="381" t="s">
        <v>3395</v>
      </c>
      <c r="H79" s="381" t="s">
        <v>3396</v>
      </c>
      <c r="I79" s="381" t="s">
        <v>2059</v>
      </c>
      <c r="J79" s="385" t="s">
        <v>3397</v>
      </c>
      <c r="K79" s="382">
        <v>45133</v>
      </c>
      <c r="L79" s="395"/>
      <c r="M79" s="395"/>
      <c r="N79" s="381"/>
      <c r="O79" s="381"/>
      <c r="P79" s="381"/>
      <c r="Q79" s="381"/>
      <c r="R79" s="782"/>
      <c r="S79" s="382"/>
      <c r="T79" s="381"/>
      <c r="U79" s="381">
        <v>0</v>
      </c>
      <c r="V79" s="381"/>
      <c r="W79" s="381">
        <v>2</v>
      </c>
      <c r="Y79" s="97"/>
      <c r="Z79" s="96"/>
      <c r="AB79" s="96"/>
      <c r="AC79" s="96"/>
      <c r="AD79" s="70"/>
      <c r="AE79" s="70"/>
      <c r="AF79" s="70"/>
      <c r="AG79" s="70"/>
      <c r="AH79" s="70"/>
      <c r="AI79" s="70"/>
      <c r="AJ79" s="70"/>
      <c r="AK79" s="70"/>
      <c r="AL79" s="70"/>
      <c r="AM79" s="70"/>
    </row>
    <row r="80" spans="1:39" x14ac:dyDescent="0.25">
      <c r="A80" s="383">
        <f t="shared" si="0"/>
        <v>66</v>
      </c>
      <c r="B80" s="398" t="s">
        <v>3074</v>
      </c>
      <c r="C80" s="398" t="s">
        <v>3398</v>
      </c>
      <c r="D80" s="383" t="s">
        <v>156</v>
      </c>
      <c r="E80" s="383">
        <v>1</v>
      </c>
      <c r="F80" s="383">
        <v>20</v>
      </c>
      <c r="G80" s="383" t="s">
        <v>3399</v>
      </c>
      <c r="H80" s="383" t="s">
        <v>3400</v>
      </c>
      <c r="I80" s="383" t="s">
        <v>2059</v>
      </c>
      <c r="J80" s="383">
        <v>17757353</v>
      </c>
      <c r="K80" s="384">
        <v>45133</v>
      </c>
      <c r="L80" s="409">
        <v>17757353</v>
      </c>
      <c r="M80" s="410">
        <v>45169</v>
      </c>
      <c r="N80" s="410">
        <v>45197</v>
      </c>
      <c r="O80" s="383"/>
      <c r="P80" s="383"/>
      <c r="Q80" s="383"/>
      <c r="R80" s="785" t="s">
        <v>3755</v>
      </c>
      <c r="S80" s="492">
        <v>45201</v>
      </c>
      <c r="T80" s="383">
        <v>1</v>
      </c>
      <c r="U80" s="383">
        <v>0</v>
      </c>
      <c r="V80" s="383"/>
      <c r="W80" s="383">
        <v>1</v>
      </c>
      <c r="Y80" s="97"/>
      <c r="Z80" s="96"/>
      <c r="AB80" s="96"/>
      <c r="AC80" s="96"/>
      <c r="AD80" s="70"/>
      <c r="AE80" s="70"/>
      <c r="AF80" s="70"/>
      <c r="AG80" s="70"/>
      <c r="AH80" s="70"/>
      <c r="AI80" s="70"/>
      <c r="AJ80" s="70"/>
      <c r="AK80" s="70"/>
      <c r="AL80" s="70"/>
      <c r="AM80" s="70"/>
    </row>
    <row r="81" spans="1:39" x14ac:dyDescent="0.25">
      <c r="A81" s="381">
        <f t="shared" si="0"/>
        <v>67</v>
      </c>
      <c r="B81" s="394" t="s">
        <v>3476</v>
      </c>
      <c r="C81" s="394" t="s">
        <v>3477</v>
      </c>
      <c r="D81" s="381" t="s">
        <v>156</v>
      </c>
      <c r="E81" s="381">
        <v>1.24</v>
      </c>
      <c r="F81" s="381">
        <v>20</v>
      </c>
      <c r="G81" s="381" t="s">
        <v>101</v>
      </c>
      <c r="H81" s="381" t="s">
        <v>3478</v>
      </c>
      <c r="I81" s="381" t="s">
        <v>2059</v>
      </c>
      <c r="J81" s="381">
        <v>17865918</v>
      </c>
      <c r="K81" s="382">
        <v>45146</v>
      </c>
      <c r="L81" s="395"/>
      <c r="M81" s="395"/>
      <c r="N81" s="381"/>
      <c r="O81" s="381"/>
      <c r="P81" s="381"/>
      <c r="Q81" s="381"/>
      <c r="R81" s="782"/>
      <c r="S81" s="382"/>
      <c r="T81" s="381"/>
      <c r="U81" s="381">
        <v>0.64</v>
      </c>
      <c r="V81" s="381"/>
      <c r="W81" s="381">
        <v>0.6</v>
      </c>
      <c r="Y81" s="97"/>
      <c r="Z81" s="96"/>
      <c r="AB81" s="96"/>
      <c r="AC81" s="96"/>
      <c r="AD81" s="70"/>
      <c r="AE81" s="70"/>
      <c r="AF81" s="70"/>
      <c r="AG81" s="70"/>
      <c r="AH81" s="70"/>
      <c r="AI81" s="70"/>
      <c r="AJ81" s="70"/>
      <c r="AK81" s="70"/>
      <c r="AL81" s="70"/>
      <c r="AM81" s="70"/>
    </row>
    <row r="82" spans="1:39" x14ac:dyDescent="0.25">
      <c r="A82" s="381">
        <f t="shared" si="0"/>
        <v>68</v>
      </c>
      <c r="B82" s="394" t="s">
        <v>3476</v>
      </c>
      <c r="C82" s="394" t="s">
        <v>3477</v>
      </c>
      <c r="D82" s="381" t="s">
        <v>156</v>
      </c>
      <c r="E82" s="381">
        <v>1.1339999999999999</v>
      </c>
      <c r="F82" s="381">
        <v>20</v>
      </c>
      <c r="G82" s="381" t="s">
        <v>3479</v>
      </c>
      <c r="H82" s="381" t="s">
        <v>3478</v>
      </c>
      <c r="I82" s="381" t="s">
        <v>2059</v>
      </c>
      <c r="J82" s="381">
        <v>17866977</v>
      </c>
      <c r="K82" s="382">
        <v>45146</v>
      </c>
      <c r="L82" s="381"/>
      <c r="M82" s="381"/>
      <c r="N82" s="381"/>
      <c r="O82" s="381"/>
      <c r="P82" s="381"/>
      <c r="Q82" s="381"/>
      <c r="R82" s="782"/>
      <c r="S82" s="382"/>
      <c r="T82" s="381"/>
      <c r="U82" s="381">
        <v>0.53400000000000003</v>
      </c>
      <c r="V82" s="381"/>
      <c r="W82" s="381">
        <v>0.6</v>
      </c>
      <c r="Y82" s="97"/>
      <c r="Z82" s="96"/>
      <c r="AB82" s="96"/>
      <c r="AC82" s="96"/>
      <c r="AD82" s="70"/>
      <c r="AE82" s="70"/>
      <c r="AF82" s="70"/>
      <c r="AG82" s="70"/>
      <c r="AH82" s="70"/>
      <c r="AI82" s="70"/>
      <c r="AJ82" s="70"/>
      <c r="AK82" s="70"/>
      <c r="AL82" s="70"/>
      <c r="AM82" s="70"/>
    </row>
    <row r="83" spans="1:39" x14ac:dyDescent="0.25">
      <c r="A83" s="383">
        <f t="shared" si="0"/>
        <v>69</v>
      </c>
      <c r="B83" s="398" t="s">
        <v>3480</v>
      </c>
      <c r="C83" s="398" t="s">
        <v>3481</v>
      </c>
      <c r="D83" s="383" t="s">
        <v>156</v>
      </c>
      <c r="E83" s="383">
        <v>1.7410000000000001</v>
      </c>
      <c r="F83" s="383">
        <v>20</v>
      </c>
      <c r="G83" s="383" t="s">
        <v>117</v>
      </c>
      <c r="H83" s="383" t="s">
        <v>3482</v>
      </c>
      <c r="I83" s="383" t="s">
        <v>2059</v>
      </c>
      <c r="J83" s="383">
        <v>16769197</v>
      </c>
      <c r="K83" s="384">
        <v>44993</v>
      </c>
      <c r="L83" s="383">
        <v>16769197</v>
      </c>
      <c r="M83" s="384">
        <v>45155</v>
      </c>
      <c r="N83" s="383"/>
      <c r="O83" s="383"/>
      <c r="P83" s="383"/>
      <c r="Q83" s="383"/>
      <c r="R83" s="786"/>
      <c r="S83" s="384"/>
      <c r="T83" s="383"/>
      <c r="U83" s="383">
        <v>0</v>
      </c>
      <c r="V83" s="383"/>
      <c r="W83" s="381">
        <v>1.7410000000000001</v>
      </c>
      <c r="Y83" s="97"/>
      <c r="Z83" s="96"/>
      <c r="AB83" s="96"/>
      <c r="AC83" s="96"/>
      <c r="AD83" s="70"/>
      <c r="AE83" s="70"/>
      <c r="AF83" s="70"/>
      <c r="AG83" s="70"/>
      <c r="AH83" s="70"/>
      <c r="AI83" s="70"/>
      <c r="AJ83" s="70"/>
      <c r="AK83" s="70"/>
      <c r="AL83" s="70"/>
      <c r="AM83" s="70"/>
    </row>
    <row r="84" spans="1:39" x14ac:dyDescent="0.25">
      <c r="A84" s="381">
        <f t="shared" si="0"/>
        <v>70</v>
      </c>
      <c r="B84" s="395" t="s">
        <v>3495</v>
      </c>
      <c r="C84" s="395" t="s">
        <v>3496</v>
      </c>
      <c r="D84" s="381" t="s">
        <v>160</v>
      </c>
      <c r="E84" s="381">
        <v>1.0740000000000001</v>
      </c>
      <c r="F84" s="381">
        <v>20</v>
      </c>
      <c r="G84" s="381" t="s">
        <v>2309</v>
      </c>
      <c r="H84" s="381" t="s">
        <v>3497</v>
      </c>
      <c r="I84" s="381" t="s">
        <v>2059</v>
      </c>
      <c r="J84" s="381">
        <v>17934492</v>
      </c>
      <c r="K84" s="382">
        <v>45161</v>
      </c>
      <c r="L84" s="395">
        <v>17934492</v>
      </c>
      <c r="M84" s="408">
        <v>45175</v>
      </c>
      <c r="N84" s="449">
        <v>45204</v>
      </c>
      <c r="O84" s="448"/>
      <c r="P84" s="449"/>
      <c r="Q84" s="381"/>
      <c r="R84" s="784" t="s">
        <v>3754</v>
      </c>
      <c r="S84" s="449">
        <v>45209</v>
      </c>
      <c r="T84" s="448">
        <v>1.0740000000000001</v>
      </c>
      <c r="U84" s="381">
        <v>0</v>
      </c>
      <c r="V84" s="381"/>
      <c r="W84" s="381">
        <v>1.0740000000000001</v>
      </c>
      <c r="Y84" s="97"/>
      <c r="Z84" s="96"/>
      <c r="AB84" s="96"/>
      <c r="AC84" s="96"/>
      <c r="AD84" s="70"/>
      <c r="AE84" s="70"/>
      <c r="AF84" s="70"/>
      <c r="AG84" s="70"/>
      <c r="AH84" s="70"/>
      <c r="AI84" s="70"/>
      <c r="AJ84" s="70"/>
      <c r="AK84" s="70"/>
      <c r="AL84" s="70"/>
      <c r="AM84" s="70"/>
    </row>
    <row r="85" spans="1:39" x14ac:dyDescent="0.25">
      <c r="A85" s="381">
        <f t="shared" si="0"/>
        <v>71</v>
      </c>
      <c r="B85" s="394" t="s">
        <v>3573</v>
      </c>
      <c r="C85" s="394" t="s">
        <v>3574</v>
      </c>
      <c r="D85" s="381" t="s">
        <v>156</v>
      </c>
      <c r="E85" s="381">
        <v>6</v>
      </c>
      <c r="F85" s="381">
        <v>20</v>
      </c>
      <c r="G85" s="381" t="s">
        <v>3108</v>
      </c>
      <c r="H85" s="381" t="s">
        <v>3575</v>
      </c>
      <c r="I85" s="381" t="s">
        <v>2059</v>
      </c>
      <c r="J85" s="381">
        <v>15452577</v>
      </c>
      <c r="K85" s="382">
        <v>45173</v>
      </c>
      <c r="L85" s="381"/>
      <c r="M85" s="381"/>
      <c r="N85" s="381"/>
      <c r="O85" s="381"/>
      <c r="P85" s="381">
        <v>0</v>
      </c>
      <c r="Q85" s="381"/>
      <c r="R85" s="782">
        <v>6</v>
      </c>
      <c r="S85" s="382"/>
      <c r="T85" s="381"/>
      <c r="U85" s="381">
        <v>0</v>
      </c>
      <c r="V85" s="381"/>
      <c r="W85" s="381">
        <v>6</v>
      </c>
      <c r="Y85" s="97"/>
      <c r="Z85" s="96"/>
      <c r="AB85" s="96"/>
      <c r="AC85" s="96"/>
      <c r="AD85" s="70"/>
      <c r="AE85" s="70"/>
      <c r="AF85" s="70"/>
      <c r="AG85" s="70"/>
      <c r="AH85" s="70"/>
      <c r="AI85" s="70"/>
      <c r="AJ85" s="70"/>
      <c r="AK85" s="70"/>
      <c r="AL85" s="70"/>
      <c r="AM85" s="70"/>
    </row>
    <row r="86" spans="1:39" x14ac:dyDescent="0.25">
      <c r="A86" s="381">
        <f t="shared" si="0"/>
        <v>72</v>
      </c>
      <c r="B86" s="394" t="s">
        <v>3476</v>
      </c>
      <c r="C86" s="394" t="s">
        <v>3477</v>
      </c>
      <c r="D86" s="381" t="s">
        <v>156</v>
      </c>
      <c r="E86" s="381">
        <v>1.1339999999999999</v>
      </c>
      <c r="F86" s="381">
        <v>20</v>
      </c>
      <c r="G86" s="381" t="s">
        <v>3479</v>
      </c>
      <c r="H86" s="381" t="s">
        <v>3576</v>
      </c>
      <c r="I86" s="381" t="s">
        <v>2059</v>
      </c>
      <c r="J86" s="381">
        <v>17958824</v>
      </c>
      <c r="K86" s="382">
        <v>45176</v>
      </c>
      <c r="L86" s="381"/>
      <c r="M86" s="381"/>
      <c r="N86" s="381"/>
      <c r="O86" s="381"/>
      <c r="P86" s="381">
        <v>0.53400000000000003</v>
      </c>
      <c r="Q86" s="381"/>
      <c r="R86" s="782">
        <v>0.6</v>
      </c>
      <c r="S86" s="382"/>
      <c r="T86" s="381"/>
      <c r="U86" s="381">
        <v>0.53400000000000003</v>
      </c>
      <c r="V86" s="381"/>
      <c r="W86" s="381">
        <v>0.6</v>
      </c>
      <c r="Y86" s="97"/>
      <c r="Z86" s="96"/>
      <c r="AB86" s="96"/>
      <c r="AC86" s="96"/>
      <c r="AD86" s="70"/>
      <c r="AE86" s="70"/>
      <c r="AF86" s="70"/>
      <c r="AG86" s="70"/>
      <c r="AH86" s="70"/>
      <c r="AI86" s="70"/>
      <c r="AJ86" s="70"/>
      <c r="AK86" s="70"/>
      <c r="AL86" s="70"/>
      <c r="AM86" s="70"/>
    </row>
    <row r="87" spans="1:39" x14ac:dyDescent="0.25">
      <c r="A87" s="381">
        <f t="shared" si="0"/>
        <v>73</v>
      </c>
      <c r="B87" s="394" t="s">
        <v>3476</v>
      </c>
      <c r="C87" s="394" t="s">
        <v>3477</v>
      </c>
      <c r="D87" s="381" t="s">
        <v>156</v>
      </c>
      <c r="E87" s="381">
        <v>1.224</v>
      </c>
      <c r="F87" s="381">
        <v>20</v>
      </c>
      <c r="G87" s="381" t="s">
        <v>101</v>
      </c>
      <c r="H87" s="381" t="s">
        <v>3577</v>
      </c>
      <c r="I87" s="381" t="s">
        <v>2059</v>
      </c>
      <c r="J87" s="381">
        <v>17958711</v>
      </c>
      <c r="K87" s="382">
        <v>45173</v>
      </c>
      <c r="L87" s="381"/>
      <c r="M87" s="381"/>
      <c r="N87" s="381"/>
      <c r="O87" s="381"/>
      <c r="P87" s="381">
        <v>0.624</v>
      </c>
      <c r="Q87" s="381"/>
      <c r="R87" s="782">
        <v>0.6</v>
      </c>
      <c r="S87" s="382"/>
      <c r="T87" s="381"/>
      <c r="U87" s="381">
        <v>0.624</v>
      </c>
      <c r="V87" s="381"/>
      <c r="W87" s="381">
        <v>0.6</v>
      </c>
      <c r="Y87" s="97"/>
      <c r="Z87" s="96"/>
      <c r="AB87" s="96"/>
      <c r="AC87" s="96"/>
      <c r="AD87" s="70"/>
      <c r="AE87" s="70"/>
      <c r="AF87" s="70"/>
      <c r="AG87" s="70"/>
      <c r="AH87" s="70"/>
      <c r="AI87" s="70"/>
      <c r="AJ87" s="70"/>
      <c r="AK87" s="70"/>
      <c r="AL87" s="70"/>
      <c r="AM87" s="70"/>
    </row>
    <row r="88" spans="1:39" x14ac:dyDescent="0.25">
      <c r="A88" s="381">
        <f t="shared" si="0"/>
        <v>74</v>
      </c>
      <c r="B88" s="394" t="s">
        <v>143</v>
      </c>
      <c r="C88" s="394" t="s">
        <v>145</v>
      </c>
      <c r="D88" s="381" t="s">
        <v>156</v>
      </c>
      <c r="E88" s="381">
        <v>1.6</v>
      </c>
      <c r="F88" s="381">
        <v>20</v>
      </c>
      <c r="G88" s="381" t="s">
        <v>139</v>
      </c>
      <c r="H88" s="381" t="s">
        <v>3578</v>
      </c>
      <c r="I88" s="381" t="s">
        <v>2059</v>
      </c>
      <c r="J88" s="381">
        <v>18055573</v>
      </c>
      <c r="K88" s="382">
        <v>45181</v>
      </c>
      <c r="L88" s="381"/>
      <c r="M88" s="381"/>
      <c r="N88" s="381"/>
      <c r="O88" s="381"/>
      <c r="P88" s="381">
        <v>0</v>
      </c>
      <c r="Q88" s="381"/>
      <c r="R88" s="782">
        <v>1.6</v>
      </c>
      <c r="S88" s="382"/>
      <c r="T88" s="381"/>
      <c r="U88" s="381">
        <v>0</v>
      </c>
      <c r="V88" s="381"/>
      <c r="W88" s="381">
        <v>1.6</v>
      </c>
      <c r="Y88" s="97"/>
      <c r="Z88" s="96"/>
      <c r="AB88" s="96"/>
      <c r="AC88" s="96"/>
      <c r="AD88" s="70"/>
      <c r="AE88" s="70"/>
      <c r="AF88" s="70"/>
      <c r="AG88" s="70"/>
      <c r="AH88" s="70"/>
      <c r="AI88" s="70"/>
      <c r="AJ88" s="70"/>
      <c r="AK88" s="70"/>
      <c r="AL88" s="70"/>
      <c r="AM88" s="70"/>
    </row>
    <row r="89" spans="1:39" x14ac:dyDescent="0.25">
      <c r="A89" s="383">
        <f t="shared" si="0"/>
        <v>75</v>
      </c>
      <c r="B89" s="398" t="s">
        <v>3678</v>
      </c>
      <c r="C89" s="398" t="s">
        <v>3679</v>
      </c>
      <c r="D89" s="383" t="s">
        <v>156</v>
      </c>
      <c r="E89" s="383">
        <v>2.214</v>
      </c>
      <c r="F89" s="383">
        <v>20</v>
      </c>
      <c r="G89" s="383" t="s">
        <v>117</v>
      </c>
      <c r="H89" s="383" t="s">
        <v>3680</v>
      </c>
      <c r="I89" s="383" t="s">
        <v>2059</v>
      </c>
      <c r="J89" s="383">
        <v>15785424</v>
      </c>
      <c r="K89" s="384">
        <v>45190</v>
      </c>
      <c r="L89" s="383"/>
      <c r="M89" s="383"/>
      <c r="N89" s="383"/>
      <c r="O89" s="383"/>
      <c r="P89" s="383"/>
      <c r="Q89" s="383"/>
      <c r="R89" s="786"/>
      <c r="S89" s="384"/>
      <c r="T89" s="381"/>
      <c r="U89" s="383"/>
      <c r="V89" s="383"/>
      <c r="W89" s="383">
        <v>2.214</v>
      </c>
      <c r="Y89" s="97"/>
      <c r="Z89" s="96"/>
      <c r="AB89" s="96"/>
      <c r="AC89" s="96"/>
      <c r="AD89" s="70"/>
      <c r="AE89" s="70"/>
      <c r="AF89" s="70"/>
      <c r="AG89" s="70"/>
      <c r="AH89" s="70"/>
      <c r="AI89" s="70"/>
      <c r="AJ89" s="70"/>
      <c r="AK89" s="70"/>
      <c r="AL89" s="70"/>
      <c r="AM89" s="70"/>
    </row>
    <row r="90" spans="1:39" x14ac:dyDescent="0.25">
      <c r="A90" s="381">
        <f t="shared" si="0"/>
        <v>76</v>
      </c>
      <c r="B90" s="495" t="s">
        <v>3750</v>
      </c>
      <c r="C90" s="495" t="s">
        <v>3751</v>
      </c>
      <c r="D90" s="381" t="s">
        <v>152</v>
      </c>
      <c r="E90" s="381">
        <v>1.5315399999999999</v>
      </c>
      <c r="F90" s="381">
        <v>20</v>
      </c>
      <c r="G90" s="381" t="s">
        <v>279</v>
      </c>
      <c r="H90" s="381" t="s">
        <v>3752</v>
      </c>
      <c r="I90" s="381" t="s">
        <v>2059</v>
      </c>
      <c r="J90" s="381">
        <v>18167318</v>
      </c>
      <c r="K90" s="382">
        <v>45204</v>
      </c>
      <c r="L90" s="381"/>
      <c r="M90" s="381"/>
      <c r="N90" s="381"/>
      <c r="O90" s="381"/>
      <c r="P90" s="381"/>
      <c r="Q90" s="381"/>
      <c r="R90" s="782">
        <v>0</v>
      </c>
      <c r="S90" s="382"/>
      <c r="T90" s="381"/>
      <c r="U90" s="381">
        <v>1.5315399999999999</v>
      </c>
      <c r="V90" s="381"/>
      <c r="W90" s="381">
        <v>1.5315399999999999</v>
      </c>
      <c r="X90" s="264"/>
      <c r="Y90" s="97"/>
      <c r="Z90" s="96"/>
      <c r="AB90" s="96"/>
      <c r="AC90" s="96"/>
      <c r="AD90" s="70"/>
      <c r="AE90" s="70"/>
      <c r="AF90" s="70"/>
      <c r="AG90" s="70"/>
      <c r="AH90" s="70"/>
      <c r="AI90" s="70"/>
      <c r="AJ90" s="70"/>
      <c r="AK90" s="70"/>
      <c r="AL90" s="70"/>
      <c r="AM90" s="70"/>
    </row>
    <row r="91" spans="1:39" x14ac:dyDescent="0.25">
      <c r="A91" s="381">
        <f t="shared" si="0"/>
        <v>77</v>
      </c>
      <c r="B91" s="496" t="s">
        <v>103</v>
      </c>
      <c r="C91" s="496" t="s">
        <v>104</v>
      </c>
      <c r="D91" s="381" t="s">
        <v>156</v>
      </c>
      <c r="E91" s="447">
        <v>1.3</v>
      </c>
      <c r="F91" s="381">
        <v>20</v>
      </c>
      <c r="G91" s="381" t="s">
        <v>101</v>
      </c>
      <c r="H91" s="490" t="s">
        <v>3753</v>
      </c>
      <c r="I91" s="381" t="s">
        <v>2059</v>
      </c>
      <c r="J91" s="381">
        <v>6965103</v>
      </c>
      <c r="K91" s="382">
        <v>44305</v>
      </c>
      <c r="L91" s="381">
        <v>6965103</v>
      </c>
      <c r="M91" s="382">
        <v>44656</v>
      </c>
      <c r="N91" s="382">
        <v>45217</v>
      </c>
      <c r="O91" s="447"/>
      <c r="P91" s="381"/>
      <c r="Q91" s="381"/>
      <c r="R91" s="782">
        <v>0</v>
      </c>
      <c r="S91" s="382"/>
      <c r="T91" s="381"/>
      <c r="U91" s="381"/>
      <c r="V91" s="381"/>
      <c r="W91" s="381"/>
      <c r="X91" s="264"/>
      <c r="Y91" s="97"/>
      <c r="Z91" s="96"/>
      <c r="AB91" s="96"/>
      <c r="AC91" s="96"/>
      <c r="AD91" s="70"/>
      <c r="AE91" s="70"/>
      <c r="AF91" s="70"/>
      <c r="AG91" s="70"/>
      <c r="AH91" s="70"/>
      <c r="AI91" s="70"/>
      <c r="AJ91" s="70"/>
      <c r="AK91" s="70"/>
      <c r="AL91" s="70"/>
      <c r="AM91" s="70"/>
    </row>
    <row r="92" spans="1:39" x14ac:dyDescent="0.25">
      <c r="A92" s="381">
        <f t="shared" si="0"/>
        <v>78</v>
      </c>
      <c r="B92" s="495" t="s">
        <v>3078</v>
      </c>
      <c r="C92" s="495" t="s">
        <v>3078</v>
      </c>
      <c r="D92" s="381" t="s">
        <v>156</v>
      </c>
      <c r="E92" s="381">
        <v>1.84</v>
      </c>
      <c r="F92" s="381">
        <v>20</v>
      </c>
      <c r="G92" s="381" t="s">
        <v>139</v>
      </c>
      <c r="H92" s="381" t="s">
        <v>3079</v>
      </c>
      <c r="I92" s="381" t="s">
        <v>2059</v>
      </c>
      <c r="J92" s="381">
        <v>17673584</v>
      </c>
      <c r="K92" s="382">
        <v>45106</v>
      </c>
      <c r="L92" s="381">
        <v>17673584</v>
      </c>
      <c r="M92" s="382">
        <v>45141</v>
      </c>
      <c r="N92" s="382">
        <v>45208</v>
      </c>
      <c r="O92" s="381"/>
      <c r="P92" s="381"/>
      <c r="Q92" s="381"/>
      <c r="R92" s="782">
        <v>0.75</v>
      </c>
      <c r="S92" s="382"/>
      <c r="T92" s="381"/>
      <c r="U92" s="381">
        <v>1.0900000000000001</v>
      </c>
      <c r="V92" s="381"/>
      <c r="W92" s="381">
        <v>1.0900000000000001</v>
      </c>
      <c r="X92" s="264"/>
      <c r="Y92" s="97"/>
      <c r="Z92" s="96"/>
      <c r="AB92" s="96"/>
      <c r="AC92" s="96"/>
      <c r="AD92" s="70"/>
      <c r="AE92" s="70"/>
      <c r="AF92" s="70"/>
      <c r="AG92" s="70"/>
      <c r="AH92" s="70"/>
      <c r="AI92" s="70"/>
      <c r="AJ92" s="70"/>
      <c r="AK92" s="70"/>
      <c r="AL92" s="70"/>
      <c r="AM92" s="70"/>
    </row>
    <row r="93" spans="1:39" x14ac:dyDescent="0.25">
      <c r="A93" s="381">
        <f t="shared" si="0"/>
        <v>79</v>
      </c>
      <c r="B93" s="394" t="s">
        <v>3750</v>
      </c>
      <c r="C93" s="495" t="s">
        <v>3831</v>
      </c>
      <c r="D93" s="381" t="s">
        <v>152</v>
      </c>
      <c r="E93" s="381">
        <v>2</v>
      </c>
      <c r="F93" s="381">
        <v>20</v>
      </c>
      <c r="G93" s="381" t="s">
        <v>3832</v>
      </c>
      <c r="H93" s="381" t="s">
        <v>3833</v>
      </c>
      <c r="I93" s="381" t="s">
        <v>2059</v>
      </c>
      <c r="J93" s="381">
        <v>18444871</v>
      </c>
      <c r="K93" s="382">
        <v>45222</v>
      </c>
      <c r="L93" s="381">
        <v>18444871</v>
      </c>
      <c r="M93" s="382">
        <v>45224</v>
      </c>
      <c r="N93" s="382"/>
      <c r="O93" s="381"/>
      <c r="P93" s="381"/>
      <c r="Q93" s="381"/>
      <c r="R93" s="782"/>
      <c r="S93" s="382"/>
      <c r="T93" s="381"/>
      <c r="U93" s="381"/>
      <c r="V93" s="381">
        <v>0</v>
      </c>
      <c r="W93" s="381">
        <v>2</v>
      </c>
      <c r="Y93" s="97"/>
      <c r="Z93" s="96"/>
      <c r="AB93" s="96"/>
      <c r="AC93" s="96"/>
      <c r="AD93" s="70"/>
      <c r="AE93" s="70"/>
      <c r="AF93" s="70"/>
      <c r="AG93" s="70"/>
      <c r="AH93" s="70"/>
      <c r="AI93" s="70"/>
      <c r="AJ93" s="70"/>
      <c r="AK93" s="70"/>
      <c r="AL93" s="70"/>
      <c r="AM93" s="70"/>
    </row>
    <row r="94" spans="1:39" x14ac:dyDescent="0.25">
      <c r="A94" s="381">
        <f t="shared" si="0"/>
        <v>80</v>
      </c>
      <c r="B94" s="394" t="s">
        <v>3834</v>
      </c>
      <c r="C94" s="495" t="s">
        <v>3835</v>
      </c>
      <c r="D94" s="381" t="s">
        <v>156</v>
      </c>
      <c r="E94" s="381">
        <v>1.7310000000000001</v>
      </c>
      <c r="F94" s="381">
        <v>20</v>
      </c>
      <c r="G94" s="381" t="s">
        <v>101</v>
      </c>
      <c r="H94" s="381" t="s">
        <v>3836</v>
      </c>
      <c r="I94" s="381" t="s">
        <v>2059</v>
      </c>
      <c r="J94" s="381">
        <v>18257230</v>
      </c>
      <c r="K94" s="382">
        <v>45223</v>
      </c>
      <c r="L94" s="381"/>
      <c r="M94" s="381"/>
      <c r="N94" s="382"/>
      <c r="O94" s="381"/>
      <c r="P94" s="381"/>
      <c r="Q94" s="381"/>
      <c r="R94" s="782"/>
      <c r="S94" s="382"/>
      <c r="T94" s="381"/>
      <c r="U94" s="381"/>
      <c r="V94" s="381">
        <v>0.8</v>
      </c>
      <c r="W94" s="381">
        <v>0.93100000000000005</v>
      </c>
      <c r="Y94" s="97"/>
      <c r="Z94" s="96"/>
      <c r="AB94" s="96"/>
      <c r="AC94" s="96"/>
      <c r="AD94" s="70"/>
      <c r="AE94" s="70"/>
      <c r="AF94" s="70"/>
      <c r="AG94" s="70"/>
      <c r="AH94" s="70"/>
      <c r="AI94" s="70"/>
      <c r="AJ94" s="70"/>
      <c r="AK94" s="70"/>
      <c r="AL94" s="70"/>
      <c r="AM94" s="70"/>
    </row>
    <row r="95" spans="1:39" x14ac:dyDescent="0.25">
      <c r="A95" s="381">
        <f t="shared" si="0"/>
        <v>81</v>
      </c>
      <c r="B95" s="394" t="s">
        <v>3837</v>
      </c>
      <c r="C95" s="495" t="s">
        <v>824</v>
      </c>
      <c r="D95" s="381" t="s">
        <v>156</v>
      </c>
      <c r="E95" s="381">
        <v>1.6</v>
      </c>
      <c r="F95" s="381">
        <v>20</v>
      </c>
      <c r="G95" s="381" t="s">
        <v>139</v>
      </c>
      <c r="H95" s="381" t="s">
        <v>3838</v>
      </c>
      <c r="I95" s="381" t="s">
        <v>2059</v>
      </c>
      <c r="J95" s="381">
        <v>18054578</v>
      </c>
      <c r="K95" s="382">
        <v>45233</v>
      </c>
      <c r="L95" s="381"/>
      <c r="M95" s="381"/>
      <c r="N95" s="382"/>
      <c r="O95" s="381"/>
      <c r="P95" s="381"/>
      <c r="Q95" s="381"/>
      <c r="R95" s="782"/>
      <c r="S95" s="382"/>
      <c r="T95" s="381"/>
      <c r="U95" s="381"/>
      <c r="V95" s="381">
        <v>0</v>
      </c>
      <c r="W95" s="381">
        <v>1.6</v>
      </c>
      <c r="Y95" s="97"/>
      <c r="Z95" s="96"/>
      <c r="AB95" s="96"/>
      <c r="AC95" s="96"/>
      <c r="AD95" s="70"/>
      <c r="AE95" s="70"/>
      <c r="AF95" s="70"/>
      <c r="AG95" s="70"/>
      <c r="AH95" s="70"/>
      <c r="AI95" s="70"/>
      <c r="AJ95" s="70"/>
      <c r="AK95" s="70"/>
      <c r="AL95" s="70"/>
      <c r="AM95" s="70"/>
    </row>
    <row r="96" spans="1:39" x14ac:dyDescent="0.25">
      <c r="A96" s="381">
        <f t="shared" si="0"/>
        <v>82</v>
      </c>
      <c r="B96" s="394" t="s">
        <v>3839</v>
      </c>
      <c r="C96" s="495" t="s">
        <v>3840</v>
      </c>
      <c r="D96" s="381" t="s">
        <v>160</v>
      </c>
      <c r="E96" s="381">
        <v>4.4000000000000004</v>
      </c>
      <c r="F96" s="381">
        <v>20</v>
      </c>
      <c r="G96" s="381" t="s">
        <v>3841</v>
      </c>
      <c r="H96" s="381" t="s">
        <v>3842</v>
      </c>
      <c r="I96" s="381" t="s">
        <v>2059</v>
      </c>
      <c r="J96" s="381">
        <v>18246067</v>
      </c>
      <c r="K96" s="382">
        <v>45232</v>
      </c>
      <c r="L96" s="381"/>
      <c r="M96" s="381"/>
      <c r="N96" s="382"/>
      <c r="O96" s="381"/>
      <c r="P96" s="381"/>
      <c r="Q96" s="381"/>
      <c r="R96" s="782"/>
      <c r="S96" s="382"/>
      <c r="T96" s="381"/>
      <c r="U96" s="381"/>
      <c r="V96" s="381">
        <v>0</v>
      </c>
      <c r="W96" s="381">
        <v>4.4000000000000004</v>
      </c>
      <c r="Y96" s="97"/>
      <c r="Z96" s="96"/>
      <c r="AB96" s="96"/>
      <c r="AC96" s="96"/>
      <c r="AD96" s="70"/>
      <c r="AE96" s="70"/>
      <c r="AF96" s="70"/>
      <c r="AG96" s="70"/>
      <c r="AH96" s="70"/>
      <c r="AI96" s="70"/>
      <c r="AJ96" s="70"/>
      <c r="AK96" s="70"/>
      <c r="AL96" s="70"/>
      <c r="AM96" s="70"/>
    </row>
    <row r="97" spans="1:39" x14ac:dyDescent="0.25">
      <c r="A97" s="381">
        <f t="shared" si="0"/>
        <v>83</v>
      </c>
      <c r="B97" s="394" t="s">
        <v>3974</v>
      </c>
      <c r="C97" s="495" t="s">
        <v>3477</v>
      </c>
      <c r="D97" s="381" t="s">
        <v>160</v>
      </c>
      <c r="E97" s="381">
        <v>1.0944</v>
      </c>
      <c r="F97" s="381">
        <v>20</v>
      </c>
      <c r="G97" s="381" t="s">
        <v>3975</v>
      </c>
      <c r="H97" s="381" t="s">
        <v>116</v>
      </c>
      <c r="I97" s="381" t="s">
        <v>2059</v>
      </c>
      <c r="J97" s="381">
        <v>18505775</v>
      </c>
      <c r="K97" s="382">
        <v>45243</v>
      </c>
      <c r="L97" s="381"/>
      <c r="M97" s="381"/>
      <c r="N97" s="381"/>
      <c r="O97" s="381"/>
      <c r="P97" s="381"/>
      <c r="Q97" s="381"/>
      <c r="R97" s="782"/>
      <c r="S97" s="382"/>
      <c r="T97" s="381"/>
      <c r="U97" s="381"/>
      <c r="V97" s="381">
        <v>0.49440000000000001</v>
      </c>
      <c r="W97" s="381">
        <v>0.6</v>
      </c>
      <c r="Y97" s="97"/>
      <c r="Z97" s="96"/>
      <c r="AB97" s="96"/>
      <c r="AC97" s="96"/>
      <c r="AD97" s="70"/>
      <c r="AE97" s="70"/>
      <c r="AF97" s="70"/>
      <c r="AG97" s="70"/>
      <c r="AH97" s="70"/>
      <c r="AI97" s="70"/>
      <c r="AJ97" s="70"/>
      <c r="AK97" s="70"/>
      <c r="AL97" s="70"/>
      <c r="AM97" s="70"/>
    </row>
    <row r="98" spans="1:39" x14ac:dyDescent="0.25">
      <c r="A98" s="381">
        <f t="shared" si="0"/>
        <v>84</v>
      </c>
      <c r="B98" s="394" t="s">
        <v>3974</v>
      </c>
      <c r="C98" s="495" t="s">
        <v>3477</v>
      </c>
      <c r="D98" s="381" t="s">
        <v>160</v>
      </c>
      <c r="E98" s="381">
        <v>1.103</v>
      </c>
      <c r="F98" s="381">
        <v>20</v>
      </c>
      <c r="G98" s="381" t="s">
        <v>3975</v>
      </c>
      <c r="H98" s="381" t="s">
        <v>116</v>
      </c>
      <c r="I98" s="381" t="s">
        <v>2059</v>
      </c>
      <c r="J98" s="381">
        <v>18564665</v>
      </c>
      <c r="K98" s="382">
        <v>45243</v>
      </c>
      <c r="L98" s="381"/>
      <c r="M98" s="381"/>
      <c r="N98" s="381"/>
      <c r="O98" s="381"/>
      <c r="P98" s="381"/>
      <c r="Q98" s="381"/>
      <c r="R98" s="782"/>
      <c r="S98" s="382"/>
      <c r="T98" s="381"/>
      <c r="U98" s="381"/>
      <c r="V98" s="381">
        <v>0.503</v>
      </c>
      <c r="W98" s="381">
        <v>0.6</v>
      </c>
      <c r="Y98" s="97"/>
      <c r="Z98" s="96"/>
      <c r="AB98" s="96"/>
      <c r="AC98" s="96"/>
      <c r="AD98" s="70"/>
      <c r="AE98" s="70"/>
      <c r="AF98" s="70"/>
      <c r="AG98" s="70"/>
      <c r="AH98" s="70"/>
      <c r="AI98" s="70"/>
      <c r="AJ98" s="70"/>
      <c r="AK98" s="70"/>
      <c r="AL98" s="70"/>
      <c r="AM98" s="70"/>
    </row>
    <row r="99" spans="1:39" x14ac:dyDescent="0.25">
      <c r="A99" s="381">
        <f t="shared" si="0"/>
        <v>85</v>
      </c>
      <c r="B99" s="394" t="s">
        <v>2218</v>
      </c>
      <c r="C99" s="495" t="s">
        <v>2219</v>
      </c>
      <c r="D99" s="381" t="s">
        <v>156</v>
      </c>
      <c r="E99" s="381">
        <v>4</v>
      </c>
      <c r="F99" s="381">
        <v>20</v>
      </c>
      <c r="G99" s="381" t="s">
        <v>3399</v>
      </c>
      <c r="H99" s="381" t="s">
        <v>116</v>
      </c>
      <c r="I99" s="381" t="s">
        <v>2059</v>
      </c>
      <c r="J99" s="381">
        <v>18690939</v>
      </c>
      <c r="K99" s="382">
        <v>45254</v>
      </c>
      <c r="L99" s="381"/>
      <c r="M99" s="381"/>
      <c r="N99" s="381"/>
      <c r="O99" s="381"/>
      <c r="P99" s="381"/>
      <c r="Q99" s="381"/>
      <c r="R99" s="782"/>
      <c r="S99" s="382"/>
      <c r="T99" s="381"/>
      <c r="U99" s="381"/>
      <c r="V99" s="381">
        <v>3.8199999999999998E-2</v>
      </c>
      <c r="W99" s="381">
        <v>3.9618000000000002</v>
      </c>
      <c r="Y99" s="97"/>
      <c r="Z99" s="96"/>
      <c r="AB99" s="96"/>
      <c r="AC99" s="96"/>
      <c r="AD99" s="70"/>
      <c r="AE99" s="70"/>
      <c r="AF99" s="70"/>
      <c r="AG99" s="70"/>
      <c r="AH99" s="70"/>
      <c r="AI99" s="70"/>
      <c r="AJ99" s="70"/>
      <c r="AK99" s="70"/>
      <c r="AL99" s="70"/>
      <c r="AM99" s="70"/>
    </row>
    <row r="100" spans="1:39" x14ac:dyDescent="0.25">
      <c r="A100" s="381">
        <f t="shared" si="0"/>
        <v>86</v>
      </c>
      <c r="B100" s="394" t="s">
        <v>3976</v>
      </c>
      <c r="C100" s="495" t="s">
        <v>3977</v>
      </c>
      <c r="D100" s="381" t="s">
        <v>152</v>
      </c>
      <c r="E100" s="381">
        <v>1.28</v>
      </c>
      <c r="F100" s="381">
        <v>20</v>
      </c>
      <c r="G100" s="381" t="s">
        <v>3395</v>
      </c>
      <c r="H100" s="381" t="s">
        <v>3978</v>
      </c>
      <c r="I100" s="381" t="s">
        <v>2059</v>
      </c>
      <c r="J100" s="381">
        <v>18542824</v>
      </c>
      <c r="K100" s="382">
        <v>45247</v>
      </c>
      <c r="L100" s="381"/>
      <c r="M100" s="381"/>
      <c r="N100" s="381"/>
      <c r="O100" s="381"/>
      <c r="P100" s="381"/>
      <c r="Q100" s="381"/>
      <c r="R100" s="782"/>
      <c r="S100" s="382"/>
      <c r="T100" s="381"/>
      <c r="U100" s="381"/>
      <c r="V100" s="381">
        <v>0</v>
      </c>
      <c r="W100" s="381">
        <v>1.28</v>
      </c>
      <c r="Y100" s="97"/>
      <c r="Z100" s="96"/>
      <c r="AB100" s="96"/>
      <c r="AC100" s="96"/>
      <c r="AD100" s="70"/>
      <c r="AE100" s="70"/>
      <c r="AF100" s="70"/>
      <c r="AG100" s="70"/>
      <c r="AH100" s="70"/>
      <c r="AI100" s="70"/>
      <c r="AJ100" s="70"/>
      <c r="AK100" s="70"/>
      <c r="AL100" s="70"/>
      <c r="AM100" s="70"/>
    </row>
    <row r="101" spans="1:39" x14ac:dyDescent="0.25">
      <c r="A101" s="381">
        <f t="shared" si="0"/>
        <v>87</v>
      </c>
      <c r="B101" s="394" t="s">
        <v>4167</v>
      </c>
      <c r="C101" s="495" t="s">
        <v>4168</v>
      </c>
      <c r="D101" s="381" t="s">
        <v>156</v>
      </c>
      <c r="E101" s="381">
        <v>2.4</v>
      </c>
      <c r="F101" s="381">
        <v>20</v>
      </c>
      <c r="G101" s="381" t="s">
        <v>117</v>
      </c>
      <c r="H101" s="381" t="s">
        <v>4169</v>
      </c>
      <c r="I101" s="381" t="s">
        <v>2059</v>
      </c>
      <c r="J101" s="381">
        <v>18619004</v>
      </c>
      <c r="K101" s="382">
        <v>45257</v>
      </c>
      <c r="L101" s="381"/>
      <c r="M101" s="381"/>
      <c r="N101" s="381"/>
      <c r="O101" s="381"/>
      <c r="P101" s="381"/>
      <c r="Q101" s="381"/>
      <c r="R101" s="782"/>
      <c r="S101" s="382"/>
      <c r="T101" s="381"/>
      <c r="U101" s="381"/>
      <c r="V101" s="381">
        <v>0</v>
      </c>
      <c r="W101" s="381">
        <v>2.4</v>
      </c>
      <c r="Y101" s="97"/>
      <c r="Z101" s="96"/>
      <c r="AB101" s="96"/>
      <c r="AC101" s="96"/>
      <c r="AD101" s="70"/>
      <c r="AE101" s="70"/>
      <c r="AF101" s="70"/>
      <c r="AG101" s="70"/>
      <c r="AH101" s="70"/>
      <c r="AI101" s="70"/>
      <c r="AJ101" s="70"/>
      <c r="AK101" s="70"/>
      <c r="AL101" s="70"/>
      <c r="AM101" s="70"/>
    </row>
    <row r="102" spans="1:39" x14ac:dyDescent="0.25">
      <c r="A102" s="381">
        <f t="shared" si="0"/>
        <v>88</v>
      </c>
      <c r="B102" s="394" t="s">
        <v>1215</v>
      </c>
      <c r="C102" s="495" t="s">
        <v>4170</v>
      </c>
      <c r="D102" s="381" t="s">
        <v>156</v>
      </c>
      <c r="E102" s="381">
        <v>1.0089999999999999</v>
      </c>
      <c r="F102" s="381">
        <v>20</v>
      </c>
      <c r="G102" s="381" t="s">
        <v>142</v>
      </c>
      <c r="H102" s="381" t="s">
        <v>4171</v>
      </c>
      <c r="I102" s="381" t="s">
        <v>2059</v>
      </c>
      <c r="J102" s="381">
        <v>13930686</v>
      </c>
      <c r="K102" s="382">
        <v>45275</v>
      </c>
      <c r="L102" s="381"/>
      <c r="M102" s="381"/>
      <c r="N102" s="381"/>
      <c r="O102" s="381"/>
      <c r="P102" s="381"/>
      <c r="Q102" s="381"/>
      <c r="R102" s="782"/>
      <c r="S102" s="382"/>
      <c r="T102" s="381"/>
      <c r="U102" s="381"/>
      <c r="V102" s="381">
        <v>0</v>
      </c>
      <c r="W102" s="381">
        <v>1.0089999999999999</v>
      </c>
      <c r="Y102" s="97"/>
      <c r="Z102" s="96"/>
      <c r="AB102" s="96"/>
      <c r="AC102" s="96"/>
      <c r="AD102" s="70"/>
      <c r="AE102" s="70"/>
      <c r="AF102" s="70"/>
      <c r="AG102" s="70"/>
      <c r="AH102" s="70"/>
      <c r="AI102" s="70"/>
      <c r="AJ102" s="70"/>
      <c r="AK102" s="70"/>
      <c r="AL102" s="70"/>
      <c r="AM102" s="70"/>
    </row>
    <row r="103" spans="1:39" x14ac:dyDescent="0.25">
      <c r="A103" s="381">
        <f t="shared" si="0"/>
        <v>89</v>
      </c>
      <c r="B103" s="395" t="s">
        <v>4172</v>
      </c>
      <c r="C103" s="495" t="s">
        <v>4173</v>
      </c>
      <c r="D103" s="381" t="s">
        <v>160</v>
      </c>
      <c r="E103" s="381">
        <v>2.1840000000000002</v>
      </c>
      <c r="F103" s="381">
        <v>20</v>
      </c>
      <c r="G103" s="381" t="s">
        <v>2309</v>
      </c>
      <c r="H103" s="381" t="s">
        <v>4174</v>
      </c>
      <c r="I103" s="381" t="s">
        <v>2059</v>
      </c>
      <c r="J103" s="381">
        <v>18892576</v>
      </c>
      <c r="K103" s="382">
        <v>45278</v>
      </c>
      <c r="L103" s="381">
        <v>18892576</v>
      </c>
      <c r="M103" s="382">
        <v>45296</v>
      </c>
      <c r="N103" s="381"/>
      <c r="O103" s="381"/>
      <c r="P103" s="381"/>
      <c r="Q103" s="381"/>
      <c r="R103" s="782"/>
      <c r="S103" s="382"/>
      <c r="T103" s="381"/>
      <c r="U103" s="381"/>
      <c r="V103" s="381">
        <v>0</v>
      </c>
      <c r="W103" s="381">
        <v>2.1840000000000002</v>
      </c>
      <c r="Y103" s="97"/>
      <c r="Z103" s="96"/>
      <c r="AB103" s="96"/>
      <c r="AC103" s="96"/>
      <c r="AD103" s="70"/>
      <c r="AE103" s="70"/>
      <c r="AF103" s="70"/>
      <c r="AG103" s="70"/>
      <c r="AH103" s="70"/>
      <c r="AI103" s="70"/>
      <c r="AJ103" s="70"/>
      <c r="AK103" s="70"/>
      <c r="AL103" s="70"/>
      <c r="AM103" s="70"/>
    </row>
    <row r="104" spans="1:39" x14ac:dyDescent="0.25">
      <c r="A104" s="381">
        <f t="shared" si="0"/>
        <v>90</v>
      </c>
      <c r="B104" s="394" t="s">
        <v>4175</v>
      </c>
      <c r="C104" s="495" t="s">
        <v>1384</v>
      </c>
      <c r="D104" s="381" t="s">
        <v>160</v>
      </c>
      <c r="E104" s="381">
        <v>1</v>
      </c>
      <c r="F104" s="381">
        <v>20</v>
      </c>
      <c r="G104" s="381" t="s">
        <v>4176</v>
      </c>
      <c r="H104" s="381" t="s">
        <v>4177</v>
      </c>
      <c r="I104" s="381" t="s">
        <v>2059</v>
      </c>
      <c r="J104" s="381">
        <v>18799655</v>
      </c>
      <c r="K104" s="382">
        <v>45288</v>
      </c>
      <c r="L104" s="381"/>
      <c r="M104" s="381"/>
      <c r="N104" s="381"/>
      <c r="O104" s="381"/>
      <c r="P104" s="381"/>
      <c r="Q104" s="381"/>
      <c r="R104" s="782"/>
      <c r="S104" s="382"/>
      <c r="T104" s="381"/>
      <c r="U104" s="381"/>
      <c r="V104" s="381">
        <v>9.0999999999999998E-2</v>
      </c>
      <c r="W104" s="381">
        <v>0.90900000000000003</v>
      </c>
      <c r="Y104" s="97"/>
      <c r="Z104" s="96"/>
      <c r="AB104" s="96"/>
      <c r="AC104" s="96"/>
      <c r="AD104" s="70"/>
      <c r="AE104" s="70"/>
      <c r="AF104" s="70"/>
      <c r="AG104" s="70"/>
      <c r="AH104" s="70"/>
      <c r="AI104" s="70"/>
      <c r="AJ104" s="70"/>
      <c r="AK104" s="70"/>
      <c r="AL104" s="70"/>
      <c r="AM104" s="70"/>
    </row>
    <row r="105" spans="1:39" x14ac:dyDescent="0.25">
      <c r="A105" s="381">
        <f t="shared" si="0"/>
        <v>91</v>
      </c>
      <c r="B105" s="394" t="s">
        <v>4515</v>
      </c>
      <c r="C105" s="495" t="s">
        <v>4516</v>
      </c>
      <c r="D105" s="381" t="s">
        <v>156</v>
      </c>
      <c r="E105" s="381">
        <v>2.7490000000000001</v>
      </c>
      <c r="F105" s="381">
        <v>20</v>
      </c>
      <c r="G105" s="381" t="s">
        <v>3399</v>
      </c>
      <c r="H105" s="381" t="s">
        <v>4517</v>
      </c>
      <c r="I105" s="381" t="s">
        <v>4518</v>
      </c>
      <c r="J105" s="381">
        <v>18537518</v>
      </c>
      <c r="K105" s="382">
        <v>45299</v>
      </c>
      <c r="L105" s="382"/>
      <c r="M105" s="381"/>
      <c r="N105" s="381"/>
      <c r="O105" s="381"/>
      <c r="P105" s="381"/>
      <c r="Q105" s="381"/>
      <c r="R105" s="782"/>
      <c r="S105" s="382"/>
      <c r="T105" s="381"/>
      <c r="U105" s="381"/>
      <c r="V105" s="381">
        <v>1.1499999999999999</v>
      </c>
      <c r="W105" s="381">
        <v>1.599</v>
      </c>
      <c r="Y105" s="97"/>
      <c r="Z105" s="96"/>
      <c r="AB105" s="96"/>
      <c r="AC105" s="96"/>
      <c r="AD105" s="70"/>
      <c r="AE105" s="70"/>
      <c r="AF105" s="70"/>
      <c r="AG105" s="70"/>
      <c r="AH105" s="70"/>
      <c r="AI105" s="70"/>
      <c r="AJ105" s="70"/>
      <c r="AK105" s="70"/>
      <c r="AL105" s="70"/>
      <c r="AM105" s="70"/>
    </row>
    <row r="106" spans="1:39" x14ac:dyDescent="0.25">
      <c r="A106" s="381">
        <f t="shared" si="0"/>
        <v>92</v>
      </c>
      <c r="B106" s="394" t="s">
        <v>4519</v>
      </c>
      <c r="C106" s="495" t="s">
        <v>4520</v>
      </c>
      <c r="D106" s="381" t="s">
        <v>156</v>
      </c>
      <c r="E106" s="381">
        <v>5</v>
      </c>
      <c r="F106" s="381">
        <v>20</v>
      </c>
      <c r="G106" s="381" t="s">
        <v>4521</v>
      </c>
      <c r="H106" s="381" t="s">
        <v>4522</v>
      </c>
      <c r="I106" s="381" t="s">
        <v>4518</v>
      </c>
      <c r="J106" s="381">
        <v>19072338</v>
      </c>
      <c r="K106" s="382">
        <v>45328</v>
      </c>
      <c r="L106" s="382"/>
      <c r="M106" s="381"/>
      <c r="N106" s="381"/>
      <c r="O106" s="381"/>
      <c r="P106" s="381"/>
      <c r="Q106" s="381"/>
      <c r="R106" s="782"/>
      <c r="S106" s="382"/>
      <c r="T106" s="381"/>
      <c r="U106" s="381"/>
      <c r="V106" s="381">
        <v>0</v>
      </c>
      <c r="W106" s="381">
        <v>5</v>
      </c>
      <c r="Y106" s="97"/>
      <c r="Z106" s="96"/>
      <c r="AB106" s="96"/>
      <c r="AC106" s="96"/>
      <c r="AD106" s="70"/>
      <c r="AE106" s="70"/>
      <c r="AF106" s="70"/>
      <c r="AG106" s="70"/>
      <c r="AH106" s="70"/>
      <c r="AI106" s="70"/>
      <c r="AJ106" s="70"/>
      <c r="AK106" s="70"/>
      <c r="AL106" s="70"/>
      <c r="AM106" s="70"/>
    </row>
    <row r="107" spans="1:39" x14ac:dyDescent="0.25">
      <c r="A107" s="381">
        <f t="shared" si="0"/>
        <v>93</v>
      </c>
      <c r="B107" s="394" t="s">
        <v>4523</v>
      </c>
      <c r="C107" s="495" t="s">
        <v>4524</v>
      </c>
      <c r="D107" s="381" t="s">
        <v>160</v>
      </c>
      <c r="E107" s="381">
        <v>1.5149999999999999</v>
      </c>
      <c r="F107" s="381">
        <v>20</v>
      </c>
      <c r="G107" s="381" t="s">
        <v>4525</v>
      </c>
      <c r="H107" s="381" t="s">
        <v>4526</v>
      </c>
      <c r="I107" s="381" t="s">
        <v>4518</v>
      </c>
      <c r="J107" s="381">
        <v>19036098</v>
      </c>
      <c r="K107" s="382">
        <v>45334</v>
      </c>
      <c r="L107" s="382"/>
      <c r="M107" s="381"/>
      <c r="N107" s="381"/>
      <c r="O107" s="381"/>
      <c r="P107" s="381"/>
      <c r="Q107" s="381"/>
      <c r="R107" s="782"/>
      <c r="S107" s="382"/>
      <c r="T107" s="381"/>
      <c r="U107" s="381"/>
      <c r="V107" s="381">
        <v>0.7</v>
      </c>
      <c r="W107" s="381">
        <v>0.81499999999999995</v>
      </c>
      <c r="Y107" s="97"/>
      <c r="Z107" s="96"/>
      <c r="AB107" s="96"/>
      <c r="AC107" s="96"/>
      <c r="AD107" s="70"/>
      <c r="AE107" s="70"/>
      <c r="AF107" s="70"/>
      <c r="AG107" s="70"/>
      <c r="AH107" s="70"/>
      <c r="AI107" s="70"/>
      <c r="AJ107" s="70"/>
      <c r="AK107" s="70"/>
      <c r="AL107" s="70"/>
      <c r="AM107" s="70"/>
    </row>
    <row r="108" spans="1:39" x14ac:dyDescent="0.25">
      <c r="A108" s="381">
        <f t="shared" ref="A108:A132" si="1">A107+1</f>
        <v>94</v>
      </c>
      <c r="B108" s="394" t="s">
        <v>4783</v>
      </c>
      <c r="C108" s="495" t="s">
        <v>3075</v>
      </c>
      <c r="D108" s="381" t="s">
        <v>156</v>
      </c>
      <c r="E108" s="381">
        <v>1.1990000000000001</v>
      </c>
      <c r="F108" s="381">
        <v>20</v>
      </c>
      <c r="G108" s="381" t="s">
        <v>2495</v>
      </c>
      <c r="H108" s="381" t="s">
        <v>4784</v>
      </c>
      <c r="I108" s="381" t="s">
        <v>4518</v>
      </c>
      <c r="J108" s="381">
        <v>19184320</v>
      </c>
      <c r="K108" s="382">
        <v>45345</v>
      </c>
      <c r="L108" s="381"/>
      <c r="M108" s="381"/>
      <c r="N108" s="381"/>
      <c r="O108" s="381"/>
      <c r="P108" s="381"/>
      <c r="Q108" s="381"/>
      <c r="R108" s="782"/>
      <c r="S108" s="382"/>
      <c r="T108" s="381"/>
      <c r="U108" s="381"/>
      <c r="V108" s="381">
        <v>0</v>
      </c>
      <c r="W108" s="381">
        <v>1.1990000000000001</v>
      </c>
      <c r="Y108" s="97"/>
      <c r="Z108" s="96"/>
      <c r="AB108" s="96"/>
      <c r="AC108" s="96"/>
      <c r="AD108" s="70"/>
      <c r="AE108" s="70"/>
      <c r="AF108" s="70"/>
      <c r="AG108" s="70"/>
      <c r="AH108" s="70"/>
      <c r="AI108" s="70"/>
      <c r="AJ108" s="70"/>
      <c r="AK108" s="70"/>
      <c r="AL108" s="70"/>
      <c r="AM108" s="70"/>
    </row>
    <row r="109" spans="1:39" x14ac:dyDescent="0.25">
      <c r="A109" s="381">
        <f t="shared" si="1"/>
        <v>95</v>
      </c>
      <c r="B109" s="394" t="s">
        <v>143</v>
      </c>
      <c r="C109" s="495" t="s">
        <v>4785</v>
      </c>
      <c r="D109" s="381" t="s">
        <v>156</v>
      </c>
      <c r="E109" s="381">
        <v>1.97</v>
      </c>
      <c r="F109" s="381">
        <v>20</v>
      </c>
      <c r="G109" s="381" t="s">
        <v>2495</v>
      </c>
      <c r="H109" s="381" t="s">
        <v>4786</v>
      </c>
      <c r="I109" s="381" t="s">
        <v>4518</v>
      </c>
      <c r="J109" s="381">
        <v>19211131</v>
      </c>
      <c r="K109" s="382">
        <v>45363</v>
      </c>
      <c r="L109" s="381"/>
      <c r="M109" s="381"/>
      <c r="N109" s="381"/>
      <c r="O109" s="381"/>
      <c r="P109" s="381"/>
      <c r="Q109" s="381"/>
      <c r="R109" s="782"/>
      <c r="S109" s="382"/>
      <c r="T109" s="381"/>
      <c r="U109" s="381"/>
      <c r="V109" s="381">
        <v>0</v>
      </c>
      <c r="W109" s="381">
        <v>1.97</v>
      </c>
      <c r="Y109" s="97"/>
      <c r="Z109" s="96"/>
      <c r="AB109" s="96"/>
      <c r="AC109" s="96"/>
      <c r="AD109" s="70"/>
      <c r="AE109" s="70"/>
      <c r="AF109" s="70"/>
      <c r="AG109" s="70"/>
      <c r="AH109" s="70"/>
      <c r="AI109" s="70"/>
      <c r="AJ109" s="70"/>
      <c r="AK109" s="70"/>
      <c r="AL109" s="70"/>
      <c r="AM109" s="70"/>
    </row>
    <row r="110" spans="1:39" x14ac:dyDescent="0.25">
      <c r="A110" s="381">
        <f t="shared" si="1"/>
        <v>96</v>
      </c>
      <c r="B110" s="394" t="s">
        <v>4787</v>
      </c>
      <c r="C110" s="495" t="s">
        <v>824</v>
      </c>
      <c r="D110" s="381" t="s">
        <v>156</v>
      </c>
      <c r="E110" s="381">
        <v>2</v>
      </c>
      <c r="F110" s="381">
        <v>20</v>
      </c>
      <c r="G110" s="381" t="s">
        <v>4788</v>
      </c>
      <c r="H110" s="381" t="s">
        <v>4789</v>
      </c>
      <c r="I110" s="381" t="s">
        <v>4518</v>
      </c>
      <c r="J110" s="381">
        <v>19308487</v>
      </c>
      <c r="K110" s="382">
        <v>45365</v>
      </c>
      <c r="L110" s="381"/>
      <c r="M110" s="381"/>
      <c r="N110" s="381"/>
      <c r="O110" s="381"/>
      <c r="P110" s="381"/>
      <c r="Q110" s="381"/>
      <c r="R110" s="782"/>
      <c r="S110" s="382"/>
      <c r="T110" s="381"/>
      <c r="U110" s="381"/>
      <c r="V110" s="381">
        <v>0</v>
      </c>
      <c r="W110" s="381">
        <v>2</v>
      </c>
      <c r="Y110" s="97"/>
      <c r="Z110" s="96"/>
      <c r="AB110" s="96"/>
      <c r="AC110" s="96"/>
      <c r="AD110" s="70"/>
      <c r="AE110" s="70"/>
      <c r="AF110" s="70"/>
      <c r="AG110" s="70"/>
      <c r="AH110" s="70"/>
      <c r="AI110" s="70"/>
      <c r="AJ110" s="70"/>
      <c r="AK110" s="70"/>
      <c r="AL110" s="70"/>
      <c r="AM110" s="70"/>
    </row>
    <row r="111" spans="1:39" x14ac:dyDescent="0.25">
      <c r="A111" s="381">
        <f t="shared" si="1"/>
        <v>97</v>
      </c>
      <c r="B111" s="394" t="s">
        <v>2060</v>
      </c>
      <c r="C111" s="495" t="s">
        <v>4790</v>
      </c>
      <c r="D111" s="381" t="s">
        <v>160</v>
      </c>
      <c r="E111" s="381">
        <v>6</v>
      </c>
      <c r="F111" s="381">
        <v>20</v>
      </c>
      <c r="G111" s="381" t="s">
        <v>3841</v>
      </c>
      <c r="H111" s="381" t="s">
        <v>4791</v>
      </c>
      <c r="I111" s="381" t="s">
        <v>4518</v>
      </c>
      <c r="J111" s="381">
        <v>18878785</v>
      </c>
      <c r="K111" s="382">
        <v>45371</v>
      </c>
      <c r="L111" s="381"/>
      <c r="M111" s="381"/>
      <c r="N111" s="381"/>
      <c r="O111" s="381"/>
      <c r="P111" s="381"/>
      <c r="Q111" s="381"/>
      <c r="R111" s="782"/>
      <c r="S111" s="382"/>
      <c r="T111" s="381"/>
      <c r="U111" s="381"/>
      <c r="V111" s="381">
        <v>0</v>
      </c>
      <c r="W111" s="381">
        <v>6</v>
      </c>
      <c r="Y111" s="97"/>
      <c r="Z111" s="96"/>
      <c r="AB111" s="96"/>
      <c r="AC111" s="96"/>
      <c r="AD111" s="70"/>
      <c r="AE111" s="70"/>
      <c r="AF111" s="70"/>
      <c r="AG111" s="70"/>
      <c r="AH111" s="70"/>
      <c r="AI111" s="70"/>
      <c r="AJ111" s="70"/>
      <c r="AK111" s="70"/>
      <c r="AL111" s="70"/>
      <c r="AM111" s="70"/>
    </row>
    <row r="112" spans="1:39" x14ac:dyDescent="0.25">
      <c r="A112" s="381">
        <f t="shared" si="1"/>
        <v>98</v>
      </c>
      <c r="B112" s="394" t="s">
        <v>4792</v>
      </c>
      <c r="C112" s="495" t="s">
        <v>4793</v>
      </c>
      <c r="D112" s="381" t="s">
        <v>156</v>
      </c>
      <c r="E112" s="381">
        <v>1.3</v>
      </c>
      <c r="F112" s="381">
        <v>20</v>
      </c>
      <c r="G112" s="381" t="s">
        <v>142</v>
      </c>
      <c r="H112" s="381" t="s">
        <v>4794</v>
      </c>
      <c r="I112" s="381" t="s">
        <v>4518</v>
      </c>
      <c r="J112" s="381">
        <v>19175838</v>
      </c>
      <c r="K112" s="382">
        <v>45369</v>
      </c>
      <c r="L112" s="381"/>
      <c r="M112" s="381"/>
      <c r="N112" s="381"/>
      <c r="O112" s="381"/>
      <c r="P112" s="381"/>
      <c r="Q112" s="381"/>
      <c r="R112" s="782"/>
      <c r="S112" s="382"/>
      <c r="T112" s="381"/>
      <c r="U112" s="381"/>
      <c r="V112" s="381">
        <v>0</v>
      </c>
      <c r="W112" s="381">
        <v>1.3</v>
      </c>
      <c r="Y112" s="97"/>
      <c r="Z112" s="96"/>
      <c r="AB112" s="96"/>
      <c r="AC112" s="96"/>
      <c r="AD112" s="70"/>
      <c r="AE112" s="70"/>
      <c r="AF112" s="70"/>
      <c r="AG112" s="70"/>
      <c r="AH112" s="70"/>
      <c r="AI112" s="70"/>
      <c r="AJ112" s="70"/>
      <c r="AK112" s="70"/>
      <c r="AL112" s="70"/>
      <c r="AM112" s="70"/>
    </row>
    <row r="113" spans="1:39" x14ac:dyDescent="0.25">
      <c r="A113" s="381">
        <f t="shared" si="1"/>
        <v>99</v>
      </c>
      <c r="B113" s="394" t="s">
        <v>821</v>
      </c>
      <c r="C113" s="495" t="s">
        <v>278</v>
      </c>
      <c r="D113" s="381" t="s">
        <v>156</v>
      </c>
      <c r="E113" s="381">
        <v>1.6</v>
      </c>
      <c r="F113" s="381">
        <v>20</v>
      </c>
      <c r="G113" s="381" t="s">
        <v>101</v>
      </c>
      <c r="H113" s="381" t="s">
        <v>4795</v>
      </c>
      <c r="I113" s="381" t="s">
        <v>4518</v>
      </c>
      <c r="J113" s="381">
        <v>19191207</v>
      </c>
      <c r="K113" s="382">
        <v>45371</v>
      </c>
      <c r="L113" s="381"/>
      <c r="M113" s="381"/>
      <c r="N113" s="381"/>
      <c r="O113" s="381"/>
      <c r="P113" s="381"/>
      <c r="Q113" s="381"/>
      <c r="R113" s="782"/>
      <c r="S113" s="382"/>
      <c r="T113" s="381"/>
      <c r="U113" s="381"/>
      <c r="V113" s="381">
        <v>1</v>
      </c>
      <c r="W113" s="381">
        <v>0.6</v>
      </c>
      <c r="Y113" s="97"/>
      <c r="Z113" s="96"/>
      <c r="AB113" s="96"/>
      <c r="AC113" s="96"/>
      <c r="AD113" s="70"/>
      <c r="AE113" s="70"/>
      <c r="AF113" s="70"/>
      <c r="AG113" s="70"/>
      <c r="AH113" s="70"/>
      <c r="AI113" s="70"/>
      <c r="AJ113" s="70"/>
      <c r="AK113" s="70"/>
      <c r="AL113" s="70"/>
      <c r="AM113" s="70"/>
    </row>
    <row r="114" spans="1:39" x14ac:dyDescent="0.25">
      <c r="A114" s="381">
        <f t="shared" si="1"/>
        <v>100</v>
      </c>
      <c r="B114" s="394" t="s">
        <v>4796</v>
      </c>
      <c r="C114" s="495" t="s">
        <v>1862</v>
      </c>
      <c r="D114" s="381" t="s">
        <v>156</v>
      </c>
      <c r="E114" s="381">
        <v>3</v>
      </c>
      <c r="F114" s="381">
        <v>20</v>
      </c>
      <c r="G114" s="381" t="s">
        <v>2305</v>
      </c>
      <c r="H114" s="381" t="s">
        <v>4797</v>
      </c>
      <c r="I114" s="381" t="s">
        <v>4518</v>
      </c>
      <c r="J114" s="381">
        <v>19329367</v>
      </c>
      <c r="K114" s="382">
        <v>45372</v>
      </c>
      <c r="L114" s="381"/>
      <c r="M114" s="381"/>
      <c r="N114" s="381"/>
      <c r="O114" s="381"/>
      <c r="P114" s="381"/>
      <c r="Q114" s="381"/>
      <c r="R114" s="782"/>
      <c r="S114" s="382"/>
      <c r="T114" s="381"/>
      <c r="U114" s="381"/>
      <c r="V114" s="381">
        <v>0</v>
      </c>
      <c r="W114" s="381">
        <v>3</v>
      </c>
      <c r="Y114" s="97"/>
      <c r="Z114" s="96"/>
      <c r="AB114" s="96"/>
      <c r="AC114" s="96"/>
      <c r="AD114" s="70"/>
      <c r="AE114" s="70"/>
      <c r="AF114" s="70"/>
      <c r="AG114" s="70"/>
      <c r="AH114" s="70"/>
      <c r="AI114" s="70"/>
      <c r="AJ114" s="70"/>
      <c r="AK114" s="70"/>
      <c r="AL114" s="70"/>
      <c r="AM114" s="70"/>
    </row>
    <row r="115" spans="1:39" x14ac:dyDescent="0.25">
      <c r="A115" s="383">
        <f t="shared" si="1"/>
        <v>101</v>
      </c>
      <c r="B115" s="398" t="s">
        <v>4798</v>
      </c>
      <c r="C115" s="766" t="s">
        <v>4799</v>
      </c>
      <c r="D115" s="383" t="s">
        <v>156</v>
      </c>
      <c r="E115" s="383">
        <v>3.0550000000000002</v>
      </c>
      <c r="F115" s="383">
        <v>20</v>
      </c>
      <c r="G115" s="383" t="s">
        <v>117</v>
      </c>
      <c r="H115" s="383" t="s">
        <v>4800</v>
      </c>
      <c r="I115" s="383" t="s">
        <v>4518</v>
      </c>
      <c r="J115" s="383">
        <v>19331232</v>
      </c>
      <c r="K115" s="384">
        <v>45385</v>
      </c>
      <c r="L115" s="383"/>
      <c r="M115" s="383"/>
      <c r="N115" s="383"/>
      <c r="O115" s="383"/>
      <c r="P115" s="383"/>
      <c r="Q115" s="383"/>
      <c r="R115" s="786"/>
      <c r="S115" s="384"/>
      <c r="T115" s="383"/>
      <c r="U115" s="383"/>
      <c r="V115" s="383">
        <v>2.1549999999999998</v>
      </c>
      <c r="W115" s="383">
        <v>0.9</v>
      </c>
      <c r="Y115" s="97"/>
      <c r="Z115" s="96"/>
      <c r="AB115" s="96"/>
      <c r="AC115" s="96"/>
      <c r="AD115" s="70"/>
      <c r="AE115" s="70"/>
      <c r="AF115" s="70"/>
      <c r="AG115" s="70"/>
      <c r="AH115" s="70"/>
      <c r="AI115" s="70"/>
      <c r="AJ115" s="70"/>
      <c r="AK115" s="70"/>
      <c r="AL115" s="70"/>
      <c r="AM115" s="70"/>
    </row>
    <row r="116" spans="1:39" x14ac:dyDescent="0.25">
      <c r="A116" s="381">
        <f t="shared" si="1"/>
        <v>102</v>
      </c>
      <c r="B116" s="394" t="s">
        <v>2745</v>
      </c>
      <c r="C116" s="495" t="s">
        <v>5426</v>
      </c>
      <c r="D116" s="381" t="s">
        <v>156</v>
      </c>
      <c r="E116" s="381">
        <v>1.28</v>
      </c>
      <c r="F116" s="381">
        <v>20</v>
      </c>
      <c r="G116" s="381">
        <v>0.22118400000000002</v>
      </c>
      <c r="H116" s="381" t="s">
        <v>120</v>
      </c>
      <c r="I116" s="381" t="s">
        <v>5427</v>
      </c>
      <c r="J116" s="381" t="s">
        <v>4518</v>
      </c>
      <c r="K116" s="381">
        <v>19282381</v>
      </c>
      <c r="L116" s="382">
        <v>45398</v>
      </c>
      <c r="M116" s="381"/>
      <c r="N116" s="381"/>
      <c r="O116" s="381"/>
      <c r="P116" s="381"/>
      <c r="Q116" s="381"/>
      <c r="R116" s="782"/>
      <c r="S116" s="382"/>
      <c r="T116" s="381"/>
      <c r="U116" s="381"/>
      <c r="V116" s="381">
        <v>0</v>
      </c>
      <c r="W116" s="381"/>
      <c r="X116" s="264">
        <v>1.28</v>
      </c>
      <c r="Y116" s="97"/>
      <c r="Z116" s="96"/>
      <c r="AB116" s="96"/>
      <c r="AC116" s="96"/>
      <c r="AD116" s="70"/>
      <c r="AE116" s="70"/>
      <c r="AF116" s="70"/>
      <c r="AG116" s="70"/>
      <c r="AH116" s="70"/>
      <c r="AI116" s="70"/>
      <c r="AJ116" s="70"/>
      <c r="AK116" s="70"/>
      <c r="AL116" s="70"/>
      <c r="AM116" s="70"/>
    </row>
    <row r="117" spans="1:39" x14ac:dyDescent="0.25">
      <c r="A117" s="381">
        <f t="shared" si="1"/>
        <v>103</v>
      </c>
      <c r="B117" s="394" t="s">
        <v>5428</v>
      </c>
      <c r="C117" s="495" t="s">
        <v>5429</v>
      </c>
      <c r="D117" s="381" t="s">
        <v>156</v>
      </c>
      <c r="E117" s="381">
        <v>2.0328300000000001</v>
      </c>
      <c r="F117" s="381">
        <v>20</v>
      </c>
      <c r="G117" s="381">
        <v>0.10450372464000002</v>
      </c>
      <c r="H117" s="381" t="s">
        <v>123</v>
      </c>
      <c r="I117" s="381" t="s">
        <v>5430</v>
      </c>
      <c r="J117" s="381" t="s">
        <v>4518</v>
      </c>
      <c r="K117" s="381">
        <v>18758444</v>
      </c>
      <c r="L117" s="382">
        <v>45404</v>
      </c>
      <c r="M117" s="381"/>
      <c r="N117" s="381"/>
      <c r="O117" s="381"/>
      <c r="P117" s="381"/>
      <c r="Q117" s="381"/>
      <c r="R117" s="782"/>
      <c r="S117" s="382"/>
      <c r="T117" s="381"/>
      <c r="U117" s="381"/>
      <c r="V117" s="381">
        <v>0</v>
      </c>
      <c r="W117" s="381"/>
      <c r="X117" s="264">
        <v>2.0328300000000001</v>
      </c>
      <c r="Y117" s="97"/>
      <c r="Z117" s="96"/>
      <c r="AB117" s="96"/>
      <c r="AC117" s="96"/>
      <c r="AD117" s="70"/>
      <c r="AE117" s="70"/>
      <c r="AF117" s="70"/>
      <c r="AG117" s="70"/>
      <c r="AH117" s="70"/>
      <c r="AI117" s="70"/>
      <c r="AJ117" s="70"/>
      <c r="AK117" s="70"/>
      <c r="AL117" s="70"/>
      <c r="AM117" s="70"/>
    </row>
    <row r="118" spans="1:39" x14ac:dyDescent="0.25">
      <c r="A118" s="381">
        <f t="shared" si="1"/>
        <v>104</v>
      </c>
      <c r="B118" s="394" t="s">
        <v>105</v>
      </c>
      <c r="C118" s="495" t="s">
        <v>5431</v>
      </c>
      <c r="D118" s="381" t="s">
        <v>148</v>
      </c>
      <c r="E118" s="381">
        <v>2.5779999999999998</v>
      </c>
      <c r="F118" s="381">
        <v>20</v>
      </c>
      <c r="G118" s="381">
        <v>0.10467263999999996</v>
      </c>
      <c r="H118" s="381" t="s">
        <v>108</v>
      </c>
      <c r="I118" s="381" t="s">
        <v>5432</v>
      </c>
      <c r="J118" s="381" t="s">
        <v>4518</v>
      </c>
      <c r="K118" s="381">
        <v>18948562</v>
      </c>
      <c r="L118" s="382">
        <v>45407</v>
      </c>
      <c r="M118" s="381"/>
      <c r="N118" s="381"/>
      <c r="O118" s="381"/>
      <c r="P118" s="381"/>
      <c r="Q118" s="381"/>
      <c r="R118" s="782"/>
      <c r="S118" s="382"/>
      <c r="T118" s="381"/>
      <c r="U118" s="381"/>
      <c r="V118" s="381">
        <v>0</v>
      </c>
      <c r="W118" s="381"/>
      <c r="X118" s="264">
        <v>2.5779999999999998</v>
      </c>
      <c r="Y118" s="97"/>
      <c r="Z118" s="96"/>
      <c r="AB118" s="96"/>
      <c r="AC118" s="96"/>
      <c r="AD118" s="70"/>
      <c r="AE118" s="70"/>
      <c r="AF118" s="70"/>
      <c r="AG118" s="70"/>
      <c r="AH118" s="70"/>
      <c r="AI118" s="70"/>
      <c r="AJ118" s="70"/>
      <c r="AK118" s="70"/>
      <c r="AL118" s="70"/>
      <c r="AM118" s="70"/>
    </row>
    <row r="119" spans="1:39" x14ac:dyDescent="0.25">
      <c r="A119" s="381">
        <f t="shared" si="1"/>
        <v>105</v>
      </c>
      <c r="B119" s="394" t="s">
        <v>5433</v>
      </c>
      <c r="C119" s="495" t="s">
        <v>5434</v>
      </c>
      <c r="D119" s="381" t="s">
        <v>156</v>
      </c>
      <c r="E119" s="381">
        <v>1.069</v>
      </c>
      <c r="F119" s="381">
        <v>20</v>
      </c>
      <c r="G119" s="447">
        <v>0.1847232</v>
      </c>
      <c r="H119" s="381" t="s">
        <v>123</v>
      </c>
      <c r="I119" s="381" t="s">
        <v>5430</v>
      </c>
      <c r="J119" s="381" t="s">
        <v>4518</v>
      </c>
      <c r="K119" s="381">
        <v>19387069</v>
      </c>
      <c r="L119" s="382">
        <v>45461</v>
      </c>
      <c r="M119" s="381"/>
      <c r="N119" s="381"/>
      <c r="O119" s="381"/>
      <c r="P119" s="381"/>
      <c r="Q119" s="381"/>
      <c r="R119" s="782"/>
      <c r="S119" s="382"/>
      <c r="T119" s="381"/>
      <c r="U119" s="381"/>
      <c r="V119" s="381">
        <v>0</v>
      </c>
      <c r="W119" s="381"/>
      <c r="X119" s="264">
        <v>1.069</v>
      </c>
      <c r="Y119" s="97"/>
      <c r="Z119" s="96"/>
      <c r="AB119" s="96"/>
      <c r="AC119" s="96"/>
      <c r="AD119" s="70"/>
      <c r="AE119" s="70"/>
      <c r="AF119" s="70"/>
      <c r="AG119" s="70"/>
      <c r="AH119" s="70"/>
      <c r="AI119" s="70"/>
      <c r="AJ119" s="70"/>
      <c r="AK119" s="70"/>
      <c r="AL119" s="70"/>
      <c r="AM119" s="70"/>
    </row>
    <row r="120" spans="1:39" x14ac:dyDescent="0.25">
      <c r="A120" s="381">
        <f t="shared" si="1"/>
        <v>106</v>
      </c>
      <c r="B120" s="394" t="s">
        <v>5435</v>
      </c>
      <c r="C120" s="495" t="s">
        <v>824</v>
      </c>
      <c r="D120" s="381" t="s">
        <v>156</v>
      </c>
      <c r="E120" s="381">
        <v>4.7314299999999996</v>
      </c>
      <c r="F120" s="381">
        <v>20</v>
      </c>
      <c r="G120" s="447">
        <v>0.38688</v>
      </c>
      <c r="H120" s="381" t="s">
        <v>131</v>
      </c>
      <c r="I120" s="381" t="s">
        <v>131</v>
      </c>
      <c r="J120" s="381" t="s">
        <v>4518</v>
      </c>
      <c r="K120" s="381">
        <v>17452650</v>
      </c>
      <c r="L120" s="382">
        <v>45463</v>
      </c>
      <c r="M120" s="381"/>
      <c r="N120" s="381"/>
      <c r="O120" s="381"/>
      <c r="P120" s="381"/>
      <c r="Q120" s="381"/>
      <c r="R120" s="782"/>
      <c r="S120" s="382"/>
      <c r="T120" s="381"/>
      <c r="U120" s="381"/>
      <c r="V120" s="381">
        <v>2.7164299999999999</v>
      </c>
      <c r="W120" s="381"/>
      <c r="X120" s="264">
        <v>2.0150000000000001</v>
      </c>
      <c r="Y120" s="97"/>
      <c r="Z120" s="96"/>
      <c r="AB120" s="96"/>
      <c r="AC120" s="96"/>
      <c r="AD120" s="70"/>
      <c r="AE120" s="70"/>
      <c r="AF120" s="70"/>
      <c r="AG120" s="70"/>
      <c r="AH120" s="70"/>
      <c r="AI120" s="70"/>
      <c r="AJ120" s="70"/>
      <c r="AK120" s="70"/>
      <c r="AL120" s="70"/>
      <c r="AM120" s="70"/>
    </row>
    <row r="121" spans="1:39" x14ac:dyDescent="0.25">
      <c r="A121" s="381">
        <f t="shared" si="1"/>
        <v>107</v>
      </c>
      <c r="B121" s="394" t="s">
        <v>5436</v>
      </c>
      <c r="C121" s="495" t="s">
        <v>5437</v>
      </c>
      <c r="D121" s="381" t="s">
        <v>156</v>
      </c>
      <c r="E121" s="381">
        <v>1.9870000000000001</v>
      </c>
      <c r="F121" s="381">
        <v>20</v>
      </c>
      <c r="G121" s="447">
        <v>0.38150400000000007</v>
      </c>
      <c r="H121" s="381" t="s">
        <v>101</v>
      </c>
      <c r="I121" s="381" t="s">
        <v>5438</v>
      </c>
      <c r="J121" s="381" t="s">
        <v>4518</v>
      </c>
      <c r="K121" s="381">
        <v>20059644</v>
      </c>
      <c r="L121" s="382">
        <v>45455</v>
      </c>
      <c r="M121" s="381"/>
      <c r="N121" s="381"/>
      <c r="O121" s="381"/>
      <c r="P121" s="381"/>
      <c r="Q121" s="381"/>
      <c r="R121" s="782"/>
      <c r="S121" s="382"/>
      <c r="T121" s="381"/>
      <c r="U121" s="381"/>
      <c r="V121" s="381">
        <v>0</v>
      </c>
      <c r="W121" s="381"/>
      <c r="X121" s="264">
        <v>1.9870000000000001</v>
      </c>
      <c r="Y121" s="97"/>
      <c r="Z121" s="96"/>
      <c r="AB121" s="96"/>
      <c r="AC121" s="96"/>
      <c r="AD121" s="70"/>
      <c r="AE121" s="70"/>
      <c r="AF121" s="70"/>
      <c r="AG121" s="70"/>
      <c r="AH121" s="70"/>
      <c r="AI121" s="70"/>
      <c r="AJ121" s="70"/>
      <c r="AK121" s="70"/>
      <c r="AL121" s="70"/>
      <c r="AM121" s="70"/>
    </row>
    <row r="122" spans="1:39" x14ac:dyDescent="0.25">
      <c r="A122" s="381">
        <f t="shared" si="1"/>
        <v>108</v>
      </c>
      <c r="B122" s="394" t="s">
        <v>5439</v>
      </c>
      <c r="C122" s="495" t="s">
        <v>5440</v>
      </c>
      <c r="D122" s="381" t="s">
        <v>152</v>
      </c>
      <c r="E122" s="381">
        <v>1.8</v>
      </c>
      <c r="F122" s="381">
        <v>20</v>
      </c>
      <c r="G122" s="447">
        <v>9.2534400000000003E-2</v>
      </c>
      <c r="H122" s="381" t="s">
        <v>5441</v>
      </c>
      <c r="I122" s="381" t="s">
        <v>5442</v>
      </c>
      <c r="J122" s="381" t="s">
        <v>4518</v>
      </c>
      <c r="K122" s="381">
        <v>20136436</v>
      </c>
      <c r="L122" s="382">
        <v>45463</v>
      </c>
      <c r="M122" s="381"/>
      <c r="N122" s="381"/>
      <c r="O122" s="381"/>
      <c r="P122" s="381"/>
      <c r="Q122" s="381"/>
      <c r="R122" s="782"/>
      <c r="S122" s="382"/>
      <c r="T122" s="381"/>
      <c r="U122" s="381"/>
      <c r="V122" s="381">
        <v>0</v>
      </c>
      <c r="W122" s="381"/>
      <c r="X122" s="264">
        <v>1.8</v>
      </c>
      <c r="Y122" s="97"/>
      <c r="Z122" s="96"/>
      <c r="AB122" s="96"/>
      <c r="AC122" s="96"/>
      <c r="AD122" s="70"/>
      <c r="AE122" s="70"/>
      <c r="AF122" s="70"/>
      <c r="AG122" s="70"/>
      <c r="AH122" s="70"/>
      <c r="AI122" s="70"/>
      <c r="AJ122" s="70"/>
      <c r="AK122" s="70"/>
      <c r="AL122" s="70"/>
      <c r="AM122" s="70"/>
    </row>
    <row r="123" spans="1:39" x14ac:dyDescent="0.25">
      <c r="A123" s="381">
        <f t="shared" si="1"/>
        <v>109</v>
      </c>
      <c r="B123" s="394" t="s">
        <v>5439</v>
      </c>
      <c r="C123" s="495" t="s">
        <v>5443</v>
      </c>
      <c r="D123" s="381" t="s">
        <v>156</v>
      </c>
      <c r="E123" s="381">
        <v>1.8</v>
      </c>
      <c r="F123" s="381">
        <v>20</v>
      </c>
      <c r="G123" s="447">
        <v>9.2534400000000003E-2</v>
      </c>
      <c r="H123" s="381" t="s">
        <v>157</v>
      </c>
      <c r="I123" s="381" t="s">
        <v>5444</v>
      </c>
      <c r="J123" s="381" t="s">
        <v>4518</v>
      </c>
      <c r="K123" s="381">
        <v>20136576</v>
      </c>
      <c r="L123" s="382">
        <v>45463</v>
      </c>
      <c r="M123" s="381"/>
      <c r="N123" s="381"/>
      <c r="O123" s="381"/>
      <c r="P123" s="381"/>
      <c r="Q123" s="381" t="s">
        <v>5445</v>
      </c>
      <c r="R123" s="782"/>
      <c r="S123" s="382"/>
      <c r="T123" s="381"/>
      <c r="U123" s="381"/>
      <c r="V123" s="381">
        <v>0</v>
      </c>
      <c r="W123" s="381"/>
      <c r="X123" s="264">
        <v>1.8</v>
      </c>
      <c r="Y123" s="97"/>
      <c r="Z123" s="96"/>
      <c r="AB123" s="96"/>
      <c r="AC123" s="96"/>
      <c r="AD123" s="70"/>
      <c r="AE123" s="70"/>
      <c r="AF123" s="70"/>
      <c r="AG123" s="70"/>
      <c r="AH123" s="70"/>
      <c r="AI123" s="70"/>
      <c r="AJ123" s="70"/>
      <c r="AK123" s="70"/>
      <c r="AL123" s="70"/>
      <c r="AM123" s="70"/>
    </row>
    <row r="124" spans="1:39" x14ac:dyDescent="0.25">
      <c r="A124" s="381">
        <f t="shared" si="1"/>
        <v>110</v>
      </c>
      <c r="B124" s="394" t="s">
        <v>5439</v>
      </c>
      <c r="C124" s="495" t="s">
        <v>5446</v>
      </c>
      <c r="D124" s="381" t="s">
        <v>156</v>
      </c>
      <c r="E124" s="381">
        <v>1.8</v>
      </c>
      <c r="F124" s="381">
        <v>20</v>
      </c>
      <c r="G124" s="447">
        <v>9.2534400000000003E-2</v>
      </c>
      <c r="H124" s="381" t="s">
        <v>157</v>
      </c>
      <c r="I124" s="381" t="s">
        <v>5444</v>
      </c>
      <c r="J124" s="381" t="s">
        <v>4518</v>
      </c>
      <c r="K124" s="381">
        <v>20136745</v>
      </c>
      <c r="L124" s="382">
        <v>45463</v>
      </c>
      <c r="M124" s="381"/>
      <c r="N124" s="381"/>
      <c r="O124" s="381"/>
      <c r="P124" s="381"/>
      <c r="Q124" s="381" t="s">
        <v>5447</v>
      </c>
      <c r="R124" s="782"/>
      <c r="S124" s="382"/>
      <c r="T124" s="381"/>
      <c r="U124" s="381"/>
      <c r="V124" s="381">
        <v>0</v>
      </c>
      <c r="W124" s="381"/>
      <c r="X124" s="264">
        <v>1.8</v>
      </c>
      <c r="Y124" s="97"/>
      <c r="Z124" s="96"/>
      <c r="AB124" s="96"/>
      <c r="AC124" s="96"/>
      <c r="AD124" s="70"/>
      <c r="AE124" s="70"/>
      <c r="AF124" s="70"/>
      <c r="AG124" s="70"/>
      <c r="AH124" s="70"/>
      <c r="AI124" s="70"/>
      <c r="AJ124" s="70"/>
      <c r="AK124" s="70"/>
      <c r="AL124" s="70"/>
      <c r="AM124" s="70"/>
    </row>
    <row r="125" spans="1:39" x14ac:dyDescent="0.25">
      <c r="A125" s="381">
        <f t="shared" si="1"/>
        <v>111</v>
      </c>
      <c r="B125" s="394" t="s">
        <v>5629</v>
      </c>
      <c r="C125" s="495" t="s">
        <v>5630</v>
      </c>
      <c r="D125" s="381" t="s">
        <v>156</v>
      </c>
      <c r="E125" s="381">
        <v>1.8120000000000001</v>
      </c>
      <c r="F125" s="381">
        <v>20</v>
      </c>
      <c r="G125" s="447">
        <v>9.3151296000000008E-2</v>
      </c>
      <c r="H125" s="381" t="s">
        <v>1217</v>
      </c>
      <c r="I125" s="381" t="s">
        <v>5631</v>
      </c>
      <c r="J125" s="381" t="s">
        <v>4518</v>
      </c>
      <c r="K125" s="381">
        <v>20270253</v>
      </c>
      <c r="L125" s="382">
        <v>45517</v>
      </c>
      <c r="M125" s="381"/>
      <c r="N125" s="381"/>
      <c r="O125" s="381"/>
      <c r="P125" s="381"/>
      <c r="Q125" s="381"/>
      <c r="R125" s="381"/>
      <c r="S125" s="381"/>
      <c r="T125" s="381"/>
      <c r="U125" s="381"/>
      <c r="V125" s="381">
        <v>0</v>
      </c>
      <c r="W125" s="381"/>
      <c r="X125" s="264">
        <v>1.8120000000000001</v>
      </c>
      <c r="Y125" s="97"/>
      <c r="Z125" s="96"/>
      <c r="AB125" s="96"/>
      <c r="AC125" s="96"/>
      <c r="AD125" s="70"/>
      <c r="AE125" s="70"/>
      <c r="AF125" s="70"/>
      <c r="AG125" s="70"/>
      <c r="AH125" s="70"/>
      <c r="AI125" s="70"/>
      <c r="AJ125" s="70"/>
      <c r="AK125" s="70"/>
      <c r="AL125" s="70"/>
      <c r="AM125" s="70"/>
    </row>
    <row r="126" spans="1:39" x14ac:dyDescent="0.25">
      <c r="A126" s="381">
        <f t="shared" si="1"/>
        <v>112</v>
      </c>
      <c r="B126" s="394" t="s">
        <v>1127</v>
      </c>
      <c r="C126" s="495" t="s">
        <v>5632</v>
      </c>
      <c r="D126" s="381" t="s">
        <v>160</v>
      </c>
      <c r="E126" s="381">
        <v>5</v>
      </c>
      <c r="F126" s="381">
        <v>110</v>
      </c>
      <c r="G126" s="381">
        <v>1.2</v>
      </c>
      <c r="H126" s="381" t="s">
        <v>1894</v>
      </c>
      <c r="I126" s="381" t="s">
        <v>5633</v>
      </c>
      <c r="J126" s="381" t="s">
        <v>4518</v>
      </c>
      <c r="K126" s="381">
        <v>19495097</v>
      </c>
      <c r="L126" s="382">
        <v>45523</v>
      </c>
      <c r="M126" s="381">
        <v>19495097</v>
      </c>
      <c r="N126" s="382">
        <v>45526</v>
      </c>
      <c r="O126" s="381"/>
      <c r="P126" s="381"/>
      <c r="Q126" s="381"/>
      <c r="R126" s="381"/>
      <c r="S126" s="381"/>
      <c r="T126" s="381"/>
      <c r="U126" s="381"/>
      <c r="V126" s="381">
        <v>5</v>
      </c>
      <c r="W126" s="381"/>
      <c r="X126" s="264">
        <v>0</v>
      </c>
      <c r="Y126" s="97"/>
      <c r="Z126" s="96"/>
      <c r="AB126" s="96"/>
      <c r="AC126" s="96"/>
      <c r="AD126" s="70"/>
      <c r="AE126" s="70"/>
      <c r="AF126" s="70"/>
      <c r="AG126" s="70"/>
      <c r="AH126" s="70"/>
      <c r="AI126" s="70"/>
      <c r="AJ126" s="70"/>
      <c r="AK126" s="70"/>
      <c r="AL126" s="70"/>
      <c r="AM126" s="70"/>
    </row>
    <row r="127" spans="1:39" x14ac:dyDescent="0.25">
      <c r="A127" s="381">
        <f t="shared" si="1"/>
        <v>113</v>
      </c>
      <c r="B127" s="394" t="s">
        <v>5629</v>
      </c>
      <c r="C127" s="495" t="s">
        <v>5630</v>
      </c>
      <c r="D127" s="381" t="s">
        <v>156</v>
      </c>
      <c r="E127" s="381">
        <v>1.8120000000000001</v>
      </c>
      <c r="F127" s="381">
        <v>20</v>
      </c>
      <c r="G127" s="447">
        <v>9.3151296000000008E-2</v>
      </c>
      <c r="H127" s="381" t="s">
        <v>1217</v>
      </c>
      <c r="I127" s="381" t="s">
        <v>5631</v>
      </c>
      <c r="J127" s="381" t="s">
        <v>4518</v>
      </c>
      <c r="K127" s="381">
        <v>20270253</v>
      </c>
      <c r="L127" s="382">
        <v>45517</v>
      </c>
      <c r="M127" s="381"/>
      <c r="N127" s="381"/>
      <c r="O127" s="381"/>
      <c r="P127" s="381"/>
      <c r="Q127" s="381"/>
      <c r="R127" s="381"/>
      <c r="S127" s="381"/>
      <c r="T127" s="381"/>
      <c r="U127" s="381"/>
      <c r="V127" s="381">
        <v>0</v>
      </c>
      <c r="W127" s="381"/>
      <c r="X127" s="264">
        <v>1.8120000000000001</v>
      </c>
      <c r="Y127" s="97"/>
      <c r="Z127" s="96"/>
      <c r="AB127" s="96"/>
      <c r="AC127" s="96"/>
      <c r="AD127" s="70"/>
      <c r="AE127" s="70"/>
      <c r="AF127" s="70"/>
      <c r="AG127" s="70"/>
      <c r="AH127" s="70"/>
      <c r="AI127" s="70"/>
      <c r="AJ127" s="70"/>
      <c r="AK127" s="70"/>
      <c r="AL127" s="70"/>
      <c r="AM127" s="70"/>
    </row>
    <row r="128" spans="1:39" x14ac:dyDescent="0.25">
      <c r="A128" s="381">
        <f t="shared" si="1"/>
        <v>114</v>
      </c>
      <c r="B128" s="394" t="s">
        <v>5758</v>
      </c>
      <c r="C128" s="495" t="s">
        <v>5759</v>
      </c>
      <c r="D128" s="381" t="s">
        <v>156</v>
      </c>
      <c r="E128" s="381">
        <v>1.2</v>
      </c>
      <c r="F128" s="381">
        <v>20</v>
      </c>
      <c r="G128" s="447">
        <v>6.1689599999999997E-2</v>
      </c>
      <c r="H128" s="381" t="s">
        <v>1213</v>
      </c>
      <c r="I128" s="381" t="s">
        <v>5760</v>
      </c>
      <c r="J128" s="381" t="s">
        <v>4518</v>
      </c>
      <c r="K128" s="381">
        <v>24633416</v>
      </c>
      <c r="L128" s="382">
        <v>45545</v>
      </c>
      <c r="M128" s="381"/>
      <c r="N128" s="381"/>
      <c r="O128" s="381"/>
      <c r="P128" s="381"/>
      <c r="Q128" s="381"/>
      <c r="R128" s="381"/>
      <c r="S128" s="381"/>
      <c r="T128" s="381"/>
      <c r="U128" s="381"/>
      <c r="V128" s="381">
        <v>0</v>
      </c>
      <c r="W128" s="381"/>
      <c r="X128" s="264">
        <v>1.2</v>
      </c>
      <c r="Y128" s="97"/>
      <c r="Z128" s="96"/>
      <c r="AB128" s="96"/>
      <c r="AC128" s="96"/>
      <c r="AD128" s="70"/>
      <c r="AE128" s="70"/>
      <c r="AF128" s="70"/>
      <c r="AG128" s="70"/>
      <c r="AH128" s="70"/>
      <c r="AI128" s="70"/>
      <c r="AJ128" s="70"/>
      <c r="AK128" s="70"/>
      <c r="AL128" s="70"/>
      <c r="AM128" s="70"/>
    </row>
    <row r="129" spans="1:39" x14ac:dyDescent="0.25">
      <c r="A129" s="381">
        <f t="shared" si="1"/>
        <v>115</v>
      </c>
      <c r="B129" s="893" t="s">
        <v>6073</v>
      </c>
      <c r="C129" s="495" t="s">
        <v>6074</v>
      </c>
      <c r="D129" s="381" t="s">
        <v>160</v>
      </c>
      <c r="E129" s="381">
        <v>5.3819999999999997</v>
      </c>
      <c r="F129" s="381">
        <v>20</v>
      </c>
      <c r="G129" s="447">
        <v>0.12245385599999999</v>
      </c>
      <c r="H129" s="381" t="s">
        <v>3975</v>
      </c>
      <c r="I129" s="381" t="s">
        <v>6075</v>
      </c>
      <c r="J129" s="381" t="s">
        <v>4518</v>
      </c>
      <c r="K129" s="381">
        <v>17488111</v>
      </c>
      <c r="L129" s="382">
        <v>45586</v>
      </c>
      <c r="M129" s="381"/>
      <c r="N129" s="381"/>
      <c r="O129" s="381"/>
      <c r="P129" s="381"/>
      <c r="Q129" s="381"/>
      <c r="R129" s="381"/>
      <c r="S129" s="381"/>
      <c r="T129" s="381"/>
      <c r="U129" s="381"/>
      <c r="V129" s="381">
        <v>3</v>
      </c>
      <c r="W129" s="381"/>
      <c r="X129" s="264">
        <v>2.3820000000000001</v>
      </c>
      <c r="Y129" s="97"/>
      <c r="Z129" s="96"/>
      <c r="AB129" s="96"/>
      <c r="AC129" s="96"/>
      <c r="AD129" s="70"/>
      <c r="AE129" s="70"/>
      <c r="AF129" s="70"/>
      <c r="AG129" s="70"/>
      <c r="AH129" s="70"/>
      <c r="AI129" s="70"/>
      <c r="AJ129" s="70"/>
      <c r="AK129" s="70"/>
      <c r="AL129" s="70"/>
      <c r="AM129" s="70"/>
    </row>
    <row r="130" spans="1:39" x14ac:dyDescent="0.25">
      <c r="A130" s="381">
        <f t="shared" si="1"/>
        <v>116</v>
      </c>
      <c r="B130" s="893" t="s">
        <v>6076</v>
      </c>
      <c r="C130" s="495" t="s">
        <v>6077</v>
      </c>
      <c r="D130" s="381" t="s">
        <v>156</v>
      </c>
      <c r="E130" s="381">
        <v>1.831</v>
      </c>
      <c r="F130" s="381">
        <v>20</v>
      </c>
      <c r="G130" s="447">
        <v>9.4128048000000006E-2</v>
      </c>
      <c r="H130" s="381" t="s">
        <v>101</v>
      </c>
      <c r="I130" s="381" t="s">
        <v>6078</v>
      </c>
      <c r="J130" s="381" t="s">
        <v>4518</v>
      </c>
      <c r="K130" s="381">
        <v>24908606</v>
      </c>
      <c r="L130" s="382">
        <v>45575</v>
      </c>
      <c r="M130" s="381"/>
      <c r="N130" s="381"/>
      <c r="O130" s="381"/>
      <c r="P130" s="381"/>
      <c r="Q130" s="381"/>
      <c r="R130" s="381"/>
      <c r="S130" s="381"/>
      <c r="T130" s="381"/>
      <c r="U130" s="381"/>
      <c r="V130" s="381">
        <v>0</v>
      </c>
      <c r="W130" s="381"/>
      <c r="X130" s="264">
        <v>1.831</v>
      </c>
      <c r="Y130" s="97"/>
      <c r="Z130" s="96"/>
      <c r="AB130" s="96"/>
      <c r="AC130" s="96"/>
      <c r="AD130" s="70"/>
      <c r="AE130" s="70"/>
      <c r="AF130" s="70"/>
      <c r="AG130" s="70"/>
      <c r="AH130" s="70"/>
      <c r="AI130" s="70"/>
      <c r="AJ130" s="70"/>
      <c r="AK130" s="70"/>
      <c r="AL130" s="70"/>
      <c r="AM130" s="70"/>
    </row>
    <row r="131" spans="1:39" x14ac:dyDescent="0.25">
      <c r="A131" s="381">
        <f t="shared" si="1"/>
        <v>117</v>
      </c>
      <c r="B131" s="893" t="s">
        <v>5863</v>
      </c>
      <c r="C131" s="495" t="s">
        <v>6079</v>
      </c>
      <c r="D131" s="381" t="s">
        <v>156</v>
      </c>
      <c r="E131" s="381">
        <v>3.12</v>
      </c>
      <c r="F131" s="381">
        <v>20</v>
      </c>
      <c r="G131" s="892">
        <v>0.53913600000000006</v>
      </c>
      <c r="H131" s="381" t="s">
        <v>139</v>
      </c>
      <c r="I131" s="381" t="s">
        <v>6080</v>
      </c>
      <c r="J131" s="381" t="s">
        <v>4518</v>
      </c>
      <c r="K131" s="381">
        <v>24849566</v>
      </c>
      <c r="L131" s="382">
        <v>45614</v>
      </c>
      <c r="M131" s="381"/>
      <c r="N131" s="381"/>
      <c r="O131" s="381"/>
      <c r="P131" s="381"/>
      <c r="Q131" s="381"/>
      <c r="R131" s="381"/>
      <c r="S131" s="381"/>
      <c r="T131" s="381"/>
      <c r="U131" s="381"/>
      <c r="V131" s="381">
        <v>0</v>
      </c>
      <c r="W131" s="381"/>
      <c r="X131" s="264">
        <v>3.12</v>
      </c>
      <c r="Y131" s="97"/>
      <c r="Z131" s="96"/>
      <c r="AB131" s="96"/>
      <c r="AC131" s="96"/>
      <c r="AD131" s="70"/>
      <c r="AE131" s="70"/>
      <c r="AF131" s="70"/>
      <c r="AG131" s="70"/>
      <c r="AH131" s="70"/>
      <c r="AI131" s="70"/>
      <c r="AJ131" s="70"/>
      <c r="AK131" s="70"/>
      <c r="AL131" s="70"/>
      <c r="AM131" s="70"/>
    </row>
    <row r="132" spans="1:39" x14ac:dyDescent="0.25">
      <c r="A132" s="381">
        <f t="shared" si="1"/>
        <v>118</v>
      </c>
      <c r="B132" s="893" t="s">
        <v>6081</v>
      </c>
      <c r="C132" s="495" t="s">
        <v>6082</v>
      </c>
      <c r="D132" s="381" t="s">
        <v>160</v>
      </c>
      <c r="E132" s="381">
        <v>1.34368</v>
      </c>
      <c r="F132" s="381">
        <v>20</v>
      </c>
      <c r="G132" s="892">
        <v>8.0123903999999996E-2</v>
      </c>
      <c r="H132" s="381" t="s">
        <v>4176</v>
      </c>
      <c r="I132" s="381" t="s">
        <v>6083</v>
      </c>
      <c r="J132" s="381" t="s">
        <v>4518</v>
      </c>
      <c r="K132" s="381">
        <v>25028986</v>
      </c>
      <c r="L132" s="382">
        <v>45614</v>
      </c>
      <c r="M132" s="381">
        <v>25028986</v>
      </c>
      <c r="N132" s="382">
        <v>45621</v>
      </c>
      <c r="O132" s="381"/>
      <c r="P132" s="381"/>
      <c r="Q132" s="381"/>
      <c r="R132" s="381"/>
      <c r="S132" s="381"/>
      <c r="T132" s="381"/>
      <c r="U132" s="381"/>
      <c r="V132" s="381">
        <v>0.88</v>
      </c>
      <c r="W132" s="381"/>
      <c r="X132" s="264">
        <v>0.46367999999999998</v>
      </c>
      <c r="Y132" s="97"/>
      <c r="Z132" s="96"/>
      <c r="AB132" s="96"/>
      <c r="AC132" s="96"/>
      <c r="AD132" s="70"/>
      <c r="AE132" s="70"/>
      <c r="AF132" s="70"/>
      <c r="AG132" s="70"/>
      <c r="AH132" s="70"/>
      <c r="AI132" s="70"/>
      <c r="AJ132" s="70"/>
      <c r="AK132" s="70"/>
      <c r="AL132" s="70"/>
      <c r="AM132" s="70"/>
    </row>
    <row r="133" spans="1:39" x14ac:dyDescent="0.25">
      <c r="B133" s="461"/>
      <c r="C133" s="461"/>
      <c r="D133" s="461"/>
      <c r="E133" s="461"/>
      <c r="F133" s="461"/>
      <c r="G133" s="461"/>
      <c r="H133" s="461"/>
      <c r="I133" s="461"/>
      <c r="J133" s="469"/>
      <c r="K133" s="465"/>
      <c r="L133" s="469"/>
      <c r="M133" s="465"/>
      <c r="N133" s="461"/>
      <c r="O133" s="461"/>
      <c r="P133" s="461"/>
      <c r="Q133" s="461"/>
      <c r="R133" s="462"/>
      <c r="S133" s="465"/>
      <c r="T133" s="461"/>
      <c r="U133" s="461"/>
      <c r="V133" s="461"/>
      <c r="W133" s="461"/>
      <c r="X133" s="70"/>
      <c r="Y133" s="87"/>
    </row>
    <row r="134" spans="1:39" ht="25.5" x14ac:dyDescent="0.25">
      <c r="A134" s="45">
        <v>1</v>
      </c>
      <c r="B134" s="476" t="s">
        <v>174</v>
      </c>
      <c r="C134" s="45" t="s">
        <v>175</v>
      </c>
      <c r="D134" s="45" t="s">
        <v>176</v>
      </c>
      <c r="E134" s="45">
        <v>1.6</v>
      </c>
      <c r="F134" s="45" t="s">
        <v>177</v>
      </c>
      <c r="G134" s="45" t="s">
        <v>178</v>
      </c>
      <c r="H134" s="45">
        <v>0.19872000000000004</v>
      </c>
      <c r="I134" s="45" t="s">
        <v>165</v>
      </c>
      <c r="J134" s="207" t="s">
        <v>179</v>
      </c>
      <c r="K134" s="63">
        <v>44277</v>
      </c>
      <c r="L134" s="477" t="s">
        <v>179</v>
      </c>
      <c r="M134" s="364">
        <v>44671</v>
      </c>
      <c r="N134" s="45" t="s">
        <v>25</v>
      </c>
      <c r="O134" s="45" t="s">
        <v>25</v>
      </c>
      <c r="P134" s="45" t="s">
        <v>25</v>
      </c>
      <c r="Q134" s="45" t="s">
        <v>25</v>
      </c>
      <c r="R134" s="238" t="s">
        <v>25</v>
      </c>
      <c r="S134" s="63" t="s">
        <v>25</v>
      </c>
      <c r="T134" s="45" t="s">
        <v>25</v>
      </c>
      <c r="U134" s="45" t="s">
        <v>180</v>
      </c>
      <c r="V134" s="45"/>
      <c r="W134" s="143"/>
      <c r="X134" s="70"/>
      <c r="Y134" s="87"/>
    </row>
    <row r="135" spans="1:39" ht="25.5" x14ac:dyDescent="0.25">
      <c r="A135" s="45">
        <v>2</v>
      </c>
      <c r="B135" s="476" t="s">
        <v>181</v>
      </c>
      <c r="C135" s="45" t="s">
        <v>182</v>
      </c>
      <c r="D135" s="45" t="s">
        <v>176</v>
      </c>
      <c r="E135" s="45">
        <v>1.1839999999999999</v>
      </c>
      <c r="F135" s="45" t="s">
        <v>183</v>
      </c>
      <c r="G135" s="45" t="s">
        <v>184</v>
      </c>
      <c r="H135" s="45">
        <v>3.8361599999999996E-2</v>
      </c>
      <c r="I135" s="45" t="s">
        <v>165</v>
      </c>
      <c r="J135" s="207" t="s">
        <v>185</v>
      </c>
      <c r="K135" s="63">
        <v>44343</v>
      </c>
      <c r="L135" s="477" t="s">
        <v>185</v>
      </c>
      <c r="M135" s="364">
        <v>44649</v>
      </c>
      <c r="N135" s="45" t="s">
        <v>25</v>
      </c>
      <c r="O135" s="45" t="s">
        <v>25</v>
      </c>
      <c r="P135" s="45" t="s">
        <v>25</v>
      </c>
      <c r="Q135" s="45" t="s">
        <v>25</v>
      </c>
      <c r="R135" s="238" t="s">
        <v>25</v>
      </c>
      <c r="S135" s="63" t="s">
        <v>25</v>
      </c>
      <c r="T135" s="45" t="s">
        <v>25</v>
      </c>
      <c r="U135" s="45" t="s">
        <v>186</v>
      </c>
      <c r="V135" s="45"/>
      <c r="W135" s="45"/>
    </row>
    <row r="136" spans="1:39" ht="25.5" x14ac:dyDescent="0.25">
      <c r="A136" s="45">
        <v>3</v>
      </c>
      <c r="B136" s="476" t="s">
        <v>188</v>
      </c>
      <c r="C136" s="45" t="s">
        <v>189</v>
      </c>
      <c r="D136" s="45" t="s">
        <v>190</v>
      </c>
      <c r="E136" s="45">
        <v>1.216</v>
      </c>
      <c r="F136" s="45" t="s">
        <v>177</v>
      </c>
      <c r="G136" s="45" t="s">
        <v>191</v>
      </c>
      <c r="H136" s="45">
        <v>0.2101248</v>
      </c>
      <c r="I136" s="45" t="s">
        <v>165</v>
      </c>
      <c r="J136" s="207" t="s">
        <v>192</v>
      </c>
      <c r="K136" s="63">
        <v>44497</v>
      </c>
      <c r="L136" s="477" t="s">
        <v>192</v>
      </c>
      <c r="M136" s="364">
        <v>44721</v>
      </c>
      <c r="N136" s="45" t="s">
        <v>25</v>
      </c>
      <c r="O136" s="45" t="s">
        <v>25</v>
      </c>
      <c r="P136" s="45" t="s">
        <v>25</v>
      </c>
      <c r="Q136" s="45" t="s">
        <v>25</v>
      </c>
      <c r="R136" s="238" t="s">
        <v>25</v>
      </c>
      <c r="S136" s="63" t="s">
        <v>25</v>
      </c>
      <c r="T136" s="45" t="s">
        <v>25</v>
      </c>
      <c r="U136" s="45">
        <v>0</v>
      </c>
      <c r="V136" s="45"/>
      <c r="W136" s="45"/>
    </row>
    <row r="137" spans="1:39" ht="25.5" x14ac:dyDescent="0.25">
      <c r="A137" s="45">
        <v>4</v>
      </c>
      <c r="B137" s="476" t="s">
        <v>193</v>
      </c>
      <c r="C137" s="45" t="s">
        <v>194</v>
      </c>
      <c r="D137" s="45" t="s">
        <v>187</v>
      </c>
      <c r="E137" s="45">
        <v>4.01</v>
      </c>
      <c r="F137" s="45" t="s">
        <v>177</v>
      </c>
      <c r="G137" s="45" t="s">
        <v>195</v>
      </c>
      <c r="H137" s="45">
        <v>0.69292799999999999</v>
      </c>
      <c r="I137" s="45" t="s">
        <v>165</v>
      </c>
      <c r="J137" s="207" t="s">
        <v>196</v>
      </c>
      <c r="K137" s="63">
        <v>44223</v>
      </c>
      <c r="L137" s="477" t="s">
        <v>196</v>
      </c>
      <c r="M137" s="364">
        <v>44662</v>
      </c>
      <c r="N137" s="45" t="s">
        <v>25</v>
      </c>
      <c r="O137" s="45" t="s">
        <v>25</v>
      </c>
      <c r="P137" s="45" t="s">
        <v>25</v>
      </c>
      <c r="Q137" s="45" t="s">
        <v>25</v>
      </c>
      <c r="R137" s="238" t="s">
        <v>25</v>
      </c>
      <c r="S137" s="63" t="s">
        <v>25</v>
      </c>
      <c r="T137" s="45" t="s">
        <v>25</v>
      </c>
      <c r="U137" s="45">
        <v>0</v>
      </c>
      <c r="V137" s="45"/>
      <c r="W137" s="45"/>
    </row>
    <row r="138" spans="1:39" ht="25.5" x14ac:dyDescent="0.25">
      <c r="A138" s="45">
        <v>5</v>
      </c>
      <c r="B138" s="476" t="s">
        <v>193</v>
      </c>
      <c r="C138" s="45" t="s">
        <v>197</v>
      </c>
      <c r="D138" s="45" t="s">
        <v>187</v>
      </c>
      <c r="E138" s="45">
        <v>3.0225</v>
      </c>
      <c r="F138" s="45" t="s">
        <v>177</v>
      </c>
      <c r="G138" s="45" t="s">
        <v>195</v>
      </c>
      <c r="H138" s="45">
        <v>0.52228799999999997</v>
      </c>
      <c r="I138" s="45" t="s">
        <v>165</v>
      </c>
      <c r="J138" s="207" t="s">
        <v>198</v>
      </c>
      <c r="K138" s="63">
        <v>44209</v>
      </c>
      <c r="L138" s="477" t="s">
        <v>198</v>
      </c>
      <c r="M138" s="364">
        <v>44642</v>
      </c>
      <c r="N138" s="45" t="s">
        <v>25</v>
      </c>
      <c r="O138" s="45" t="s">
        <v>25</v>
      </c>
      <c r="P138" s="45" t="s">
        <v>25</v>
      </c>
      <c r="Q138" s="45" t="s">
        <v>25</v>
      </c>
      <c r="R138" s="238" t="s">
        <v>25</v>
      </c>
      <c r="S138" s="63" t="s">
        <v>25</v>
      </c>
      <c r="T138" s="45" t="s">
        <v>25</v>
      </c>
      <c r="U138" s="45">
        <v>0</v>
      </c>
      <c r="V138" s="45"/>
      <c r="W138" s="45"/>
    </row>
    <row r="139" spans="1:39" ht="25.5" x14ac:dyDescent="0.25">
      <c r="A139" s="45">
        <v>6</v>
      </c>
      <c r="B139" s="476" t="s">
        <v>193</v>
      </c>
      <c r="C139" s="45" t="s">
        <v>199</v>
      </c>
      <c r="D139" s="45" t="s">
        <v>187</v>
      </c>
      <c r="E139" s="45">
        <v>6.3959999999999999</v>
      </c>
      <c r="F139" s="45" t="s">
        <v>177</v>
      </c>
      <c r="G139" s="45" t="s">
        <v>195</v>
      </c>
      <c r="H139" s="45">
        <v>1.1052288000000001</v>
      </c>
      <c r="I139" s="45" t="s">
        <v>165</v>
      </c>
      <c r="J139" s="207" t="s">
        <v>200</v>
      </c>
      <c r="K139" s="63">
        <v>44209</v>
      </c>
      <c r="L139" s="477" t="s">
        <v>200</v>
      </c>
      <c r="M139" s="364">
        <v>44662</v>
      </c>
      <c r="N139" s="45" t="s">
        <v>25</v>
      </c>
      <c r="O139" s="45" t="s">
        <v>25</v>
      </c>
      <c r="P139" s="45" t="s">
        <v>25</v>
      </c>
      <c r="Q139" s="45" t="s">
        <v>25</v>
      </c>
      <c r="R139" s="238" t="s">
        <v>25</v>
      </c>
      <c r="S139" s="63" t="s">
        <v>25</v>
      </c>
      <c r="T139" s="45" t="s">
        <v>25</v>
      </c>
      <c r="U139" s="45">
        <v>0</v>
      </c>
      <c r="V139" s="45"/>
      <c r="W139" s="45"/>
    </row>
    <row r="140" spans="1:39" ht="25.5" x14ac:dyDescent="0.25">
      <c r="A140" s="45">
        <v>7</v>
      </c>
      <c r="B140" s="476" t="s">
        <v>193</v>
      </c>
      <c r="C140" s="45" t="s">
        <v>201</v>
      </c>
      <c r="D140" s="45" t="s">
        <v>170</v>
      </c>
      <c r="E140" s="45">
        <v>1.625</v>
      </c>
      <c r="F140" s="45" t="s">
        <v>177</v>
      </c>
      <c r="G140" s="45" t="s">
        <v>202</v>
      </c>
      <c r="H140" s="45">
        <v>0.28079999999999999</v>
      </c>
      <c r="I140" s="45" t="s">
        <v>165</v>
      </c>
      <c r="J140" s="207" t="s">
        <v>203</v>
      </c>
      <c r="K140" s="63">
        <v>44215</v>
      </c>
      <c r="L140" s="477" t="s">
        <v>203</v>
      </c>
      <c r="M140" s="364">
        <v>44645</v>
      </c>
      <c r="N140" s="45" t="s">
        <v>25</v>
      </c>
      <c r="O140" s="45" t="s">
        <v>25</v>
      </c>
      <c r="P140" s="45" t="s">
        <v>25</v>
      </c>
      <c r="Q140" s="45" t="s">
        <v>25</v>
      </c>
      <c r="R140" s="238" t="s">
        <v>25</v>
      </c>
      <c r="S140" s="63" t="s">
        <v>25</v>
      </c>
      <c r="T140" s="45" t="s">
        <v>25</v>
      </c>
      <c r="U140" s="45">
        <v>0</v>
      </c>
      <c r="V140" s="45"/>
      <c r="W140" s="45"/>
    </row>
    <row r="141" spans="1:39" ht="25.5" x14ac:dyDescent="0.25">
      <c r="A141" s="45">
        <v>8</v>
      </c>
      <c r="B141" s="476" t="s">
        <v>204</v>
      </c>
      <c r="C141" s="45" t="s">
        <v>205</v>
      </c>
      <c r="D141" s="45" t="s">
        <v>187</v>
      </c>
      <c r="E141" s="45">
        <v>1.9</v>
      </c>
      <c r="F141" s="45" t="s">
        <v>177</v>
      </c>
      <c r="G141" s="45" t="s">
        <v>206</v>
      </c>
      <c r="H141" s="45">
        <v>0.31898880000000002</v>
      </c>
      <c r="I141" s="45" t="s">
        <v>165</v>
      </c>
      <c r="J141" s="207" t="s">
        <v>207</v>
      </c>
      <c r="K141" s="63">
        <v>44258</v>
      </c>
      <c r="L141" s="477" t="s">
        <v>207</v>
      </c>
      <c r="M141" s="364">
        <v>44636</v>
      </c>
      <c r="N141" s="45" t="s">
        <v>25</v>
      </c>
      <c r="O141" s="45" t="s">
        <v>25</v>
      </c>
      <c r="P141" s="45" t="s">
        <v>25</v>
      </c>
      <c r="Q141" s="45" t="s">
        <v>25</v>
      </c>
      <c r="R141" s="238" t="s">
        <v>25</v>
      </c>
      <c r="S141" s="63" t="s">
        <v>25</v>
      </c>
      <c r="T141" s="45" t="s">
        <v>25</v>
      </c>
      <c r="U141" s="45" t="s">
        <v>208</v>
      </c>
      <c r="V141" s="45"/>
      <c r="W141" s="45"/>
    </row>
    <row r="142" spans="1:39" ht="25.5" x14ac:dyDescent="0.25">
      <c r="A142" s="45">
        <v>9</v>
      </c>
      <c r="B142" s="45" t="s">
        <v>209</v>
      </c>
      <c r="C142" s="45" t="s">
        <v>210</v>
      </c>
      <c r="D142" s="45" t="s">
        <v>176</v>
      </c>
      <c r="E142" s="45">
        <v>2.048</v>
      </c>
      <c r="F142" s="45" t="s">
        <v>177</v>
      </c>
      <c r="G142" s="45" t="s">
        <v>184</v>
      </c>
      <c r="H142" s="45">
        <v>0.35389440000000005</v>
      </c>
      <c r="I142" s="45" t="s">
        <v>165</v>
      </c>
      <c r="J142" s="207" t="s">
        <v>211</v>
      </c>
      <c r="K142" s="63">
        <v>44252</v>
      </c>
      <c r="L142" s="363" t="s">
        <v>211</v>
      </c>
      <c r="M142" s="364">
        <v>44579</v>
      </c>
      <c r="N142" s="45" t="s">
        <v>25</v>
      </c>
      <c r="O142" s="45" t="s">
        <v>25</v>
      </c>
      <c r="P142" s="45" t="s">
        <v>25</v>
      </c>
      <c r="Q142" s="45" t="s">
        <v>25</v>
      </c>
      <c r="R142" s="238" t="s">
        <v>25</v>
      </c>
      <c r="S142" s="63" t="s">
        <v>25</v>
      </c>
      <c r="T142" s="45" t="s">
        <v>25</v>
      </c>
      <c r="U142" s="45">
        <v>0</v>
      </c>
      <c r="V142" s="45"/>
      <c r="W142" s="45"/>
    </row>
    <row r="143" spans="1:39" ht="25.5" x14ac:dyDescent="0.25">
      <c r="A143" s="45">
        <v>10</v>
      </c>
      <c r="B143" s="45" t="s">
        <v>212</v>
      </c>
      <c r="C143" s="45" t="s">
        <v>213</v>
      </c>
      <c r="D143" s="45" t="s">
        <v>173</v>
      </c>
      <c r="E143" s="45">
        <v>1.163</v>
      </c>
      <c r="F143" s="45" t="s">
        <v>177</v>
      </c>
      <c r="G143" s="45" t="s">
        <v>178</v>
      </c>
      <c r="H143" s="45">
        <v>5.9787504000000005E-2</v>
      </c>
      <c r="I143" s="45" t="s">
        <v>165</v>
      </c>
      <c r="J143" s="207" t="s">
        <v>214</v>
      </c>
      <c r="K143" s="63">
        <v>44314</v>
      </c>
      <c r="L143" s="363" t="s">
        <v>214</v>
      </c>
      <c r="M143" s="364">
        <v>44515</v>
      </c>
      <c r="N143" s="45" t="s">
        <v>25</v>
      </c>
      <c r="O143" s="45" t="s">
        <v>25</v>
      </c>
      <c r="P143" s="45" t="s">
        <v>25</v>
      </c>
      <c r="Q143" s="45" t="s">
        <v>25</v>
      </c>
      <c r="R143" s="238" t="s">
        <v>25</v>
      </c>
      <c r="S143" s="63" t="s">
        <v>25</v>
      </c>
      <c r="T143" s="45" t="s">
        <v>25</v>
      </c>
      <c r="U143" s="45">
        <v>0</v>
      </c>
      <c r="V143" s="45"/>
      <c r="W143" s="45"/>
    </row>
    <row r="144" spans="1:39" ht="25.5" x14ac:dyDescent="0.25">
      <c r="A144" s="45">
        <v>11</v>
      </c>
      <c r="B144" s="476" t="s">
        <v>215</v>
      </c>
      <c r="C144" s="45" t="s">
        <v>216</v>
      </c>
      <c r="D144" s="45" t="s">
        <v>173</v>
      </c>
      <c r="E144" s="45">
        <v>6.0869999999999997</v>
      </c>
      <c r="F144" s="45" t="s">
        <v>217</v>
      </c>
      <c r="G144" s="45" t="s">
        <v>218</v>
      </c>
      <c r="H144" s="45">
        <v>1.46088</v>
      </c>
      <c r="I144" s="45" t="s">
        <v>165</v>
      </c>
      <c r="J144" s="207" t="s">
        <v>219</v>
      </c>
      <c r="K144" s="63">
        <v>44565</v>
      </c>
      <c r="L144" s="477" t="s">
        <v>219</v>
      </c>
      <c r="M144" s="364">
        <v>44934</v>
      </c>
      <c r="N144" s="45" t="s">
        <v>25</v>
      </c>
      <c r="O144" s="45" t="s">
        <v>25</v>
      </c>
      <c r="P144" s="45" t="s">
        <v>25</v>
      </c>
      <c r="Q144" s="45" t="s">
        <v>25</v>
      </c>
      <c r="R144" s="238" t="s">
        <v>25</v>
      </c>
      <c r="S144" s="63" t="s">
        <v>25</v>
      </c>
      <c r="T144" s="45" t="s">
        <v>25</v>
      </c>
      <c r="U144" s="45">
        <v>0</v>
      </c>
      <c r="V144" s="45"/>
      <c r="W144" s="45"/>
    </row>
    <row r="145" spans="1:25" ht="25.5" x14ac:dyDescent="0.25">
      <c r="A145" s="45">
        <v>12</v>
      </c>
      <c r="B145" s="45" t="s">
        <v>220</v>
      </c>
      <c r="C145" s="45" t="s">
        <v>221</v>
      </c>
      <c r="D145" s="45" t="s">
        <v>176</v>
      </c>
      <c r="E145" s="45">
        <v>1.1259999999999999</v>
      </c>
      <c r="F145" s="45" t="s">
        <v>222</v>
      </c>
      <c r="G145" s="45" t="s">
        <v>223</v>
      </c>
      <c r="H145" s="45">
        <v>9.1065599999999997E-2</v>
      </c>
      <c r="I145" s="45" t="s">
        <v>165</v>
      </c>
      <c r="J145" s="207" t="s">
        <v>224</v>
      </c>
      <c r="K145" s="63">
        <v>44421</v>
      </c>
      <c r="L145" s="363" t="s">
        <v>224</v>
      </c>
      <c r="M145" s="364">
        <v>44544</v>
      </c>
      <c r="N145" s="45" t="s">
        <v>25</v>
      </c>
      <c r="O145" s="45" t="s">
        <v>25</v>
      </c>
      <c r="P145" s="45" t="s">
        <v>25</v>
      </c>
      <c r="Q145" s="45" t="s">
        <v>25</v>
      </c>
      <c r="R145" s="238" t="s">
        <v>25</v>
      </c>
      <c r="S145" s="63" t="s">
        <v>25</v>
      </c>
      <c r="T145" s="45" t="s">
        <v>25</v>
      </c>
      <c r="U145" s="45">
        <v>0.59899999999999998</v>
      </c>
      <c r="V145" s="45"/>
      <c r="W145" s="45"/>
    </row>
    <row r="146" spans="1:25" s="219" customFormat="1" x14ac:dyDescent="0.25">
      <c r="A146" s="45">
        <v>13</v>
      </c>
      <c r="B146" s="221" t="s">
        <v>225</v>
      </c>
      <c r="C146" s="221" t="s">
        <v>226</v>
      </c>
      <c r="D146" s="221" t="s">
        <v>163</v>
      </c>
      <c r="E146" s="221">
        <v>3</v>
      </c>
      <c r="F146" s="221" t="s">
        <v>177</v>
      </c>
      <c r="G146" s="221" t="s">
        <v>227</v>
      </c>
      <c r="H146" s="221">
        <v>0.31104000000000004</v>
      </c>
      <c r="I146" s="221" t="s">
        <v>165</v>
      </c>
      <c r="J146" s="222" t="s">
        <v>228</v>
      </c>
      <c r="K146" s="223">
        <v>44487</v>
      </c>
      <c r="L146" s="365" t="s">
        <v>228</v>
      </c>
      <c r="M146" s="366">
        <v>44511</v>
      </c>
      <c r="N146" s="45" t="s">
        <v>25</v>
      </c>
      <c r="O146" s="221" t="s">
        <v>25</v>
      </c>
      <c r="P146" s="221" t="s">
        <v>25</v>
      </c>
      <c r="Q146" s="221" t="s">
        <v>25</v>
      </c>
      <c r="R146" s="787" t="s">
        <v>25</v>
      </c>
      <c r="S146" s="223" t="s">
        <v>25</v>
      </c>
      <c r="T146" s="221" t="s">
        <v>25</v>
      </c>
      <c r="U146" s="221">
        <v>1.2</v>
      </c>
      <c r="V146" s="221"/>
      <c r="W146" s="221"/>
      <c r="Y146" s="220"/>
    </row>
    <row r="147" spans="1:25" ht="25.5" x14ac:dyDescent="0.25">
      <c r="A147" s="45">
        <v>14</v>
      </c>
      <c r="B147" s="45" t="s">
        <v>209</v>
      </c>
      <c r="C147" s="45" t="s">
        <v>229</v>
      </c>
      <c r="D147" s="45" t="s">
        <v>176</v>
      </c>
      <c r="E147" s="45">
        <v>2.2999999999999998</v>
      </c>
      <c r="F147" s="45" t="s">
        <v>177</v>
      </c>
      <c r="G147" s="45" t="s">
        <v>230</v>
      </c>
      <c r="H147" s="45">
        <v>0.39744000000000002</v>
      </c>
      <c r="I147" s="45" t="s">
        <v>165</v>
      </c>
      <c r="J147" s="207" t="s">
        <v>231</v>
      </c>
      <c r="K147" s="63">
        <v>44505</v>
      </c>
      <c r="L147" s="363" t="s">
        <v>231</v>
      </c>
      <c r="M147" s="364">
        <v>44567</v>
      </c>
      <c r="N147" s="364" t="s">
        <v>3948</v>
      </c>
      <c r="O147" s="45" t="s">
        <v>25</v>
      </c>
      <c r="P147" s="45" t="s">
        <v>25</v>
      </c>
      <c r="Q147" s="45" t="s">
        <v>25</v>
      </c>
      <c r="R147" s="238" t="s">
        <v>25</v>
      </c>
      <c r="S147" s="63" t="s">
        <v>25</v>
      </c>
      <c r="T147" s="45" t="s">
        <v>25</v>
      </c>
      <c r="U147" s="45">
        <v>0</v>
      </c>
      <c r="V147" s="45"/>
      <c r="W147" s="45"/>
    </row>
    <row r="148" spans="1:25" ht="25.5" x14ac:dyDescent="0.25">
      <c r="A148" s="45">
        <v>15</v>
      </c>
      <c r="B148" s="476" t="s">
        <v>193</v>
      </c>
      <c r="C148" s="45" t="s">
        <v>232</v>
      </c>
      <c r="D148" s="45" t="s">
        <v>176</v>
      </c>
      <c r="E148" s="45">
        <v>17.5</v>
      </c>
      <c r="F148" s="45" t="s">
        <v>217</v>
      </c>
      <c r="G148" s="45" t="s">
        <v>233</v>
      </c>
      <c r="H148" s="45">
        <v>4.1999997599999999</v>
      </c>
      <c r="I148" s="45" t="s">
        <v>165</v>
      </c>
      <c r="J148" s="207" t="s">
        <v>234</v>
      </c>
      <c r="K148" s="63">
        <v>44549</v>
      </c>
      <c r="L148" s="477" t="s">
        <v>234</v>
      </c>
      <c r="M148" s="364">
        <v>44728</v>
      </c>
      <c r="N148" s="45" t="s">
        <v>25</v>
      </c>
      <c r="O148" s="45" t="s">
        <v>25</v>
      </c>
      <c r="P148" s="45" t="s">
        <v>25</v>
      </c>
      <c r="Q148" s="45" t="s">
        <v>25</v>
      </c>
      <c r="R148" s="238" t="s">
        <v>25</v>
      </c>
      <c r="S148" s="63" t="s">
        <v>25</v>
      </c>
      <c r="T148" s="45" t="s">
        <v>25</v>
      </c>
      <c r="U148" s="45">
        <v>9.9999999999999995E-7</v>
      </c>
      <c r="V148" s="45"/>
      <c r="W148" s="45"/>
    </row>
    <row r="149" spans="1:25" ht="25.5" x14ac:dyDescent="0.25">
      <c r="A149" s="45">
        <v>16</v>
      </c>
      <c r="B149" s="476" t="s">
        <v>236</v>
      </c>
      <c r="C149" s="45" t="s">
        <v>237</v>
      </c>
      <c r="D149" s="45" t="s">
        <v>173</v>
      </c>
      <c r="E149" s="45">
        <v>1.048</v>
      </c>
      <c r="F149" s="45" t="s">
        <v>177</v>
      </c>
      <c r="G149" s="45" t="s">
        <v>238</v>
      </c>
      <c r="H149" s="45">
        <v>0.18109440000000002</v>
      </c>
      <c r="I149" s="45" t="s">
        <v>165</v>
      </c>
      <c r="J149" s="207" t="s">
        <v>239</v>
      </c>
      <c r="K149" s="63">
        <v>44573</v>
      </c>
      <c r="L149" s="477" t="s">
        <v>239</v>
      </c>
      <c r="M149" s="364">
        <v>44904</v>
      </c>
      <c r="N149" s="45" t="s">
        <v>25</v>
      </c>
      <c r="O149" s="45" t="s">
        <v>25</v>
      </c>
      <c r="P149" s="45" t="s">
        <v>25</v>
      </c>
      <c r="Q149" s="45" t="s">
        <v>25</v>
      </c>
      <c r="R149" s="238" t="s">
        <v>25</v>
      </c>
      <c r="S149" s="63" t="s">
        <v>25</v>
      </c>
      <c r="T149" s="45" t="s">
        <v>25</v>
      </c>
      <c r="U149" s="45">
        <v>0</v>
      </c>
      <c r="V149" s="45"/>
      <c r="W149" s="45"/>
    </row>
    <row r="150" spans="1:25" ht="25.5" x14ac:dyDescent="0.25">
      <c r="A150" s="45">
        <v>17</v>
      </c>
      <c r="B150" s="45" t="s">
        <v>240</v>
      </c>
      <c r="C150" s="45" t="s">
        <v>241</v>
      </c>
      <c r="D150" s="45" t="s">
        <v>173</v>
      </c>
      <c r="E150" s="45">
        <v>2</v>
      </c>
      <c r="F150" s="45" t="s">
        <v>177</v>
      </c>
      <c r="G150" s="45" t="s">
        <v>242</v>
      </c>
      <c r="H150" s="45">
        <v>0.34560000000000002</v>
      </c>
      <c r="I150" s="45" t="s">
        <v>165</v>
      </c>
      <c r="J150" s="207" t="s">
        <v>243</v>
      </c>
      <c r="K150" s="63">
        <v>43284</v>
      </c>
      <c r="L150" s="363" t="s">
        <v>243</v>
      </c>
      <c r="M150" s="364">
        <v>43675</v>
      </c>
      <c r="N150" s="45" t="s">
        <v>25</v>
      </c>
      <c r="O150" s="45" t="s">
        <v>25</v>
      </c>
      <c r="P150" s="45" t="s">
        <v>25</v>
      </c>
      <c r="Q150" s="45" t="s">
        <v>25</v>
      </c>
      <c r="R150" s="238" t="s">
        <v>25</v>
      </c>
      <c r="S150" s="63" t="s">
        <v>25</v>
      </c>
      <c r="T150" s="45" t="s">
        <v>25</v>
      </c>
      <c r="U150" s="45">
        <v>0</v>
      </c>
      <c r="V150" s="45"/>
      <c r="W150" s="45"/>
    </row>
    <row r="151" spans="1:25" ht="25.5" x14ac:dyDescent="0.25">
      <c r="A151" s="45">
        <v>18</v>
      </c>
      <c r="B151" s="45" t="s">
        <v>244</v>
      </c>
      <c r="C151" s="45" t="s">
        <v>245</v>
      </c>
      <c r="D151" s="45" t="s">
        <v>176</v>
      </c>
      <c r="E151" s="45">
        <v>18.356200000000001</v>
      </c>
      <c r="F151" s="45" t="s">
        <v>217</v>
      </c>
      <c r="G151" s="45" t="s">
        <v>1169</v>
      </c>
      <c r="H151" s="45">
        <v>2.845488</v>
      </c>
      <c r="I151" s="45" t="s">
        <v>165</v>
      </c>
      <c r="J151" s="207" t="s">
        <v>246</v>
      </c>
      <c r="K151" s="63">
        <v>43902</v>
      </c>
      <c r="L151" s="363" t="s">
        <v>246</v>
      </c>
      <c r="M151" s="364">
        <v>44335</v>
      </c>
      <c r="N151" s="45" t="s">
        <v>25</v>
      </c>
      <c r="O151" s="45" t="s">
        <v>25</v>
      </c>
      <c r="P151" s="45" t="s">
        <v>25</v>
      </c>
      <c r="Q151" s="45" t="s">
        <v>25</v>
      </c>
      <c r="R151" s="238" t="s">
        <v>25</v>
      </c>
      <c r="S151" s="63" t="s">
        <v>25</v>
      </c>
      <c r="T151" s="45" t="s">
        <v>25</v>
      </c>
      <c r="U151" s="45">
        <v>6.5</v>
      </c>
      <c r="V151" s="45"/>
      <c r="W151" s="45"/>
    </row>
    <row r="152" spans="1:25" ht="25.5" x14ac:dyDescent="0.25">
      <c r="A152" s="45">
        <v>19</v>
      </c>
      <c r="B152" s="45" t="s">
        <v>244</v>
      </c>
      <c r="C152" s="45" t="s">
        <v>247</v>
      </c>
      <c r="D152" s="45" t="s">
        <v>173</v>
      </c>
      <c r="E152" s="45">
        <v>9</v>
      </c>
      <c r="F152" s="45" t="s">
        <v>177</v>
      </c>
      <c r="G152" s="45" t="s">
        <v>178</v>
      </c>
      <c r="H152" s="45">
        <v>1.6147200000000004</v>
      </c>
      <c r="I152" s="45" t="s">
        <v>165</v>
      </c>
      <c r="J152" s="207" t="s">
        <v>248</v>
      </c>
      <c r="K152" s="63">
        <v>44403</v>
      </c>
      <c r="L152" s="363" t="s">
        <v>248</v>
      </c>
      <c r="M152" s="364">
        <v>44547</v>
      </c>
      <c r="N152" s="45" t="s">
        <v>25</v>
      </c>
      <c r="O152" s="45" t="s">
        <v>25</v>
      </c>
      <c r="P152" s="45" t="s">
        <v>25</v>
      </c>
      <c r="Q152" s="45" t="s">
        <v>25</v>
      </c>
      <c r="R152" s="238" t="s">
        <v>25</v>
      </c>
      <c r="S152" s="63" t="s">
        <v>25</v>
      </c>
      <c r="T152" s="45" t="s">
        <v>25</v>
      </c>
      <c r="U152" s="45" t="s">
        <v>249</v>
      </c>
      <c r="V152" s="45"/>
      <c r="W152" s="45"/>
    </row>
    <row r="153" spans="1:25" ht="25.5" x14ac:dyDescent="0.25">
      <c r="A153" s="45">
        <v>20</v>
      </c>
      <c r="B153" s="45" t="s">
        <v>250</v>
      </c>
      <c r="C153" s="45" t="s">
        <v>251</v>
      </c>
      <c r="D153" s="45" t="s">
        <v>173</v>
      </c>
      <c r="E153" s="45">
        <v>1.2</v>
      </c>
      <c r="F153" s="45" t="s">
        <v>177</v>
      </c>
      <c r="G153" s="45" t="s">
        <v>252</v>
      </c>
      <c r="H153" s="45">
        <v>6.1175519999999997E-2</v>
      </c>
      <c r="I153" s="45" t="s">
        <v>165</v>
      </c>
      <c r="J153" s="207" t="s">
        <v>253</v>
      </c>
      <c r="K153" s="63">
        <v>43756</v>
      </c>
      <c r="L153" s="363" t="s">
        <v>253</v>
      </c>
      <c r="M153" s="364">
        <v>43823</v>
      </c>
      <c r="N153" s="45" t="s">
        <v>25</v>
      </c>
      <c r="O153" s="45" t="s">
        <v>25</v>
      </c>
      <c r="P153" s="45" t="s">
        <v>25</v>
      </c>
      <c r="Q153" s="45" t="s">
        <v>25</v>
      </c>
      <c r="R153" s="238" t="s">
        <v>25</v>
      </c>
      <c r="S153" s="63" t="s">
        <v>25</v>
      </c>
      <c r="T153" s="45" t="s">
        <v>25</v>
      </c>
      <c r="U153" s="45">
        <v>0.01</v>
      </c>
      <c r="V153" s="45"/>
      <c r="W153" s="45"/>
    </row>
    <row r="154" spans="1:25" ht="25.5" x14ac:dyDescent="0.25">
      <c r="A154" s="45">
        <v>21</v>
      </c>
      <c r="B154" s="45" t="s">
        <v>254</v>
      </c>
      <c r="C154" s="45" t="s">
        <v>255</v>
      </c>
      <c r="D154" s="45" t="s">
        <v>190</v>
      </c>
      <c r="E154" s="45">
        <v>1.18</v>
      </c>
      <c r="F154" s="45" t="s">
        <v>177</v>
      </c>
      <c r="G154" s="45" t="s">
        <v>256</v>
      </c>
      <c r="H154" s="45">
        <v>0.203904</v>
      </c>
      <c r="I154" s="45" t="s">
        <v>165</v>
      </c>
      <c r="J154" s="207" t="s">
        <v>257</v>
      </c>
      <c r="K154" s="63">
        <v>44008</v>
      </c>
      <c r="L154" s="363" t="s">
        <v>257</v>
      </c>
      <c r="M154" s="364">
        <v>44139</v>
      </c>
      <c r="N154" s="45" t="s">
        <v>25</v>
      </c>
      <c r="O154" s="45" t="s">
        <v>25</v>
      </c>
      <c r="P154" s="45" t="s">
        <v>25</v>
      </c>
      <c r="Q154" s="45" t="s">
        <v>25</v>
      </c>
      <c r="R154" s="238" t="s">
        <v>25</v>
      </c>
      <c r="S154" s="63" t="s">
        <v>25</v>
      </c>
      <c r="T154" s="45" t="s">
        <v>25</v>
      </c>
      <c r="U154" s="45">
        <v>0</v>
      </c>
      <c r="V154" s="45"/>
      <c r="W154" s="45"/>
    </row>
    <row r="155" spans="1:25" ht="38.25" x14ac:dyDescent="0.25">
      <c r="A155" s="45">
        <v>22</v>
      </c>
      <c r="B155" s="45" t="s">
        <v>262</v>
      </c>
      <c r="C155" s="45" t="s">
        <v>263</v>
      </c>
      <c r="D155" s="45" t="s">
        <v>176</v>
      </c>
      <c r="E155" s="226">
        <v>1.8322000000000001</v>
      </c>
      <c r="F155" s="45" t="s">
        <v>177</v>
      </c>
      <c r="G155" s="45" t="s">
        <v>178</v>
      </c>
      <c r="H155" s="45">
        <v>9.4189737600000004E-2</v>
      </c>
      <c r="I155" s="45" t="s">
        <v>165</v>
      </c>
      <c r="J155" s="207" t="s">
        <v>264</v>
      </c>
      <c r="K155" s="63">
        <v>44557</v>
      </c>
      <c r="L155" s="363" t="s">
        <v>264</v>
      </c>
      <c r="M155" s="364">
        <v>44582</v>
      </c>
      <c r="N155" s="45" t="s">
        <v>25</v>
      </c>
      <c r="O155" s="45" t="s">
        <v>25</v>
      </c>
      <c r="P155" s="45" t="s">
        <v>25</v>
      </c>
      <c r="Q155" s="45" t="s">
        <v>25</v>
      </c>
      <c r="R155" s="238" t="s">
        <v>25</v>
      </c>
      <c r="S155" s="63" t="s">
        <v>25</v>
      </c>
      <c r="T155" s="45" t="s">
        <v>25</v>
      </c>
      <c r="U155" s="45">
        <v>0</v>
      </c>
      <c r="V155" s="45"/>
      <c r="W155" s="45"/>
    </row>
    <row r="156" spans="1:25" ht="25.5" x14ac:dyDescent="0.25">
      <c r="A156" s="45">
        <v>23</v>
      </c>
      <c r="B156" s="45" t="s">
        <v>265</v>
      </c>
      <c r="C156" s="45" t="s">
        <v>266</v>
      </c>
      <c r="D156" s="45" t="s">
        <v>176</v>
      </c>
      <c r="E156" s="226">
        <v>1.1079399999999999</v>
      </c>
      <c r="F156" s="45" t="s">
        <v>177</v>
      </c>
      <c r="G156" s="45" t="s">
        <v>184</v>
      </c>
      <c r="H156" s="45">
        <v>5.6956979519999999E-2</v>
      </c>
      <c r="I156" s="45" t="s">
        <v>165</v>
      </c>
      <c r="J156" s="207" t="s">
        <v>267</v>
      </c>
      <c r="K156" s="63">
        <v>44426</v>
      </c>
      <c r="L156" s="363" t="s">
        <v>267</v>
      </c>
      <c r="M156" s="364">
        <v>45081</v>
      </c>
      <c r="N156" s="45" t="s">
        <v>25</v>
      </c>
      <c r="O156" s="45" t="s">
        <v>25</v>
      </c>
      <c r="P156" s="45" t="s">
        <v>25</v>
      </c>
      <c r="Q156" s="45" t="s">
        <v>25</v>
      </c>
      <c r="R156" s="238" t="s">
        <v>25</v>
      </c>
      <c r="S156" s="63" t="s">
        <v>25</v>
      </c>
      <c r="T156" s="45" t="s">
        <v>25</v>
      </c>
      <c r="U156" s="45">
        <v>0</v>
      </c>
      <c r="V156" s="45"/>
      <c r="W156" s="45"/>
    </row>
    <row r="157" spans="1:25" ht="38.25" x14ac:dyDescent="0.25">
      <c r="A157" s="45">
        <v>24</v>
      </c>
      <c r="B157" s="45" t="s">
        <v>807</v>
      </c>
      <c r="C157" s="45" t="s">
        <v>808</v>
      </c>
      <c r="D157" s="45" t="s">
        <v>173</v>
      </c>
      <c r="E157" s="226" t="s">
        <v>1170</v>
      </c>
      <c r="F157" s="45" t="s">
        <v>177</v>
      </c>
      <c r="G157" s="45" t="s">
        <v>178</v>
      </c>
      <c r="H157" s="45">
        <v>0.08</v>
      </c>
      <c r="I157" s="45" t="s">
        <v>165</v>
      </c>
      <c r="J157" s="207" t="s">
        <v>809</v>
      </c>
      <c r="K157" s="63" t="s">
        <v>810</v>
      </c>
      <c r="L157" s="363" t="s">
        <v>809</v>
      </c>
      <c r="M157" s="364">
        <v>44641</v>
      </c>
      <c r="N157" s="45" t="s">
        <v>25</v>
      </c>
      <c r="O157" s="45" t="s">
        <v>25</v>
      </c>
      <c r="P157" s="45" t="s">
        <v>25</v>
      </c>
      <c r="Q157" s="45" t="s">
        <v>25</v>
      </c>
      <c r="R157" s="238" t="s">
        <v>25</v>
      </c>
      <c r="S157" s="63" t="s">
        <v>25</v>
      </c>
      <c r="T157" s="45" t="s">
        <v>25</v>
      </c>
      <c r="U157" s="45">
        <v>0</v>
      </c>
      <c r="V157" s="45"/>
      <c r="W157" s="45"/>
    </row>
    <row r="158" spans="1:25" ht="25.5" x14ac:dyDescent="0.25">
      <c r="A158" s="45">
        <v>25</v>
      </c>
      <c r="B158" s="478" t="s">
        <v>1219</v>
      </c>
      <c r="C158" s="126" t="s">
        <v>1220</v>
      </c>
      <c r="D158" s="126" t="s">
        <v>173</v>
      </c>
      <c r="E158" s="226">
        <v>1.1200000000000001</v>
      </c>
      <c r="F158" s="126" t="s">
        <v>177</v>
      </c>
      <c r="G158" s="126" t="s">
        <v>261</v>
      </c>
      <c r="H158" s="126">
        <v>0.19353600000000004</v>
      </c>
      <c r="I158" s="126" t="s">
        <v>165</v>
      </c>
      <c r="J158" s="195" t="s">
        <v>1221</v>
      </c>
      <c r="K158" s="127">
        <v>44672</v>
      </c>
      <c r="L158" s="370" t="s">
        <v>1221</v>
      </c>
      <c r="M158" s="368">
        <v>44762</v>
      </c>
      <c r="N158" s="127">
        <v>45017</v>
      </c>
      <c r="O158" s="126" t="s">
        <v>25</v>
      </c>
      <c r="P158" s="126" t="s">
        <v>25</v>
      </c>
      <c r="Q158" s="126" t="s">
        <v>25</v>
      </c>
      <c r="R158" s="788" t="s">
        <v>25</v>
      </c>
      <c r="S158" s="127" t="s">
        <v>25</v>
      </c>
      <c r="T158" s="126" t="s">
        <v>25</v>
      </c>
      <c r="U158" s="126">
        <v>0</v>
      </c>
      <c r="V158" s="126">
        <v>1.1200000000000001</v>
      </c>
      <c r="W158" s="126">
        <v>1.1200000000000001</v>
      </c>
    </row>
    <row r="159" spans="1:25" ht="38.25" x14ac:dyDescent="0.25">
      <c r="A159" s="45">
        <v>26</v>
      </c>
      <c r="B159" s="478" t="s">
        <v>1225</v>
      </c>
      <c r="C159" s="126" t="s">
        <v>1226</v>
      </c>
      <c r="D159" s="126" t="s">
        <v>173</v>
      </c>
      <c r="E159" s="226">
        <v>1.7869999999999999</v>
      </c>
      <c r="F159" s="126" t="s">
        <v>177</v>
      </c>
      <c r="G159" s="126" t="s">
        <v>184</v>
      </c>
      <c r="H159" s="126">
        <v>9.1866095999999994E-2</v>
      </c>
      <c r="I159" s="126" t="s">
        <v>165</v>
      </c>
      <c r="J159" s="195" t="s">
        <v>1227</v>
      </c>
      <c r="K159" s="127">
        <v>44637</v>
      </c>
      <c r="L159" s="368" t="s">
        <v>3672</v>
      </c>
      <c r="M159" s="368">
        <v>44910</v>
      </c>
      <c r="N159" s="126" t="s">
        <v>25</v>
      </c>
      <c r="O159" s="126" t="s">
        <v>25</v>
      </c>
      <c r="P159" s="126" t="s">
        <v>25</v>
      </c>
      <c r="Q159" s="126" t="s">
        <v>25</v>
      </c>
      <c r="R159" s="788" t="s">
        <v>25</v>
      </c>
      <c r="S159" s="127" t="s">
        <v>25</v>
      </c>
      <c r="T159" s="126" t="s">
        <v>25</v>
      </c>
      <c r="U159" s="126">
        <v>0</v>
      </c>
      <c r="V159" s="126">
        <v>0</v>
      </c>
      <c r="W159" s="126">
        <v>0</v>
      </c>
    </row>
    <row r="160" spans="1:25" ht="25.5" x14ac:dyDescent="0.25">
      <c r="A160" s="45">
        <v>27</v>
      </c>
      <c r="B160" s="126" t="s">
        <v>1379</v>
      </c>
      <c r="C160" s="126" t="s">
        <v>1380</v>
      </c>
      <c r="D160" s="126" t="s">
        <v>173</v>
      </c>
      <c r="E160" s="226">
        <v>1.4259999999999999</v>
      </c>
      <c r="F160" s="126">
        <v>6</v>
      </c>
      <c r="G160" s="126" t="s">
        <v>1381</v>
      </c>
      <c r="H160" s="126">
        <v>0.22066559999999999</v>
      </c>
      <c r="I160" s="126" t="s">
        <v>165</v>
      </c>
      <c r="J160" s="195" t="s">
        <v>1382</v>
      </c>
      <c r="K160" s="127">
        <v>44735</v>
      </c>
      <c r="L160" s="367"/>
      <c r="M160" s="368"/>
      <c r="N160" s="126" t="s">
        <v>25</v>
      </c>
      <c r="O160" s="126" t="s">
        <v>25</v>
      </c>
      <c r="P160" s="126" t="s">
        <v>25</v>
      </c>
      <c r="Q160" s="126" t="s">
        <v>25</v>
      </c>
      <c r="R160" s="788" t="s">
        <v>25</v>
      </c>
      <c r="S160" s="127" t="s">
        <v>25</v>
      </c>
      <c r="T160" s="126" t="s">
        <v>25</v>
      </c>
      <c r="U160" s="126">
        <v>0.14899999999999999</v>
      </c>
      <c r="V160" s="126">
        <v>1.4259999999999999</v>
      </c>
      <c r="W160" s="126">
        <v>1.2769999999999999</v>
      </c>
    </row>
    <row r="161" spans="1:25" s="219" customFormat="1" ht="24" customHeight="1" x14ac:dyDescent="0.25">
      <c r="A161" s="45">
        <v>28</v>
      </c>
      <c r="B161" s="226" t="s">
        <v>1383</v>
      </c>
      <c r="C161" s="226" t="s">
        <v>1384</v>
      </c>
      <c r="D161" s="226" t="s">
        <v>163</v>
      </c>
      <c r="E161" s="226">
        <v>2.5</v>
      </c>
      <c r="F161" s="226" t="s">
        <v>177</v>
      </c>
      <c r="G161" s="226" t="s">
        <v>1223</v>
      </c>
      <c r="H161" s="226">
        <v>0.10368000000000002</v>
      </c>
      <c r="I161" s="226" t="s">
        <v>165</v>
      </c>
      <c r="J161" s="227" t="s">
        <v>1385</v>
      </c>
      <c r="K161" s="228">
        <v>44732</v>
      </c>
      <c r="L161" s="439" t="s">
        <v>1385</v>
      </c>
      <c r="M161" s="369">
        <v>44769</v>
      </c>
      <c r="N161" s="226"/>
      <c r="O161" s="226" t="s">
        <v>25</v>
      </c>
      <c r="P161" s="226" t="s">
        <v>25</v>
      </c>
      <c r="Q161" s="226" t="s">
        <v>1386</v>
      </c>
      <c r="R161" s="437" t="s">
        <v>25</v>
      </c>
      <c r="S161" s="228" t="s">
        <v>25</v>
      </c>
      <c r="T161" s="226" t="s">
        <v>25</v>
      </c>
      <c r="U161" s="226">
        <v>1.9</v>
      </c>
      <c r="V161" s="226">
        <v>2.5</v>
      </c>
      <c r="W161" s="226">
        <v>0.6</v>
      </c>
      <c r="Y161" s="220"/>
    </row>
    <row r="162" spans="1:25" ht="21.75" customHeight="1" x14ac:dyDescent="0.25">
      <c r="A162" s="45">
        <v>29</v>
      </c>
      <c r="B162" s="370" t="s">
        <v>1747</v>
      </c>
      <c r="C162" s="147" t="s">
        <v>1748</v>
      </c>
      <c r="D162" s="146" t="s">
        <v>1224</v>
      </c>
      <c r="E162" s="224">
        <v>1.44</v>
      </c>
      <c r="F162" s="146" t="s">
        <v>183</v>
      </c>
      <c r="G162" s="126" t="s">
        <v>235</v>
      </c>
      <c r="H162" s="148">
        <v>0.15830899200000001</v>
      </c>
      <c r="I162" s="126" t="s">
        <v>165</v>
      </c>
      <c r="J162" s="195" t="s">
        <v>1749</v>
      </c>
      <c r="K162" s="127">
        <v>44720</v>
      </c>
      <c r="L162" s="370" t="s">
        <v>1749</v>
      </c>
      <c r="M162" s="368">
        <v>45201</v>
      </c>
      <c r="N162" s="364">
        <v>45264</v>
      </c>
      <c r="O162" s="126" t="s">
        <v>25</v>
      </c>
      <c r="P162" s="126" t="s">
        <v>25</v>
      </c>
      <c r="Q162" s="126" t="s">
        <v>25</v>
      </c>
      <c r="R162" s="788" t="s">
        <v>25</v>
      </c>
      <c r="S162" s="127" t="s">
        <v>25</v>
      </c>
      <c r="T162" s="126" t="s">
        <v>25</v>
      </c>
      <c r="U162" s="126">
        <v>0.52385999999999999</v>
      </c>
      <c r="V162" s="149">
        <v>1.3248</v>
      </c>
      <c r="W162" s="149">
        <v>0.80093999999999999</v>
      </c>
    </row>
    <row r="163" spans="1:25" ht="21.75" customHeight="1" x14ac:dyDescent="0.25">
      <c r="A163" s="45">
        <v>30</v>
      </c>
      <c r="B163" s="146" t="s">
        <v>236</v>
      </c>
      <c r="C163" s="147" t="s">
        <v>1750</v>
      </c>
      <c r="D163" s="146" t="s">
        <v>1224</v>
      </c>
      <c r="E163" s="225">
        <v>1.1439999999999999</v>
      </c>
      <c r="F163" s="146" t="s">
        <v>177</v>
      </c>
      <c r="G163" s="126" t="s">
        <v>1751</v>
      </c>
      <c r="H163" s="148">
        <v>0.1976832</v>
      </c>
      <c r="I163" s="126" t="s">
        <v>165</v>
      </c>
      <c r="J163" s="195" t="s">
        <v>1752</v>
      </c>
      <c r="K163" s="127">
        <v>44729</v>
      </c>
      <c r="L163" s="367"/>
      <c r="M163" s="368"/>
      <c r="N163" s="127" t="s">
        <v>25</v>
      </c>
      <c r="O163" s="126" t="s">
        <v>25</v>
      </c>
      <c r="P163" s="126" t="s">
        <v>25</v>
      </c>
      <c r="Q163" s="126" t="s">
        <v>25</v>
      </c>
      <c r="R163" s="788" t="s">
        <v>25</v>
      </c>
      <c r="S163" s="127" t="s">
        <v>25</v>
      </c>
      <c r="T163" s="126" t="s">
        <v>25</v>
      </c>
      <c r="U163" s="126">
        <v>0</v>
      </c>
      <c r="V163" s="149" t="s">
        <v>1753</v>
      </c>
      <c r="W163" s="149" t="s">
        <v>1753</v>
      </c>
    </row>
    <row r="164" spans="1:25" ht="21.75" customHeight="1" x14ac:dyDescent="0.25">
      <c r="A164" s="45">
        <v>31</v>
      </c>
      <c r="B164" s="146" t="s">
        <v>1754</v>
      </c>
      <c r="C164" s="147" t="s">
        <v>1755</v>
      </c>
      <c r="D164" s="146" t="s">
        <v>190</v>
      </c>
      <c r="E164" s="225">
        <v>2</v>
      </c>
      <c r="F164" s="146" t="s">
        <v>177</v>
      </c>
      <c r="G164" s="126" t="s">
        <v>1756</v>
      </c>
      <c r="H164" s="148">
        <v>0.14465088000000001</v>
      </c>
      <c r="I164" s="126" t="s">
        <v>165</v>
      </c>
      <c r="J164" s="195" t="s">
        <v>1757</v>
      </c>
      <c r="K164" s="127">
        <v>44749</v>
      </c>
      <c r="L164" s="370" t="s">
        <v>3073</v>
      </c>
      <c r="M164" s="368">
        <v>45099</v>
      </c>
      <c r="N164" s="127" t="s">
        <v>25</v>
      </c>
      <c r="O164" s="126" t="s">
        <v>25</v>
      </c>
      <c r="P164" s="126" t="s">
        <v>25</v>
      </c>
      <c r="Q164" s="126" t="s">
        <v>25</v>
      </c>
      <c r="R164" s="788" t="s">
        <v>25</v>
      </c>
      <c r="S164" s="127" t="s">
        <v>25</v>
      </c>
      <c r="T164" s="126" t="s">
        <v>25</v>
      </c>
      <c r="U164" s="150">
        <v>1.1629</v>
      </c>
      <c r="V164" s="149">
        <v>2</v>
      </c>
      <c r="W164" s="149">
        <v>0.83706000000000003</v>
      </c>
    </row>
    <row r="165" spans="1:25" ht="21.75" customHeight="1" x14ac:dyDescent="0.25">
      <c r="A165" s="45">
        <v>32</v>
      </c>
      <c r="B165" s="146" t="s">
        <v>1758</v>
      </c>
      <c r="C165" s="147" t="s">
        <v>1759</v>
      </c>
      <c r="D165" s="146" t="s">
        <v>1224</v>
      </c>
      <c r="E165" s="225">
        <v>1.3</v>
      </c>
      <c r="F165" s="146" t="s">
        <v>183</v>
      </c>
      <c r="G165" s="126" t="s">
        <v>184</v>
      </c>
      <c r="H165" s="148">
        <v>0.18144000000000002</v>
      </c>
      <c r="I165" s="126" t="s">
        <v>165</v>
      </c>
      <c r="J165" s="195" t="s">
        <v>1760</v>
      </c>
      <c r="K165" s="127">
        <v>44781</v>
      </c>
      <c r="L165" s="367"/>
      <c r="M165" s="368"/>
      <c r="N165" s="127" t="s">
        <v>25</v>
      </c>
      <c r="O165" s="126" t="s">
        <v>25</v>
      </c>
      <c r="P165" s="126" t="s">
        <v>25</v>
      </c>
      <c r="Q165" s="126" t="s">
        <v>25</v>
      </c>
      <c r="R165" s="788" t="s">
        <v>25</v>
      </c>
      <c r="S165" s="127" t="s">
        <v>25</v>
      </c>
      <c r="T165" s="126" t="s">
        <v>25</v>
      </c>
      <c r="U165" s="126">
        <v>0.25</v>
      </c>
      <c r="V165" s="149">
        <v>1.3</v>
      </c>
      <c r="W165" s="149">
        <v>1.05</v>
      </c>
    </row>
    <row r="166" spans="1:25" ht="21.75" customHeight="1" x14ac:dyDescent="0.25">
      <c r="A166" s="45">
        <v>33</v>
      </c>
      <c r="B166" s="256" t="s">
        <v>1902</v>
      </c>
      <c r="C166" s="231" t="s">
        <v>964</v>
      </c>
      <c r="D166" s="230" t="s">
        <v>1224</v>
      </c>
      <c r="E166" s="287">
        <v>1.177</v>
      </c>
      <c r="F166" s="230">
        <v>20</v>
      </c>
      <c r="G166" s="229" t="s">
        <v>178</v>
      </c>
      <c r="H166" s="232">
        <v>4.3200000000000002E-2</v>
      </c>
      <c r="I166" s="229" t="s">
        <v>165</v>
      </c>
      <c r="J166" s="230" t="s">
        <v>1903</v>
      </c>
      <c r="K166" s="233">
        <v>44869</v>
      </c>
      <c r="L166" s="256"/>
      <c r="M166" s="288"/>
      <c r="N166" s="233" t="s">
        <v>25</v>
      </c>
      <c r="O166" s="229" t="s">
        <v>25</v>
      </c>
      <c r="P166" s="229" t="s">
        <v>25</v>
      </c>
      <c r="Q166" s="229" t="s">
        <v>25</v>
      </c>
      <c r="R166" s="789" t="s">
        <v>25</v>
      </c>
      <c r="S166" s="233" t="s">
        <v>25</v>
      </c>
      <c r="T166" s="229" t="s">
        <v>25</v>
      </c>
      <c r="U166" s="229">
        <v>0.92700000000000005</v>
      </c>
      <c r="V166" s="234">
        <v>1.177</v>
      </c>
      <c r="W166" s="234">
        <v>0.25</v>
      </c>
    </row>
    <row r="167" spans="1:25" ht="21.75" customHeight="1" x14ac:dyDescent="0.25">
      <c r="A167" s="45">
        <v>34</v>
      </c>
      <c r="B167" s="256" t="s">
        <v>1904</v>
      </c>
      <c r="C167" s="231" t="s">
        <v>1905</v>
      </c>
      <c r="D167" s="230" t="s">
        <v>173</v>
      </c>
      <c r="E167" s="287">
        <v>3.3</v>
      </c>
      <c r="F167" s="230">
        <v>20</v>
      </c>
      <c r="G167" s="229" t="s">
        <v>178</v>
      </c>
      <c r="H167" s="232">
        <v>0.1696464</v>
      </c>
      <c r="I167" s="229" t="s">
        <v>165</v>
      </c>
      <c r="J167" s="230" t="s">
        <v>1906</v>
      </c>
      <c r="K167" s="233">
        <v>44865</v>
      </c>
      <c r="L167" s="256" t="s">
        <v>1906</v>
      </c>
      <c r="M167" s="288">
        <v>44865</v>
      </c>
      <c r="N167" s="229" t="s">
        <v>25</v>
      </c>
      <c r="O167" s="229" t="s">
        <v>25</v>
      </c>
      <c r="P167" s="229" t="s">
        <v>25</v>
      </c>
      <c r="Q167" s="229" t="s">
        <v>25</v>
      </c>
      <c r="R167" s="789" t="s">
        <v>25</v>
      </c>
      <c r="S167" s="233" t="s">
        <v>25</v>
      </c>
      <c r="T167" s="229" t="s">
        <v>25</v>
      </c>
      <c r="U167" s="229">
        <v>0</v>
      </c>
      <c r="V167" s="229">
        <v>0</v>
      </c>
      <c r="W167" s="229">
        <v>0</v>
      </c>
    </row>
    <row r="168" spans="1:25" ht="21.75" customHeight="1" x14ac:dyDescent="0.25">
      <c r="A168" s="45">
        <v>35</v>
      </c>
      <c r="B168" s="256" t="s">
        <v>1996</v>
      </c>
      <c r="C168" s="231" t="s">
        <v>1997</v>
      </c>
      <c r="D168" s="230" t="s">
        <v>190</v>
      </c>
      <c r="E168" s="287">
        <v>1.7</v>
      </c>
      <c r="F168" s="230">
        <v>20</v>
      </c>
      <c r="G168" s="229" t="s">
        <v>1998</v>
      </c>
      <c r="H168" s="232">
        <v>0.29376000000000002</v>
      </c>
      <c r="I168" s="229" t="s">
        <v>165</v>
      </c>
      <c r="J168" s="229" t="s">
        <v>1999</v>
      </c>
      <c r="K168" s="229" t="s">
        <v>2000</v>
      </c>
      <c r="L168" s="258"/>
      <c r="M168" s="258"/>
      <c r="N168" s="229" t="s">
        <v>25</v>
      </c>
      <c r="O168" s="229" t="s">
        <v>25</v>
      </c>
      <c r="P168" s="229" t="s">
        <v>25</v>
      </c>
      <c r="Q168" s="229" t="s">
        <v>25</v>
      </c>
      <c r="R168" s="789" t="s">
        <v>25</v>
      </c>
      <c r="S168" s="233" t="s">
        <v>25</v>
      </c>
      <c r="T168" s="229" t="s">
        <v>25</v>
      </c>
      <c r="U168" s="229">
        <v>0</v>
      </c>
      <c r="V168" s="229">
        <v>1.7</v>
      </c>
      <c r="W168" s="229">
        <v>1.7</v>
      </c>
    </row>
    <row r="169" spans="1:25" ht="21.75" customHeight="1" x14ac:dyDescent="0.25">
      <c r="A169" s="45">
        <v>36</v>
      </c>
      <c r="B169" s="256" t="s">
        <v>2001</v>
      </c>
      <c r="C169" s="231" t="s">
        <v>2002</v>
      </c>
      <c r="D169" s="230" t="s">
        <v>173</v>
      </c>
      <c r="E169" s="287">
        <v>1.2509999999999999</v>
      </c>
      <c r="F169" s="230">
        <v>20</v>
      </c>
      <c r="G169" s="229" t="s">
        <v>1222</v>
      </c>
      <c r="H169" s="232">
        <v>0.2161728</v>
      </c>
      <c r="I169" s="229" t="s">
        <v>165</v>
      </c>
      <c r="J169" s="229" t="s">
        <v>2003</v>
      </c>
      <c r="K169" s="229" t="s">
        <v>2004</v>
      </c>
      <c r="L169" s="258"/>
      <c r="M169" s="258"/>
      <c r="N169" s="229" t="s">
        <v>25</v>
      </c>
      <c r="O169" s="229" t="s">
        <v>25</v>
      </c>
      <c r="P169" s="229" t="s">
        <v>25</v>
      </c>
      <c r="Q169" s="229" t="s">
        <v>25</v>
      </c>
      <c r="R169" s="789" t="s">
        <v>25</v>
      </c>
      <c r="S169" s="233" t="s">
        <v>25</v>
      </c>
      <c r="T169" s="229" t="s">
        <v>25</v>
      </c>
      <c r="U169" s="229">
        <v>0</v>
      </c>
      <c r="V169" s="229">
        <v>1.2509999999999999</v>
      </c>
      <c r="W169" s="229">
        <v>1.2509999999999999</v>
      </c>
    </row>
    <row r="170" spans="1:25" ht="21.75" customHeight="1" x14ac:dyDescent="0.25">
      <c r="A170" s="45">
        <v>37</v>
      </c>
      <c r="B170" s="256" t="s">
        <v>2238</v>
      </c>
      <c r="C170" s="257" t="s">
        <v>2239</v>
      </c>
      <c r="D170" s="256" t="s">
        <v>176</v>
      </c>
      <c r="E170" s="286">
        <v>1.472</v>
      </c>
      <c r="F170" s="256" t="s">
        <v>177</v>
      </c>
      <c r="G170" s="258" t="s">
        <v>2240</v>
      </c>
      <c r="H170" s="259">
        <v>7.5672576000000005E-2</v>
      </c>
      <c r="I170" s="258" t="s">
        <v>165</v>
      </c>
      <c r="J170" s="256" t="s">
        <v>2241</v>
      </c>
      <c r="K170" s="288">
        <v>43808</v>
      </c>
      <c r="L170" s="256" t="s">
        <v>2241</v>
      </c>
      <c r="M170" s="288">
        <v>43921</v>
      </c>
      <c r="N170" s="288" t="s">
        <v>3710</v>
      </c>
      <c r="O170" s="258" t="s">
        <v>25</v>
      </c>
      <c r="P170" s="258" t="s">
        <v>25</v>
      </c>
      <c r="Q170" s="258" t="s">
        <v>25</v>
      </c>
      <c r="R170" s="790" t="s">
        <v>25</v>
      </c>
      <c r="S170" s="288" t="s">
        <v>25</v>
      </c>
      <c r="T170" s="258" t="s">
        <v>25</v>
      </c>
      <c r="U170" s="289">
        <v>0</v>
      </c>
      <c r="V170" s="258"/>
      <c r="W170" s="258"/>
    </row>
    <row r="171" spans="1:25" ht="21.75" customHeight="1" x14ac:dyDescent="0.25">
      <c r="A171" s="45">
        <v>38</v>
      </c>
      <c r="B171" s="256" t="s">
        <v>2242</v>
      </c>
      <c r="C171" s="257" t="s">
        <v>2243</v>
      </c>
      <c r="D171" s="256" t="s">
        <v>1224</v>
      </c>
      <c r="E171" s="287">
        <v>1.44</v>
      </c>
      <c r="F171" s="256" t="s">
        <v>177</v>
      </c>
      <c r="G171" s="258" t="s">
        <v>235</v>
      </c>
      <c r="H171" s="259">
        <v>4.1472000000000002E-2</v>
      </c>
      <c r="I171" s="258" t="s">
        <v>165</v>
      </c>
      <c r="J171" s="256" t="s">
        <v>2244</v>
      </c>
      <c r="K171" s="288">
        <v>44845</v>
      </c>
      <c r="L171" s="256"/>
      <c r="M171" s="288"/>
      <c r="N171" s="288" t="s">
        <v>25</v>
      </c>
      <c r="O171" s="258" t="s">
        <v>25</v>
      </c>
      <c r="P171" s="258" t="s">
        <v>25</v>
      </c>
      <c r="Q171" s="258" t="s">
        <v>25</v>
      </c>
      <c r="R171" s="790" t="s">
        <v>25</v>
      </c>
      <c r="S171" s="288" t="s">
        <v>25</v>
      </c>
      <c r="T171" s="258" t="s">
        <v>25</v>
      </c>
      <c r="U171" s="258">
        <v>1.2</v>
      </c>
      <c r="V171" s="290">
        <v>1.44</v>
      </c>
      <c r="W171" s="290">
        <v>0.24</v>
      </c>
    </row>
    <row r="172" spans="1:25" ht="21.75" customHeight="1" x14ac:dyDescent="0.25">
      <c r="A172" s="45">
        <v>39</v>
      </c>
      <c r="B172" s="256" t="s">
        <v>2245</v>
      </c>
      <c r="C172" s="257" t="s">
        <v>2246</v>
      </c>
      <c r="D172" s="256" t="s">
        <v>1224</v>
      </c>
      <c r="E172" s="287">
        <v>2.25</v>
      </c>
      <c r="F172" s="256" t="s">
        <v>222</v>
      </c>
      <c r="G172" s="258" t="s">
        <v>223</v>
      </c>
      <c r="H172" s="259">
        <v>0.10540800000000002</v>
      </c>
      <c r="I172" s="258" t="s">
        <v>165</v>
      </c>
      <c r="J172" s="256" t="s">
        <v>2247</v>
      </c>
      <c r="K172" s="288">
        <v>44844</v>
      </c>
      <c r="L172" s="256"/>
      <c r="M172" s="288"/>
      <c r="N172" s="288" t="s">
        <v>25</v>
      </c>
      <c r="O172" s="258" t="s">
        <v>25</v>
      </c>
      <c r="P172" s="258" t="s">
        <v>25</v>
      </c>
      <c r="Q172" s="258" t="s">
        <v>25</v>
      </c>
      <c r="R172" s="790" t="s">
        <v>25</v>
      </c>
      <c r="S172" s="288" t="s">
        <v>25</v>
      </c>
      <c r="T172" s="258" t="s">
        <v>25</v>
      </c>
      <c r="U172" s="258">
        <v>1.64</v>
      </c>
      <c r="V172" s="290">
        <v>2.25</v>
      </c>
      <c r="W172" s="290">
        <v>0.61</v>
      </c>
    </row>
    <row r="173" spans="1:25" ht="21.75" customHeight="1" x14ac:dyDescent="0.25">
      <c r="A173" s="45">
        <v>40</v>
      </c>
      <c r="B173" s="256" t="s">
        <v>2248</v>
      </c>
      <c r="C173" s="257" t="s">
        <v>2249</v>
      </c>
      <c r="D173" s="256" t="s">
        <v>190</v>
      </c>
      <c r="E173" s="287">
        <v>6.8</v>
      </c>
      <c r="F173" s="256" t="s">
        <v>177</v>
      </c>
      <c r="G173" s="258" t="s">
        <v>2250</v>
      </c>
      <c r="H173" s="259">
        <v>1.1750400000000001</v>
      </c>
      <c r="I173" s="258" t="s">
        <v>165</v>
      </c>
      <c r="J173" s="256" t="s">
        <v>2251</v>
      </c>
      <c r="K173" s="288">
        <v>44816</v>
      </c>
      <c r="L173" s="256"/>
      <c r="M173" s="288"/>
      <c r="N173" s="288" t="s">
        <v>25</v>
      </c>
      <c r="O173" s="258" t="s">
        <v>25</v>
      </c>
      <c r="P173" s="258" t="s">
        <v>25</v>
      </c>
      <c r="Q173" s="258" t="s">
        <v>25</v>
      </c>
      <c r="R173" s="790" t="s">
        <v>25</v>
      </c>
      <c r="S173" s="288" t="s">
        <v>25</v>
      </c>
      <c r="T173" s="258" t="s">
        <v>25</v>
      </c>
      <c r="U173" s="258">
        <v>0</v>
      </c>
      <c r="V173" s="290">
        <v>6.8</v>
      </c>
      <c r="W173" s="290">
        <v>6.8</v>
      </c>
    </row>
    <row r="174" spans="1:25" ht="21.75" customHeight="1" x14ac:dyDescent="0.25">
      <c r="A174" s="45">
        <v>41</v>
      </c>
      <c r="B174" s="256" t="s">
        <v>2252</v>
      </c>
      <c r="C174" s="257" t="s">
        <v>2253</v>
      </c>
      <c r="D174" s="256" t="s">
        <v>190</v>
      </c>
      <c r="E174" s="287">
        <v>1.2150000000000001</v>
      </c>
      <c r="F174" s="256" t="s">
        <v>177</v>
      </c>
      <c r="G174" s="258" t="s">
        <v>1860</v>
      </c>
      <c r="H174" s="259">
        <v>0.20995200000000003</v>
      </c>
      <c r="I174" s="258" t="s">
        <v>165</v>
      </c>
      <c r="J174" s="256" t="s">
        <v>2254</v>
      </c>
      <c r="K174" s="288">
        <v>44930</v>
      </c>
      <c r="L174" s="256" t="s">
        <v>3072</v>
      </c>
      <c r="M174" s="288">
        <v>45107</v>
      </c>
      <c r="N174" s="288" t="s">
        <v>25</v>
      </c>
      <c r="O174" s="258" t="s">
        <v>25</v>
      </c>
      <c r="P174" s="258" t="s">
        <v>25</v>
      </c>
      <c r="Q174" s="258" t="s">
        <v>25</v>
      </c>
      <c r="R174" s="790" t="s">
        <v>25</v>
      </c>
      <c r="S174" s="288" t="s">
        <v>25</v>
      </c>
      <c r="T174" s="258" t="s">
        <v>25</v>
      </c>
      <c r="U174" s="258">
        <v>0</v>
      </c>
      <c r="V174" s="290">
        <v>1.2150000000000001</v>
      </c>
      <c r="W174" s="290">
        <v>1.2150000000000001</v>
      </c>
    </row>
    <row r="175" spans="1:25" ht="21.75" customHeight="1" x14ac:dyDescent="0.25">
      <c r="A175" s="45">
        <v>42</v>
      </c>
      <c r="B175" s="256" t="s">
        <v>2255</v>
      </c>
      <c r="C175" s="257" t="s">
        <v>2256</v>
      </c>
      <c r="D175" s="256" t="s">
        <v>173</v>
      </c>
      <c r="E175" s="287">
        <v>1.71</v>
      </c>
      <c r="F175" s="256" t="s">
        <v>177</v>
      </c>
      <c r="G175" s="258" t="s">
        <v>2240</v>
      </c>
      <c r="H175" s="259">
        <v>0.29548800000000003</v>
      </c>
      <c r="I175" s="258" t="s">
        <v>165</v>
      </c>
      <c r="J175" s="256" t="s">
        <v>2257</v>
      </c>
      <c r="K175" s="288">
        <v>44930</v>
      </c>
      <c r="L175" s="256"/>
      <c r="M175" s="288"/>
      <c r="N175" s="288" t="s">
        <v>25</v>
      </c>
      <c r="O175" s="258" t="s">
        <v>25</v>
      </c>
      <c r="P175" s="258" t="s">
        <v>25</v>
      </c>
      <c r="Q175" s="258" t="s">
        <v>25</v>
      </c>
      <c r="R175" s="790" t="s">
        <v>25</v>
      </c>
      <c r="S175" s="288" t="s">
        <v>25</v>
      </c>
      <c r="T175" s="258" t="s">
        <v>25</v>
      </c>
      <c r="U175" s="258">
        <v>0</v>
      </c>
      <c r="V175" s="290">
        <v>1.71</v>
      </c>
      <c r="W175" s="290">
        <v>1.71</v>
      </c>
    </row>
    <row r="176" spans="1:25" ht="30" customHeight="1" x14ac:dyDescent="0.25">
      <c r="A176" s="45">
        <v>43</v>
      </c>
      <c r="B176" s="256" t="s">
        <v>2258</v>
      </c>
      <c r="C176" s="257" t="s">
        <v>964</v>
      </c>
      <c r="D176" s="256" t="s">
        <v>170</v>
      </c>
      <c r="E176" s="287">
        <v>1.01</v>
      </c>
      <c r="F176" s="256" t="s">
        <v>177</v>
      </c>
      <c r="G176" s="258" t="s">
        <v>2259</v>
      </c>
      <c r="H176" s="259">
        <v>6.3936000000000007E-2</v>
      </c>
      <c r="I176" s="258" t="s">
        <v>165</v>
      </c>
      <c r="J176" s="256" t="s">
        <v>2260</v>
      </c>
      <c r="K176" s="288">
        <v>44915</v>
      </c>
      <c r="L176" s="256" t="s">
        <v>3556</v>
      </c>
      <c r="M176" s="288">
        <v>45163</v>
      </c>
      <c r="N176" s="288" t="s">
        <v>25</v>
      </c>
      <c r="O176" s="258" t="s">
        <v>25</v>
      </c>
      <c r="P176" s="258" t="s">
        <v>25</v>
      </c>
      <c r="Q176" s="258" t="s">
        <v>25</v>
      </c>
      <c r="R176" s="790" t="s">
        <v>25</v>
      </c>
      <c r="S176" s="288" t="s">
        <v>25</v>
      </c>
      <c r="T176" s="258" t="s">
        <v>25</v>
      </c>
      <c r="U176" s="258">
        <v>0.64</v>
      </c>
      <c r="V176" s="290" t="s">
        <v>2261</v>
      </c>
      <c r="W176" s="290">
        <v>0.37</v>
      </c>
    </row>
    <row r="177" spans="1:23" ht="30" customHeight="1" x14ac:dyDescent="0.25">
      <c r="A177" s="45">
        <v>44</v>
      </c>
      <c r="B177" s="256" t="s">
        <v>2234</v>
      </c>
      <c r="C177" s="257" t="s">
        <v>2235</v>
      </c>
      <c r="D177" s="256" t="s">
        <v>1224</v>
      </c>
      <c r="E177" s="287">
        <v>1.55</v>
      </c>
      <c r="F177" s="256" t="s">
        <v>177</v>
      </c>
      <c r="G177" s="258" t="s">
        <v>2236</v>
      </c>
      <c r="H177" s="259">
        <v>0.26784000000000002</v>
      </c>
      <c r="I177" s="258" t="s">
        <v>165</v>
      </c>
      <c r="J177" s="256" t="s">
        <v>2237</v>
      </c>
      <c r="K177" s="288">
        <v>44832</v>
      </c>
      <c r="L177" s="256" t="s">
        <v>2237</v>
      </c>
      <c r="M177" s="288">
        <v>45050</v>
      </c>
      <c r="N177" s="258" t="s">
        <v>25</v>
      </c>
      <c r="O177" s="258" t="s">
        <v>25</v>
      </c>
      <c r="P177" s="258" t="s">
        <v>25</v>
      </c>
      <c r="Q177" s="258" t="s">
        <v>25</v>
      </c>
      <c r="R177" s="790" t="s">
        <v>25</v>
      </c>
      <c r="S177" s="288" t="s">
        <v>25</v>
      </c>
      <c r="T177" s="258" t="s">
        <v>25</v>
      </c>
      <c r="U177" s="289">
        <v>0</v>
      </c>
      <c r="V177" s="290">
        <v>0</v>
      </c>
      <c r="W177" s="258">
        <v>1.55</v>
      </c>
    </row>
    <row r="178" spans="1:23" ht="30" customHeight="1" x14ac:dyDescent="0.25">
      <c r="A178" s="45">
        <v>45</v>
      </c>
      <c r="B178" s="256" t="s">
        <v>2338</v>
      </c>
      <c r="C178" s="257" t="s">
        <v>2339</v>
      </c>
      <c r="D178" s="256" t="s">
        <v>170</v>
      </c>
      <c r="E178" s="287">
        <v>1.3839999999999999</v>
      </c>
      <c r="F178" s="256" t="s">
        <v>177</v>
      </c>
      <c r="G178" s="258" t="s">
        <v>259</v>
      </c>
      <c r="H178" s="258">
        <v>0.24</v>
      </c>
      <c r="I178" s="258" t="s">
        <v>165</v>
      </c>
      <c r="J178" s="258" t="s">
        <v>2340</v>
      </c>
      <c r="K178" s="288">
        <v>44967</v>
      </c>
      <c r="L178" s="258"/>
      <c r="M178" s="258"/>
      <c r="N178" s="288" t="s">
        <v>25</v>
      </c>
      <c r="O178" s="258" t="s">
        <v>25</v>
      </c>
      <c r="P178" s="258" t="s">
        <v>25</v>
      </c>
      <c r="Q178" s="258" t="s">
        <v>25</v>
      </c>
      <c r="R178" s="790" t="s">
        <v>25</v>
      </c>
      <c r="S178" s="288" t="s">
        <v>25</v>
      </c>
      <c r="T178" s="258" t="s">
        <v>25</v>
      </c>
      <c r="U178" s="258">
        <v>1</v>
      </c>
      <c r="V178" s="258" t="s">
        <v>2341</v>
      </c>
      <c r="W178" s="258">
        <v>0.38400000000000001</v>
      </c>
    </row>
    <row r="179" spans="1:23" ht="30" customHeight="1" x14ac:dyDescent="0.25">
      <c r="A179" s="45">
        <v>46</v>
      </c>
      <c r="B179" s="256" t="s">
        <v>1858</v>
      </c>
      <c r="C179" s="257" t="s">
        <v>1859</v>
      </c>
      <c r="D179" s="256" t="s">
        <v>190</v>
      </c>
      <c r="E179" s="304">
        <v>1.234</v>
      </c>
      <c r="F179" s="256" t="s">
        <v>177</v>
      </c>
      <c r="G179" s="258" t="s">
        <v>1860</v>
      </c>
      <c r="H179" s="305">
        <v>0.1927584</v>
      </c>
      <c r="I179" s="258" t="s">
        <v>165</v>
      </c>
      <c r="J179" s="258">
        <v>9564246</v>
      </c>
      <c r="K179" s="288">
        <v>44638</v>
      </c>
      <c r="L179" s="256" t="s">
        <v>3711</v>
      </c>
      <c r="M179" s="288">
        <v>44870</v>
      </c>
      <c r="N179" s="288" t="s">
        <v>25</v>
      </c>
      <c r="O179" s="258" t="s">
        <v>25</v>
      </c>
      <c r="P179" s="258" t="s">
        <v>25</v>
      </c>
      <c r="Q179" s="258" t="s">
        <v>25</v>
      </c>
      <c r="R179" s="790" t="s">
        <v>25</v>
      </c>
      <c r="S179" s="288" t="s">
        <v>25</v>
      </c>
      <c r="T179" s="258" t="s">
        <v>25</v>
      </c>
      <c r="U179" s="258">
        <v>0</v>
      </c>
      <c r="V179" s="290">
        <v>0</v>
      </c>
      <c r="W179" s="290">
        <v>1.1154999999999999</v>
      </c>
    </row>
    <row r="180" spans="1:23" ht="30" customHeight="1" x14ac:dyDescent="0.25">
      <c r="A180" s="45">
        <v>47</v>
      </c>
      <c r="B180" s="256" t="s">
        <v>2718</v>
      </c>
      <c r="C180" s="257" t="s">
        <v>2719</v>
      </c>
      <c r="D180" s="256" t="s">
        <v>173</v>
      </c>
      <c r="E180" s="287">
        <v>47.987000000000002</v>
      </c>
      <c r="F180" s="256" t="s">
        <v>217</v>
      </c>
      <c r="G180" s="258" t="s">
        <v>258</v>
      </c>
      <c r="H180" s="259">
        <v>11.51688</v>
      </c>
      <c r="I180" s="258" t="s">
        <v>165</v>
      </c>
      <c r="J180" s="256" t="s">
        <v>2720</v>
      </c>
      <c r="K180" s="288">
        <v>42884</v>
      </c>
      <c r="L180" s="256" t="s">
        <v>2720</v>
      </c>
      <c r="M180" s="288">
        <v>43025</v>
      </c>
      <c r="N180" s="288"/>
      <c r="O180" s="258" t="s">
        <v>25</v>
      </c>
      <c r="P180" s="258" t="s">
        <v>25</v>
      </c>
      <c r="Q180" s="258" t="s">
        <v>25</v>
      </c>
      <c r="R180" s="790" t="s">
        <v>25</v>
      </c>
      <c r="S180" s="288" t="s">
        <v>25</v>
      </c>
      <c r="T180" s="258" t="s">
        <v>25</v>
      </c>
      <c r="U180" s="258">
        <v>0</v>
      </c>
      <c r="V180" s="290">
        <v>47.987000000000002</v>
      </c>
      <c r="W180" s="290">
        <v>47.987000000000002</v>
      </c>
    </row>
    <row r="181" spans="1:23" ht="30" customHeight="1" x14ac:dyDescent="0.25">
      <c r="A181" s="45">
        <v>48</v>
      </c>
      <c r="B181" s="256" t="s">
        <v>2721</v>
      </c>
      <c r="C181" s="257" t="s">
        <v>2722</v>
      </c>
      <c r="D181" s="256" t="s">
        <v>173</v>
      </c>
      <c r="E181" s="287">
        <v>1.3</v>
      </c>
      <c r="F181" s="256" t="s">
        <v>177</v>
      </c>
      <c r="G181" s="258" t="s">
        <v>2723</v>
      </c>
      <c r="H181" s="259">
        <v>0.22464000000000001</v>
      </c>
      <c r="I181" s="258" t="s">
        <v>165</v>
      </c>
      <c r="J181" s="256" t="s">
        <v>2724</v>
      </c>
      <c r="K181" s="288">
        <v>45049</v>
      </c>
      <c r="L181" s="256"/>
      <c r="M181" s="288"/>
      <c r="N181" s="288"/>
      <c r="O181" s="258" t="s">
        <v>25</v>
      </c>
      <c r="P181" s="258" t="s">
        <v>25</v>
      </c>
      <c r="Q181" s="258" t="s">
        <v>25</v>
      </c>
      <c r="R181" s="790" t="s">
        <v>25</v>
      </c>
      <c r="S181" s="288" t="s">
        <v>25</v>
      </c>
      <c r="T181" s="258" t="s">
        <v>25</v>
      </c>
      <c r="U181" s="258">
        <v>0</v>
      </c>
      <c r="V181" s="290">
        <v>1.3</v>
      </c>
      <c r="W181" s="290">
        <v>1.3</v>
      </c>
    </row>
    <row r="182" spans="1:23" ht="30" customHeight="1" x14ac:dyDescent="0.25">
      <c r="A182" s="45">
        <v>49</v>
      </c>
      <c r="B182" s="256" t="s">
        <v>2725</v>
      </c>
      <c r="C182" s="257" t="s">
        <v>2726</v>
      </c>
      <c r="D182" s="256" t="s">
        <v>163</v>
      </c>
      <c r="E182" s="287">
        <v>3.69</v>
      </c>
      <c r="F182" s="256" t="s">
        <v>177</v>
      </c>
      <c r="G182" s="258" t="s">
        <v>2727</v>
      </c>
      <c r="H182" s="259">
        <v>0.63763199999999998</v>
      </c>
      <c r="I182" s="258" t="s">
        <v>165</v>
      </c>
      <c r="J182" s="258">
        <v>15559210</v>
      </c>
      <c r="K182" s="288" t="s">
        <v>2728</v>
      </c>
      <c r="L182" s="256"/>
      <c r="M182" s="288"/>
      <c r="N182" s="288"/>
      <c r="O182" s="258" t="s">
        <v>25</v>
      </c>
      <c r="P182" s="258" t="s">
        <v>25</v>
      </c>
      <c r="Q182" s="258" t="s">
        <v>25</v>
      </c>
      <c r="R182" s="790" t="s">
        <v>25</v>
      </c>
      <c r="S182" s="288" t="s">
        <v>25</v>
      </c>
      <c r="T182" s="258" t="s">
        <v>25</v>
      </c>
      <c r="U182" s="258">
        <v>0</v>
      </c>
      <c r="V182" s="290">
        <v>0</v>
      </c>
      <c r="W182" s="290" t="s">
        <v>2729</v>
      </c>
    </row>
    <row r="183" spans="1:23" ht="30" customHeight="1" x14ac:dyDescent="0.25">
      <c r="A183" s="45">
        <v>50</v>
      </c>
      <c r="B183" s="256" t="s">
        <v>2725</v>
      </c>
      <c r="C183" s="257" t="s">
        <v>2730</v>
      </c>
      <c r="D183" s="256" t="s">
        <v>163</v>
      </c>
      <c r="E183" s="287">
        <v>5.8449999999999998</v>
      </c>
      <c r="F183" s="256" t="s">
        <v>177</v>
      </c>
      <c r="G183" s="258" t="s">
        <v>2731</v>
      </c>
      <c r="H183" s="259">
        <v>1.010016</v>
      </c>
      <c r="I183" s="258" t="s">
        <v>165</v>
      </c>
      <c r="J183" s="258">
        <v>15559792</v>
      </c>
      <c r="K183" s="288" t="s">
        <v>2732</v>
      </c>
      <c r="L183" s="256"/>
      <c r="M183" s="288"/>
      <c r="N183" s="288"/>
      <c r="O183" s="258" t="s">
        <v>25</v>
      </c>
      <c r="P183" s="258" t="s">
        <v>25</v>
      </c>
      <c r="Q183" s="258" t="s">
        <v>25</v>
      </c>
      <c r="R183" s="790" t="s">
        <v>25</v>
      </c>
      <c r="S183" s="288" t="s">
        <v>25</v>
      </c>
      <c r="T183" s="258" t="s">
        <v>25</v>
      </c>
      <c r="U183" s="258">
        <v>0</v>
      </c>
      <c r="V183" s="290">
        <v>0</v>
      </c>
      <c r="W183" s="290">
        <v>5.8449999999999998</v>
      </c>
    </row>
    <row r="184" spans="1:23" ht="30" customHeight="1" x14ac:dyDescent="0.25">
      <c r="A184" s="45">
        <v>51</v>
      </c>
      <c r="B184" s="256" t="s">
        <v>2725</v>
      </c>
      <c r="C184" s="257" t="s">
        <v>2733</v>
      </c>
      <c r="D184" s="256" t="s">
        <v>163</v>
      </c>
      <c r="E184" s="287">
        <v>1.0349999999999999</v>
      </c>
      <c r="F184" s="256" t="s">
        <v>177</v>
      </c>
      <c r="G184" s="258" t="s">
        <v>2731</v>
      </c>
      <c r="H184" s="259">
        <v>0.17884800000000001</v>
      </c>
      <c r="I184" s="258" t="s">
        <v>165</v>
      </c>
      <c r="J184" s="258">
        <v>15563803</v>
      </c>
      <c r="K184" s="288" t="s">
        <v>2728</v>
      </c>
      <c r="L184" s="256"/>
      <c r="M184" s="288"/>
      <c r="N184" s="288"/>
      <c r="O184" s="258" t="s">
        <v>25</v>
      </c>
      <c r="P184" s="258" t="s">
        <v>25</v>
      </c>
      <c r="Q184" s="258" t="s">
        <v>25</v>
      </c>
      <c r="R184" s="790" t="s">
        <v>25</v>
      </c>
      <c r="S184" s="288" t="s">
        <v>25</v>
      </c>
      <c r="T184" s="258" t="s">
        <v>25</v>
      </c>
      <c r="U184" s="258">
        <v>0</v>
      </c>
      <c r="V184" s="290">
        <v>0</v>
      </c>
      <c r="W184" s="290">
        <v>1.0349999999999999</v>
      </c>
    </row>
    <row r="185" spans="1:23" ht="30" customHeight="1" x14ac:dyDescent="0.25">
      <c r="A185" s="45">
        <v>52</v>
      </c>
      <c r="B185" s="256" t="s">
        <v>2734</v>
      </c>
      <c r="C185" s="257" t="s">
        <v>2735</v>
      </c>
      <c r="D185" s="256" t="s">
        <v>163</v>
      </c>
      <c r="E185" s="287">
        <v>4</v>
      </c>
      <c r="F185" s="256" t="s">
        <v>177</v>
      </c>
      <c r="G185" s="258" t="s">
        <v>2736</v>
      </c>
      <c r="H185" s="259">
        <v>0.69016320000000009</v>
      </c>
      <c r="I185" s="258" t="s">
        <v>165</v>
      </c>
      <c r="J185" s="258">
        <v>15622422</v>
      </c>
      <c r="K185" s="288" t="s">
        <v>2737</v>
      </c>
      <c r="L185" s="256"/>
      <c r="M185" s="288"/>
      <c r="N185" s="288"/>
      <c r="O185" s="258" t="s">
        <v>25</v>
      </c>
      <c r="P185" s="258" t="s">
        <v>25</v>
      </c>
      <c r="Q185" s="258" t="s">
        <v>25</v>
      </c>
      <c r="R185" s="790" t="s">
        <v>25</v>
      </c>
      <c r="S185" s="288" t="s">
        <v>25</v>
      </c>
      <c r="T185" s="258" t="s">
        <v>25</v>
      </c>
      <c r="U185" s="258">
        <v>6.0000000000000001E-3</v>
      </c>
      <c r="V185" s="290">
        <v>3.9940000000000002</v>
      </c>
      <c r="W185" s="290">
        <v>3.9940000000000002</v>
      </c>
    </row>
    <row r="186" spans="1:23" ht="30" customHeight="1" x14ac:dyDescent="0.25">
      <c r="A186" s="45">
        <v>53</v>
      </c>
      <c r="B186" s="256" t="s">
        <v>2738</v>
      </c>
      <c r="C186" s="257" t="s">
        <v>2739</v>
      </c>
      <c r="D186" s="256" t="s">
        <v>173</v>
      </c>
      <c r="E186" s="287">
        <v>6</v>
      </c>
      <c r="F186" s="256" t="s">
        <v>177</v>
      </c>
      <c r="G186" s="258" t="s">
        <v>2740</v>
      </c>
      <c r="H186" s="259">
        <v>1.0367999999999999</v>
      </c>
      <c r="I186" s="258" t="s">
        <v>165</v>
      </c>
      <c r="J186" s="258">
        <v>16234981</v>
      </c>
      <c r="K186" s="288" t="s">
        <v>2741</v>
      </c>
      <c r="L186" s="256" t="s">
        <v>3671</v>
      </c>
      <c r="M186" s="288">
        <v>45090</v>
      </c>
      <c r="N186" s="288"/>
      <c r="O186" s="258" t="s">
        <v>25</v>
      </c>
      <c r="P186" s="258" t="s">
        <v>25</v>
      </c>
      <c r="Q186" s="258" t="s">
        <v>25</v>
      </c>
      <c r="R186" s="790" t="s">
        <v>25</v>
      </c>
      <c r="S186" s="288" t="s">
        <v>25</v>
      </c>
      <c r="T186" s="258" t="s">
        <v>25</v>
      </c>
      <c r="U186" s="258">
        <v>0</v>
      </c>
      <c r="V186" s="290">
        <v>0</v>
      </c>
      <c r="W186" s="290">
        <v>6</v>
      </c>
    </row>
    <row r="187" spans="1:23" ht="30" customHeight="1" x14ac:dyDescent="0.25">
      <c r="A187" s="45">
        <v>54</v>
      </c>
      <c r="B187" s="256" t="s">
        <v>2957</v>
      </c>
      <c r="C187" s="257" t="s">
        <v>2958</v>
      </c>
      <c r="D187" s="256" t="s">
        <v>1224</v>
      </c>
      <c r="E187" s="348">
        <v>1.7909999999999999</v>
      </c>
      <c r="F187" s="256" t="s">
        <v>177</v>
      </c>
      <c r="G187" s="258" t="s">
        <v>2240</v>
      </c>
      <c r="H187" s="259">
        <v>0.26576639999999996</v>
      </c>
      <c r="I187" s="258" t="s">
        <v>165</v>
      </c>
      <c r="J187" s="256" t="s">
        <v>2959</v>
      </c>
      <c r="K187" s="288">
        <v>44769</v>
      </c>
      <c r="L187" s="256" t="s">
        <v>2959</v>
      </c>
      <c r="M187" s="288">
        <v>44813</v>
      </c>
      <c r="N187" s="288" t="s">
        <v>25</v>
      </c>
      <c r="O187" s="258" t="s">
        <v>25</v>
      </c>
      <c r="P187" s="258" t="s">
        <v>25</v>
      </c>
      <c r="Q187" s="258" t="s">
        <v>25</v>
      </c>
      <c r="R187" s="790" t="s">
        <v>25</v>
      </c>
      <c r="S187" s="288" t="s">
        <v>25</v>
      </c>
      <c r="T187" s="258" t="s">
        <v>25</v>
      </c>
      <c r="U187" s="289">
        <v>0.253</v>
      </c>
      <c r="V187" s="258">
        <v>1.7909999999999999</v>
      </c>
      <c r="W187" s="258">
        <v>0.53800000000000003</v>
      </c>
    </row>
    <row r="188" spans="1:23" ht="30" customHeight="1" x14ac:dyDescent="0.25">
      <c r="A188" s="229">
        <f t="shared" ref="A188:A217" si="2">A187+1</f>
        <v>55</v>
      </c>
      <c r="B188" s="256" t="s">
        <v>3280</v>
      </c>
      <c r="C188" s="257" t="s">
        <v>3281</v>
      </c>
      <c r="D188" s="256" t="s">
        <v>190</v>
      </c>
      <c r="E188" s="379">
        <v>1.8</v>
      </c>
      <c r="F188" s="256" t="s">
        <v>177</v>
      </c>
      <c r="G188" s="258" t="s">
        <v>3282</v>
      </c>
      <c r="H188" s="259">
        <v>0.31104000000000004</v>
      </c>
      <c r="I188" s="258" t="s">
        <v>165</v>
      </c>
      <c r="J188" s="258">
        <v>17651757</v>
      </c>
      <c r="K188" s="288">
        <v>45084</v>
      </c>
      <c r="L188" s="258" t="s">
        <v>3953</v>
      </c>
      <c r="M188" s="258">
        <v>45237</v>
      </c>
      <c r="N188" s="258" t="s">
        <v>25</v>
      </c>
      <c r="O188" s="258" t="s">
        <v>25</v>
      </c>
      <c r="P188" s="258" t="s">
        <v>25</v>
      </c>
      <c r="Q188" s="258" t="s">
        <v>25</v>
      </c>
      <c r="R188" s="790" t="s">
        <v>25</v>
      </c>
      <c r="S188" s="288" t="s">
        <v>25</v>
      </c>
      <c r="T188" s="258" t="s">
        <v>25</v>
      </c>
      <c r="U188" s="258">
        <v>0</v>
      </c>
      <c r="V188" s="258">
        <v>0</v>
      </c>
      <c r="W188" s="258">
        <v>1.8</v>
      </c>
    </row>
    <row r="189" spans="1:23" ht="30" customHeight="1" x14ac:dyDescent="0.25">
      <c r="A189" s="229">
        <f t="shared" si="2"/>
        <v>56</v>
      </c>
      <c r="B189" s="256" t="s">
        <v>3283</v>
      </c>
      <c r="C189" s="257" t="s">
        <v>3284</v>
      </c>
      <c r="D189" s="256" t="s">
        <v>170</v>
      </c>
      <c r="E189" s="379">
        <v>1.4570000000000001</v>
      </c>
      <c r="F189" s="256" t="s">
        <v>177</v>
      </c>
      <c r="G189" s="258" t="s">
        <v>3285</v>
      </c>
      <c r="H189" s="259">
        <v>0.25176960000000004</v>
      </c>
      <c r="I189" s="258" t="s">
        <v>165</v>
      </c>
      <c r="J189" s="258">
        <v>17505240</v>
      </c>
      <c r="K189" s="288">
        <v>45206</v>
      </c>
      <c r="L189" s="258"/>
      <c r="M189" s="258"/>
      <c r="N189" s="258" t="s">
        <v>25</v>
      </c>
      <c r="O189" s="258" t="s">
        <v>25</v>
      </c>
      <c r="P189" s="258" t="s">
        <v>25</v>
      </c>
      <c r="Q189" s="258" t="s">
        <v>25</v>
      </c>
      <c r="R189" s="790" t="s">
        <v>25</v>
      </c>
      <c r="S189" s="288" t="s">
        <v>25</v>
      </c>
      <c r="T189" s="258" t="s">
        <v>25</v>
      </c>
      <c r="U189" s="258">
        <v>0</v>
      </c>
      <c r="V189" s="258">
        <v>0</v>
      </c>
      <c r="W189" s="258">
        <v>1.4570000000000001</v>
      </c>
    </row>
    <row r="190" spans="1:23" ht="30" customHeight="1" x14ac:dyDescent="0.25">
      <c r="A190" s="229">
        <f t="shared" si="2"/>
        <v>57</v>
      </c>
      <c r="B190" s="256" t="s">
        <v>236</v>
      </c>
      <c r="C190" s="257" t="s">
        <v>3286</v>
      </c>
      <c r="D190" s="256" t="s">
        <v>173</v>
      </c>
      <c r="E190" s="379">
        <v>1.1439999999999999</v>
      </c>
      <c r="F190" s="256" t="s">
        <v>177</v>
      </c>
      <c r="G190" s="258" t="s">
        <v>3287</v>
      </c>
      <c r="H190" s="259">
        <v>0.1976832</v>
      </c>
      <c r="I190" s="258" t="s">
        <v>165</v>
      </c>
      <c r="J190" s="258">
        <v>17704778</v>
      </c>
      <c r="K190" s="258" t="s">
        <v>3288</v>
      </c>
      <c r="L190" s="258"/>
      <c r="M190" s="258"/>
      <c r="N190" s="258" t="s">
        <v>25</v>
      </c>
      <c r="O190" s="258" t="s">
        <v>25</v>
      </c>
      <c r="P190" s="258" t="s">
        <v>25</v>
      </c>
      <c r="Q190" s="258" t="s">
        <v>25</v>
      </c>
      <c r="R190" s="790" t="s">
        <v>25</v>
      </c>
      <c r="S190" s="288" t="s">
        <v>25</v>
      </c>
      <c r="T190" s="258" t="s">
        <v>25</v>
      </c>
      <c r="U190" s="258">
        <v>0</v>
      </c>
      <c r="V190" s="258">
        <v>0</v>
      </c>
      <c r="W190" s="258">
        <v>1.1439999999999999</v>
      </c>
    </row>
    <row r="191" spans="1:23" ht="30" customHeight="1" x14ac:dyDescent="0.25">
      <c r="A191" s="229">
        <f t="shared" si="2"/>
        <v>58</v>
      </c>
      <c r="B191" s="256" t="s">
        <v>3280</v>
      </c>
      <c r="C191" s="257" t="s">
        <v>3289</v>
      </c>
      <c r="D191" s="256" t="s">
        <v>170</v>
      </c>
      <c r="E191" s="379">
        <v>1.5</v>
      </c>
      <c r="F191" s="256" t="s">
        <v>177</v>
      </c>
      <c r="G191" s="258" t="s">
        <v>3285</v>
      </c>
      <c r="H191" s="259">
        <v>0.25919999999999999</v>
      </c>
      <c r="I191" s="258" t="s">
        <v>165</v>
      </c>
      <c r="J191" s="258">
        <v>17652208</v>
      </c>
      <c r="K191" s="258" t="s">
        <v>3290</v>
      </c>
      <c r="L191" s="258"/>
      <c r="M191" s="258"/>
      <c r="N191" s="258" t="s">
        <v>25</v>
      </c>
      <c r="O191" s="258" t="s">
        <v>25</v>
      </c>
      <c r="P191" s="258" t="s">
        <v>25</v>
      </c>
      <c r="Q191" s="258" t="s">
        <v>25</v>
      </c>
      <c r="R191" s="790" t="s">
        <v>25</v>
      </c>
      <c r="S191" s="288" t="s">
        <v>25</v>
      </c>
      <c r="T191" s="258" t="s">
        <v>25</v>
      </c>
      <c r="U191" s="258">
        <v>0</v>
      </c>
      <c r="V191" s="258">
        <v>0</v>
      </c>
      <c r="W191" s="258">
        <v>1.5</v>
      </c>
    </row>
    <row r="192" spans="1:23" ht="30" customHeight="1" x14ac:dyDescent="0.25">
      <c r="A192" s="229">
        <f t="shared" si="2"/>
        <v>59</v>
      </c>
      <c r="B192" s="258" t="s">
        <v>3280</v>
      </c>
      <c r="C192" s="397" t="s">
        <v>3474</v>
      </c>
      <c r="D192" s="258" t="s">
        <v>170</v>
      </c>
      <c r="E192" s="379">
        <v>1</v>
      </c>
      <c r="F192" s="256" t="s">
        <v>177</v>
      </c>
      <c r="G192" s="258" t="s">
        <v>1756</v>
      </c>
      <c r="H192" s="259">
        <v>0.17280000000000001</v>
      </c>
      <c r="I192" s="258" t="s">
        <v>165</v>
      </c>
      <c r="J192" s="258">
        <v>17677907</v>
      </c>
      <c r="K192" s="258" t="s">
        <v>3475</v>
      </c>
      <c r="L192" s="258"/>
      <c r="M192" s="258"/>
      <c r="N192" s="258" t="s">
        <v>25</v>
      </c>
      <c r="O192" s="258" t="s">
        <v>25</v>
      </c>
      <c r="P192" s="258" t="s">
        <v>25</v>
      </c>
      <c r="Q192" s="258" t="s">
        <v>25</v>
      </c>
      <c r="R192" s="790" t="s">
        <v>25</v>
      </c>
      <c r="S192" s="288" t="s">
        <v>25</v>
      </c>
      <c r="T192" s="258" t="s">
        <v>25</v>
      </c>
      <c r="U192" s="258">
        <v>0</v>
      </c>
      <c r="V192" s="258">
        <v>0</v>
      </c>
      <c r="W192" s="258">
        <v>1</v>
      </c>
    </row>
    <row r="193" spans="1:23" ht="30" customHeight="1" x14ac:dyDescent="0.25">
      <c r="A193" s="229">
        <f t="shared" si="2"/>
        <v>60</v>
      </c>
      <c r="B193" s="256" t="s">
        <v>2738</v>
      </c>
      <c r="C193" s="257" t="s">
        <v>2739</v>
      </c>
      <c r="D193" s="256" t="s">
        <v>1224</v>
      </c>
      <c r="E193" s="290">
        <v>15</v>
      </c>
      <c r="F193" s="256" t="s">
        <v>1740</v>
      </c>
      <c r="G193" s="258" t="s">
        <v>233</v>
      </c>
      <c r="H193" s="259">
        <v>3.5999999999999996</v>
      </c>
      <c r="I193" s="258" t="s">
        <v>165</v>
      </c>
      <c r="J193" s="258">
        <v>17972765</v>
      </c>
      <c r="K193" s="288">
        <v>45115</v>
      </c>
      <c r="L193" s="256" t="s">
        <v>3670</v>
      </c>
      <c r="M193" s="288">
        <v>45181</v>
      </c>
      <c r="N193" s="288" t="s">
        <v>25</v>
      </c>
      <c r="O193" s="258" t="s">
        <v>25</v>
      </c>
      <c r="P193" s="258" t="s">
        <v>25</v>
      </c>
      <c r="Q193" s="258" t="s">
        <v>25</v>
      </c>
      <c r="R193" s="790" t="s">
        <v>25</v>
      </c>
      <c r="S193" s="288" t="s">
        <v>25</v>
      </c>
      <c r="T193" s="258" t="s">
        <v>25</v>
      </c>
      <c r="U193" s="258">
        <v>0</v>
      </c>
      <c r="V193" s="290">
        <v>0</v>
      </c>
      <c r="W193" s="290">
        <v>15</v>
      </c>
    </row>
    <row r="194" spans="1:23" ht="30" customHeight="1" x14ac:dyDescent="0.25">
      <c r="A194" s="229">
        <f t="shared" si="2"/>
        <v>61</v>
      </c>
      <c r="B194" s="256" t="s">
        <v>3280</v>
      </c>
      <c r="C194" s="257" t="s">
        <v>3724</v>
      </c>
      <c r="D194" s="256" t="s">
        <v>173</v>
      </c>
      <c r="E194" s="290">
        <v>4.8</v>
      </c>
      <c r="F194" s="256" t="s">
        <v>222</v>
      </c>
      <c r="G194" s="256" t="s">
        <v>3725</v>
      </c>
      <c r="H194" s="259">
        <v>8.2252799999999987E-2</v>
      </c>
      <c r="I194" s="258" t="s">
        <v>165</v>
      </c>
      <c r="J194" s="258">
        <v>18158599</v>
      </c>
      <c r="K194" s="288" t="s">
        <v>3726</v>
      </c>
      <c r="L194" s="288"/>
      <c r="M194" s="288" t="s">
        <v>25</v>
      </c>
      <c r="N194" s="258" t="s">
        <v>25</v>
      </c>
      <c r="O194" s="258" t="s">
        <v>25</v>
      </c>
      <c r="P194" s="258" t="s">
        <v>25</v>
      </c>
      <c r="Q194" s="258" t="s">
        <v>25</v>
      </c>
      <c r="R194" s="790" t="s">
        <v>25</v>
      </c>
      <c r="S194" s="288" t="s">
        <v>25</v>
      </c>
      <c r="T194" s="258" t="s">
        <v>25</v>
      </c>
      <c r="U194" s="258">
        <v>3.2</v>
      </c>
      <c r="V194" s="290">
        <v>4.8</v>
      </c>
      <c r="W194" s="290">
        <v>1.6</v>
      </c>
    </row>
    <row r="195" spans="1:23" ht="30" customHeight="1" x14ac:dyDescent="0.25">
      <c r="A195" s="229">
        <f t="shared" si="2"/>
        <v>62</v>
      </c>
      <c r="B195" s="256" t="s">
        <v>3727</v>
      </c>
      <c r="C195" s="257" t="s">
        <v>3728</v>
      </c>
      <c r="D195" s="256" t="s">
        <v>173</v>
      </c>
      <c r="E195" s="290">
        <v>2.2999999999999998</v>
      </c>
      <c r="F195" s="256" t="s">
        <v>177</v>
      </c>
      <c r="G195" s="256" t="s">
        <v>3729</v>
      </c>
      <c r="H195" s="259">
        <v>0.39744000000000002</v>
      </c>
      <c r="I195" s="258" t="s">
        <v>165</v>
      </c>
      <c r="J195" s="258">
        <v>18212365</v>
      </c>
      <c r="K195" s="288" t="s">
        <v>3730</v>
      </c>
      <c r="L195" s="288"/>
      <c r="M195" s="288" t="s">
        <v>25</v>
      </c>
      <c r="N195" s="258" t="s">
        <v>25</v>
      </c>
      <c r="O195" s="258" t="s">
        <v>25</v>
      </c>
      <c r="P195" s="258" t="s">
        <v>25</v>
      </c>
      <c r="Q195" s="258" t="s">
        <v>25</v>
      </c>
      <c r="R195" s="790" t="s">
        <v>25</v>
      </c>
      <c r="S195" s="288" t="s">
        <v>25</v>
      </c>
      <c r="T195" s="258" t="s">
        <v>25</v>
      </c>
      <c r="U195" s="258">
        <v>0</v>
      </c>
      <c r="V195" s="290">
        <v>0</v>
      </c>
      <c r="W195" s="290">
        <v>2.2999999999999998</v>
      </c>
    </row>
    <row r="196" spans="1:23" ht="30" customHeight="1" x14ac:dyDescent="0.25">
      <c r="A196" s="229">
        <f t="shared" si="2"/>
        <v>63</v>
      </c>
      <c r="B196" s="256" t="s">
        <v>2234</v>
      </c>
      <c r="C196" s="257" t="s">
        <v>3731</v>
      </c>
      <c r="D196" s="256" t="s">
        <v>173</v>
      </c>
      <c r="E196" s="290">
        <v>5.593</v>
      </c>
      <c r="F196" s="256" t="s">
        <v>177</v>
      </c>
      <c r="G196" s="256" t="s">
        <v>3732</v>
      </c>
      <c r="H196" s="259">
        <v>0.287524944</v>
      </c>
      <c r="I196" s="258" t="s">
        <v>165</v>
      </c>
      <c r="J196" s="258">
        <v>11297702</v>
      </c>
      <c r="K196" s="288" t="s">
        <v>3733</v>
      </c>
      <c r="L196" s="288"/>
      <c r="M196" s="288" t="s">
        <v>25</v>
      </c>
      <c r="N196" s="258" t="s">
        <v>25</v>
      </c>
      <c r="O196" s="258" t="s">
        <v>25</v>
      </c>
      <c r="P196" s="258" t="s">
        <v>25</v>
      </c>
      <c r="Q196" s="258" t="s">
        <v>25</v>
      </c>
      <c r="R196" s="790" t="s">
        <v>25</v>
      </c>
      <c r="S196" s="288" t="s">
        <v>25</v>
      </c>
      <c r="T196" s="258" t="s">
        <v>25</v>
      </c>
      <c r="U196" s="258">
        <v>0</v>
      </c>
      <c r="V196" s="290">
        <v>0</v>
      </c>
      <c r="W196" s="290">
        <v>5.593</v>
      </c>
    </row>
    <row r="197" spans="1:23" ht="30" customHeight="1" x14ac:dyDescent="0.25">
      <c r="A197" s="229">
        <f t="shared" si="2"/>
        <v>64</v>
      </c>
      <c r="B197" s="256" t="s">
        <v>1112</v>
      </c>
      <c r="C197" s="257" t="s">
        <v>3734</v>
      </c>
      <c r="D197" s="256" t="s">
        <v>173</v>
      </c>
      <c r="E197" s="290">
        <v>20</v>
      </c>
      <c r="F197" s="256" t="s">
        <v>217</v>
      </c>
      <c r="G197" s="256" t="s">
        <v>3735</v>
      </c>
      <c r="H197" s="259">
        <v>4.8</v>
      </c>
      <c r="I197" s="258" t="s">
        <v>165</v>
      </c>
      <c r="J197" s="258">
        <v>10174106</v>
      </c>
      <c r="K197" s="288" t="s">
        <v>3736</v>
      </c>
      <c r="L197" s="288"/>
      <c r="M197" s="288" t="s">
        <v>25</v>
      </c>
      <c r="N197" s="258" t="s">
        <v>25</v>
      </c>
      <c r="O197" s="258" t="s">
        <v>25</v>
      </c>
      <c r="P197" s="258" t="s">
        <v>25</v>
      </c>
      <c r="Q197" s="258" t="s">
        <v>25</v>
      </c>
      <c r="R197" s="790" t="s">
        <v>25</v>
      </c>
      <c r="S197" s="288" t="s">
        <v>25</v>
      </c>
      <c r="T197" s="258" t="s">
        <v>25</v>
      </c>
      <c r="U197" s="258">
        <v>0</v>
      </c>
      <c r="V197" s="290">
        <v>0</v>
      </c>
      <c r="W197" s="290">
        <v>20</v>
      </c>
    </row>
    <row r="198" spans="1:23" ht="30" customHeight="1" x14ac:dyDescent="0.25">
      <c r="A198" s="229">
        <f t="shared" si="2"/>
        <v>65</v>
      </c>
      <c r="B198" s="256" t="s">
        <v>1112</v>
      </c>
      <c r="C198" s="257" t="s">
        <v>3829</v>
      </c>
      <c r="D198" s="256" t="s">
        <v>173</v>
      </c>
      <c r="E198" s="290">
        <v>20</v>
      </c>
      <c r="F198" s="256" t="s">
        <v>217</v>
      </c>
      <c r="G198" s="256" t="s">
        <v>3830</v>
      </c>
      <c r="H198" s="259">
        <v>4.8</v>
      </c>
      <c r="I198" s="258" t="s">
        <v>165</v>
      </c>
      <c r="J198" s="258">
        <v>10192342</v>
      </c>
      <c r="K198" s="288">
        <v>45219</v>
      </c>
      <c r="L198" s="288"/>
      <c r="M198" s="288" t="s">
        <v>25</v>
      </c>
      <c r="N198" s="258" t="s">
        <v>25</v>
      </c>
      <c r="O198" s="258" t="s">
        <v>25</v>
      </c>
      <c r="P198" s="258" t="s">
        <v>25</v>
      </c>
      <c r="Q198" s="258" t="s">
        <v>25</v>
      </c>
      <c r="R198" s="790" t="s">
        <v>25</v>
      </c>
      <c r="S198" s="288" t="s">
        <v>25</v>
      </c>
      <c r="T198" s="258" t="s">
        <v>25</v>
      </c>
      <c r="U198" s="258">
        <v>0</v>
      </c>
      <c r="V198" s="290">
        <v>0</v>
      </c>
      <c r="W198" s="290">
        <v>20</v>
      </c>
    </row>
    <row r="199" spans="1:23" ht="30" customHeight="1" x14ac:dyDescent="0.25">
      <c r="A199" s="229">
        <f t="shared" si="2"/>
        <v>66</v>
      </c>
      <c r="B199" s="256" t="s">
        <v>4156</v>
      </c>
      <c r="C199" s="257" t="s">
        <v>4157</v>
      </c>
      <c r="D199" s="256" t="s">
        <v>163</v>
      </c>
      <c r="E199" s="290">
        <v>1.50589</v>
      </c>
      <c r="F199" s="256" t="s">
        <v>177</v>
      </c>
      <c r="G199" s="256" t="s">
        <v>227</v>
      </c>
      <c r="H199" s="259">
        <v>5.9514527519999999E-2</v>
      </c>
      <c r="I199" s="258" t="s">
        <v>165</v>
      </c>
      <c r="J199" s="258">
        <v>18245810</v>
      </c>
      <c r="K199" s="288">
        <v>45237</v>
      </c>
      <c r="L199" s="288"/>
      <c r="M199" s="288" t="s">
        <v>25</v>
      </c>
      <c r="N199" s="258" t="s">
        <v>25</v>
      </c>
      <c r="O199" s="258" t="s">
        <v>25</v>
      </c>
      <c r="P199" s="258" t="s">
        <v>25</v>
      </c>
      <c r="Q199" s="258" t="s">
        <v>25</v>
      </c>
      <c r="R199" s="790" t="s">
        <v>25</v>
      </c>
      <c r="S199" s="288" t="s">
        <v>25</v>
      </c>
      <c r="T199" s="258" t="s">
        <v>25</v>
      </c>
      <c r="U199" s="258">
        <v>0.34820000000000001</v>
      </c>
      <c r="V199" s="290">
        <v>1.50589</v>
      </c>
      <c r="W199" s="290">
        <v>1.1576900000000001</v>
      </c>
    </row>
    <row r="200" spans="1:23" ht="30" customHeight="1" x14ac:dyDescent="0.25">
      <c r="A200" s="229">
        <f t="shared" si="2"/>
        <v>67</v>
      </c>
      <c r="B200" s="256" t="s">
        <v>4158</v>
      </c>
      <c r="C200" s="257" t="s">
        <v>4159</v>
      </c>
      <c r="D200" s="256" t="s">
        <v>173</v>
      </c>
      <c r="E200" s="290">
        <v>1.1499999999999999</v>
      </c>
      <c r="F200" s="256" t="s">
        <v>177</v>
      </c>
      <c r="G200" s="256" t="s">
        <v>261</v>
      </c>
      <c r="H200" s="259">
        <v>3.3415199999999999E-2</v>
      </c>
      <c r="I200" s="258" t="s">
        <v>165</v>
      </c>
      <c r="J200" s="258">
        <v>18655673</v>
      </c>
      <c r="K200" s="288">
        <v>45268</v>
      </c>
      <c r="L200" s="288"/>
      <c r="M200" s="288" t="s">
        <v>25</v>
      </c>
      <c r="N200" s="258" t="s">
        <v>25</v>
      </c>
      <c r="O200" s="258" t="s">
        <v>25</v>
      </c>
      <c r="P200" s="258" t="s">
        <v>25</v>
      </c>
      <c r="Q200" s="258" t="s">
        <v>25</v>
      </c>
      <c r="R200" s="790" t="s">
        <v>25</v>
      </c>
      <c r="S200" s="288" t="s">
        <v>25</v>
      </c>
      <c r="T200" s="258" t="s">
        <v>25</v>
      </c>
      <c r="U200" s="258">
        <v>0.5</v>
      </c>
      <c r="V200" s="290">
        <v>1.1499999999999999</v>
      </c>
      <c r="W200" s="290">
        <v>1</v>
      </c>
    </row>
    <row r="201" spans="1:23" ht="30" customHeight="1" x14ac:dyDescent="0.25">
      <c r="A201" s="229">
        <f t="shared" si="2"/>
        <v>68</v>
      </c>
      <c r="B201" s="256" t="s">
        <v>4160</v>
      </c>
      <c r="C201" s="257" t="s">
        <v>4161</v>
      </c>
      <c r="D201" s="256" t="s">
        <v>190</v>
      </c>
      <c r="E201" s="290">
        <v>1.8049999999999999</v>
      </c>
      <c r="F201" s="256" t="s">
        <v>177</v>
      </c>
      <c r="G201" s="256" t="s">
        <v>191</v>
      </c>
      <c r="H201" s="259">
        <v>9.2791440000000003E-2</v>
      </c>
      <c r="I201" s="258" t="s">
        <v>165</v>
      </c>
      <c r="J201" s="258">
        <v>18758113</v>
      </c>
      <c r="K201" s="288">
        <v>45278</v>
      </c>
      <c r="L201" s="288"/>
      <c r="M201" s="288" t="s">
        <v>25</v>
      </c>
      <c r="N201" s="258" t="s">
        <v>25</v>
      </c>
      <c r="O201" s="258" t="s">
        <v>25</v>
      </c>
      <c r="P201" s="258" t="s">
        <v>25</v>
      </c>
      <c r="Q201" s="258" t="s">
        <v>25</v>
      </c>
      <c r="R201" s="790" t="s">
        <v>25</v>
      </c>
      <c r="S201" s="288" t="s">
        <v>25</v>
      </c>
      <c r="T201" s="258" t="s">
        <v>25</v>
      </c>
      <c r="U201" s="258">
        <v>0</v>
      </c>
      <c r="V201" s="290">
        <v>1.8049999999999999</v>
      </c>
      <c r="W201" s="290">
        <v>1.8049999999999999</v>
      </c>
    </row>
    <row r="202" spans="1:23" ht="30" customHeight="1" x14ac:dyDescent="0.25">
      <c r="A202" s="229">
        <f t="shared" si="2"/>
        <v>69</v>
      </c>
      <c r="B202" s="256" t="s">
        <v>3280</v>
      </c>
      <c r="C202" s="257" t="s">
        <v>4747</v>
      </c>
      <c r="D202" s="256" t="s">
        <v>173</v>
      </c>
      <c r="E202" s="290">
        <v>4</v>
      </c>
      <c r="F202" s="256" t="s">
        <v>177</v>
      </c>
      <c r="G202" s="256" t="s">
        <v>4748</v>
      </c>
      <c r="H202" s="259">
        <v>0.69120000000000004</v>
      </c>
      <c r="I202" s="258" t="s">
        <v>4749</v>
      </c>
      <c r="J202" s="258">
        <v>18233444</v>
      </c>
      <c r="K202" s="288">
        <v>45294</v>
      </c>
      <c r="L202" s="256"/>
      <c r="M202" s="288"/>
      <c r="N202" s="288" t="s">
        <v>25</v>
      </c>
      <c r="O202" s="258" t="s">
        <v>25</v>
      </c>
      <c r="P202" s="258" t="s">
        <v>25</v>
      </c>
      <c r="Q202" s="258" t="s">
        <v>25</v>
      </c>
      <c r="R202" s="790" t="s">
        <v>25</v>
      </c>
      <c r="S202" s="288" t="s">
        <v>25</v>
      </c>
      <c r="T202" s="258" t="s">
        <v>25</v>
      </c>
      <c r="U202" s="258">
        <v>0</v>
      </c>
      <c r="V202" s="290">
        <v>4</v>
      </c>
      <c r="W202" s="290">
        <v>4</v>
      </c>
    </row>
    <row r="203" spans="1:23" ht="30" customHeight="1" x14ac:dyDescent="0.25">
      <c r="A203" s="229">
        <f t="shared" si="2"/>
        <v>70</v>
      </c>
      <c r="B203" s="256" t="s">
        <v>4750</v>
      </c>
      <c r="C203" s="257" t="s">
        <v>4751</v>
      </c>
      <c r="D203" s="256" t="s">
        <v>170</v>
      </c>
      <c r="E203" s="290">
        <v>1.1000000000000001</v>
      </c>
      <c r="F203" s="256" t="s">
        <v>177</v>
      </c>
      <c r="G203" s="256" t="s">
        <v>206</v>
      </c>
      <c r="H203" s="259">
        <v>8.6400000000000088E-3</v>
      </c>
      <c r="I203" s="258" t="s">
        <v>4749</v>
      </c>
      <c r="J203" s="258">
        <v>18575628</v>
      </c>
      <c r="K203" s="288">
        <v>45306</v>
      </c>
      <c r="L203" s="256"/>
      <c r="M203" s="288"/>
      <c r="N203" s="288" t="s">
        <v>25</v>
      </c>
      <c r="O203" s="258" t="s">
        <v>25</v>
      </c>
      <c r="P203" s="258" t="s">
        <v>25</v>
      </c>
      <c r="Q203" s="258" t="s">
        <v>25</v>
      </c>
      <c r="R203" s="790" t="s">
        <v>25</v>
      </c>
      <c r="S203" s="288" t="s">
        <v>25</v>
      </c>
      <c r="T203" s="258" t="s">
        <v>25</v>
      </c>
      <c r="U203" s="258">
        <v>1.05</v>
      </c>
      <c r="V203" s="290">
        <v>1.1000000000000001</v>
      </c>
      <c r="W203" s="290">
        <v>0.05</v>
      </c>
    </row>
    <row r="204" spans="1:23" ht="30" customHeight="1" x14ac:dyDescent="0.25">
      <c r="A204" s="229">
        <f t="shared" si="2"/>
        <v>71</v>
      </c>
      <c r="B204" s="256" t="s">
        <v>4752</v>
      </c>
      <c r="C204" s="257" t="s">
        <v>4753</v>
      </c>
      <c r="D204" s="256" t="s">
        <v>163</v>
      </c>
      <c r="E204" s="290">
        <v>1.5</v>
      </c>
      <c r="F204" s="256" t="s">
        <v>177</v>
      </c>
      <c r="G204" s="256" t="s">
        <v>227</v>
      </c>
      <c r="H204" s="259">
        <v>0.25919999999999999</v>
      </c>
      <c r="I204" s="258" t="s">
        <v>4749</v>
      </c>
      <c r="J204" s="258">
        <v>18885985</v>
      </c>
      <c r="K204" s="288">
        <v>45327</v>
      </c>
      <c r="L204" s="256"/>
      <c r="M204" s="288"/>
      <c r="N204" s="288" t="s">
        <v>25</v>
      </c>
      <c r="O204" s="258" t="s">
        <v>25</v>
      </c>
      <c r="P204" s="258" t="s">
        <v>25</v>
      </c>
      <c r="Q204" s="258" t="s">
        <v>25</v>
      </c>
      <c r="R204" s="790" t="s">
        <v>25</v>
      </c>
      <c r="S204" s="288" t="s">
        <v>25</v>
      </c>
      <c r="T204" s="258" t="s">
        <v>25</v>
      </c>
      <c r="U204" s="258">
        <v>0</v>
      </c>
      <c r="V204" s="290">
        <v>1.5</v>
      </c>
      <c r="W204" s="290">
        <v>1.5</v>
      </c>
    </row>
    <row r="205" spans="1:23" ht="30" customHeight="1" x14ac:dyDescent="0.25">
      <c r="A205" s="229">
        <f t="shared" si="2"/>
        <v>72</v>
      </c>
      <c r="B205" s="256" t="s">
        <v>4754</v>
      </c>
      <c r="C205" s="257" t="s">
        <v>343</v>
      </c>
      <c r="D205" s="256" t="s">
        <v>190</v>
      </c>
      <c r="E205" s="290">
        <v>3.16</v>
      </c>
      <c r="F205" s="256" t="s">
        <v>177</v>
      </c>
      <c r="G205" s="256" t="s">
        <v>3725</v>
      </c>
      <c r="H205" s="259">
        <v>0.37324800000000002</v>
      </c>
      <c r="I205" s="258" t="s">
        <v>4749</v>
      </c>
      <c r="J205" s="258">
        <v>19118248</v>
      </c>
      <c r="K205" s="288">
        <v>45336</v>
      </c>
      <c r="L205" s="256"/>
      <c r="M205" s="288"/>
      <c r="N205" s="288" t="s">
        <v>25</v>
      </c>
      <c r="O205" s="258" t="s">
        <v>25</v>
      </c>
      <c r="P205" s="258" t="s">
        <v>25</v>
      </c>
      <c r="Q205" s="258" t="s">
        <v>25</v>
      </c>
      <c r="R205" s="790" t="s">
        <v>25</v>
      </c>
      <c r="S205" s="288" t="s">
        <v>25</v>
      </c>
      <c r="T205" s="258" t="s">
        <v>25</v>
      </c>
      <c r="U205" s="258">
        <v>1</v>
      </c>
      <c r="V205" s="290">
        <v>3.16</v>
      </c>
      <c r="W205" s="290">
        <v>2.16</v>
      </c>
    </row>
    <row r="206" spans="1:23" ht="30" customHeight="1" x14ac:dyDescent="0.25">
      <c r="A206" s="229">
        <f t="shared" si="2"/>
        <v>73</v>
      </c>
      <c r="B206" s="256" t="s">
        <v>4755</v>
      </c>
      <c r="C206" s="257" t="s">
        <v>4756</v>
      </c>
      <c r="D206" s="258" t="s">
        <v>173</v>
      </c>
      <c r="E206" s="258">
        <v>1.4</v>
      </c>
      <c r="F206" s="258">
        <v>20</v>
      </c>
      <c r="G206" s="256" t="s">
        <v>178</v>
      </c>
      <c r="H206" s="259">
        <v>7.1971199999999999E-2</v>
      </c>
      <c r="I206" s="258" t="s">
        <v>4749</v>
      </c>
      <c r="J206" s="258">
        <v>18030014</v>
      </c>
      <c r="K206" s="288">
        <v>45195</v>
      </c>
      <c r="L206" s="258">
        <v>18030014</v>
      </c>
      <c r="M206" s="288">
        <v>45327</v>
      </c>
      <c r="N206" s="258"/>
      <c r="O206" s="258" t="s">
        <v>25</v>
      </c>
      <c r="P206" s="258" t="s">
        <v>25</v>
      </c>
      <c r="Q206" s="258" t="s">
        <v>25</v>
      </c>
      <c r="R206" s="790" t="s">
        <v>25</v>
      </c>
      <c r="S206" s="288" t="s">
        <v>25</v>
      </c>
      <c r="T206" s="258" t="s">
        <v>25</v>
      </c>
      <c r="U206" s="258">
        <v>0</v>
      </c>
      <c r="V206" s="258">
        <v>0</v>
      </c>
      <c r="W206" s="258">
        <v>1.4</v>
      </c>
    </row>
    <row r="207" spans="1:23" ht="30" customHeight="1" x14ac:dyDescent="0.25">
      <c r="A207" s="229">
        <f t="shared" si="2"/>
        <v>74</v>
      </c>
      <c r="B207" s="256" t="s">
        <v>5342</v>
      </c>
      <c r="C207" s="257" t="s">
        <v>5343</v>
      </c>
      <c r="D207" s="258" t="s">
        <v>173</v>
      </c>
      <c r="E207" s="763">
        <v>1.0549999999999999</v>
      </c>
      <c r="F207" s="258">
        <v>20</v>
      </c>
      <c r="G207" s="256" t="s">
        <v>2240</v>
      </c>
      <c r="H207" s="305">
        <v>5.4235439999999996E-2</v>
      </c>
      <c r="I207" s="258" t="s">
        <v>4749</v>
      </c>
      <c r="J207" s="258">
        <v>19186376</v>
      </c>
      <c r="K207" s="288">
        <v>45344</v>
      </c>
      <c r="L207" s="258">
        <v>19186376</v>
      </c>
      <c r="M207" s="258" t="s">
        <v>5344</v>
      </c>
      <c r="N207" s="258"/>
      <c r="O207" s="258" t="s">
        <v>25</v>
      </c>
      <c r="P207" s="258" t="s">
        <v>25</v>
      </c>
      <c r="Q207" s="258" t="s">
        <v>25</v>
      </c>
      <c r="R207" s="790" t="s">
        <v>25</v>
      </c>
      <c r="S207" s="288" t="s">
        <v>25</v>
      </c>
      <c r="T207" s="258" t="s">
        <v>25</v>
      </c>
      <c r="U207" s="258">
        <v>0</v>
      </c>
      <c r="V207" s="258">
        <v>0</v>
      </c>
      <c r="W207" s="258">
        <v>1.0549999999999999</v>
      </c>
    </row>
    <row r="208" spans="1:23" ht="30" customHeight="1" x14ac:dyDescent="0.25">
      <c r="A208" s="229">
        <f t="shared" si="2"/>
        <v>75</v>
      </c>
      <c r="B208" s="256" t="s">
        <v>2725</v>
      </c>
      <c r="C208" s="257" t="s">
        <v>5345</v>
      </c>
      <c r="D208" s="256" t="s">
        <v>163</v>
      </c>
      <c r="E208" s="290">
        <v>1.75</v>
      </c>
      <c r="F208" s="258">
        <v>20</v>
      </c>
      <c r="G208" s="258" t="s">
        <v>5346</v>
      </c>
      <c r="H208" s="305">
        <v>0.3024</v>
      </c>
      <c r="I208" s="258" t="s">
        <v>4749</v>
      </c>
      <c r="J208" s="256" t="s">
        <v>5347</v>
      </c>
      <c r="K208" s="288">
        <v>45478</v>
      </c>
      <c r="L208" s="256"/>
      <c r="M208" s="288"/>
      <c r="N208" s="288" t="s">
        <v>25</v>
      </c>
      <c r="O208" s="258" t="s">
        <v>25</v>
      </c>
      <c r="P208" s="258" t="s">
        <v>25</v>
      </c>
      <c r="Q208" s="258" t="s">
        <v>25</v>
      </c>
      <c r="R208" s="790" t="s">
        <v>25</v>
      </c>
      <c r="S208" s="288" t="s">
        <v>25</v>
      </c>
      <c r="T208" s="258" t="s">
        <v>25</v>
      </c>
      <c r="U208" s="258">
        <v>0</v>
      </c>
      <c r="V208" s="290">
        <v>1.75</v>
      </c>
      <c r="W208" s="290">
        <v>1.75</v>
      </c>
    </row>
    <row r="209" spans="1:23" ht="30" customHeight="1" x14ac:dyDescent="0.25">
      <c r="A209" s="229">
        <f t="shared" si="2"/>
        <v>76</v>
      </c>
      <c r="B209" s="256" t="s">
        <v>5348</v>
      </c>
      <c r="C209" s="257" t="s">
        <v>5349</v>
      </c>
      <c r="D209" s="256" t="s">
        <v>163</v>
      </c>
      <c r="E209" s="290">
        <v>1.5</v>
      </c>
      <c r="F209" s="258">
        <v>20</v>
      </c>
      <c r="G209" s="258" t="s">
        <v>2727</v>
      </c>
      <c r="H209" s="305">
        <v>0.11232</v>
      </c>
      <c r="I209" s="258" t="s">
        <v>4749</v>
      </c>
      <c r="J209" s="256" t="s">
        <v>5350</v>
      </c>
      <c r="K209" s="288">
        <v>45483</v>
      </c>
      <c r="L209" s="256"/>
      <c r="M209" s="288"/>
      <c r="N209" s="288" t="s">
        <v>25</v>
      </c>
      <c r="O209" s="258" t="s">
        <v>25</v>
      </c>
      <c r="P209" s="258" t="s">
        <v>25</v>
      </c>
      <c r="Q209" s="258" t="s">
        <v>25</v>
      </c>
      <c r="R209" s="790" t="s">
        <v>25</v>
      </c>
      <c r="S209" s="288" t="s">
        <v>25</v>
      </c>
      <c r="T209" s="258" t="s">
        <v>25</v>
      </c>
      <c r="U209" s="290">
        <v>0.85</v>
      </c>
      <c r="V209" s="290">
        <v>1.5</v>
      </c>
      <c r="W209" s="290">
        <v>0.65</v>
      </c>
    </row>
    <row r="210" spans="1:23" ht="30" customHeight="1" x14ac:dyDescent="0.25">
      <c r="A210" s="229">
        <f t="shared" si="2"/>
        <v>77</v>
      </c>
      <c r="B210" s="256" t="s">
        <v>5619</v>
      </c>
      <c r="C210" s="257" t="s">
        <v>1558</v>
      </c>
      <c r="D210" s="258" t="s">
        <v>173</v>
      </c>
      <c r="E210" s="763">
        <v>1.8207</v>
      </c>
      <c r="F210" s="258">
        <v>10</v>
      </c>
      <c r="G210" s="256" t="s">
        <v>5620</v>
      </c>
      <c r="H210" s="305">
        <v>9.3598545599999999E-2</v>
      </c>
      <c r="I210" s="258" t="s">
        <v>4749</v>
      </c>
      <c r="J210" s="258">
        <v>24006364</v>
      </c>
      <c r="K210" s="288">
        <v>45504</v>
      </c>
      <c r="L210" s="258"/>
      <c r="M210" s="258"/>
      <c r="N210" s="258"/>
      <c r="O210" s="258" t="s">
        <v>25</v>
      </c>
      <c r="P210" s="258" t="s">
        <v>25</v>
      </c>
      <c r="Q210" s="258" t="s">
        <v>25</v>
      </c>
      <c r="R210" s="258" t="s">
        <v>25</v>
      </c>
      <c r="S210" s="258" t="s">
        <v>25</v>
      </c>
      <c r="T210" s="258" t="s">
        <v>25</v>
      </c>
      <c r="U210" s="258">
        <v>0</v>
      </c>
      <c r="V210" s="258">
        <v>0</v>
      </c>
      <c r="W210" s="763">
        <v>1.8207</v>
      </c>
    </row>
    <row r="211" spans="1:23" ht="30" customHeight="1" x14ac:dyDescent="0.25">
      <c r="A211" s="229">
        <f t="shared" si="2"/>
        <v>78</v>
      </c>
      <c r="B211" s="256" t="s">
        <v>3280</v>
      </c>
      <c r="C211" s="257" t="s">
        <v>5726</v>
      </c>
      <c r="D211" s="256" t="s">
        <v>173</v>
      </c>
      <c r="E211" s="290">
        <v>20</v>
      </c>
      <c r="F211" s="256" t="s">
        <v>217</v>
      </c>
      <c r="G211" s="256" t="s">
        <v>5727</v>
      </c>
      <c r="H211" s="305">
        <v>1.0368000000000002</v>
      </c>
      <c r="I211" s="258" t="s">
        <v>4749</v>
      </c>
      <c r="J211" s="256" t="s">
        <v>5728</v>
      </c>
      <c r="K211" s="288" t="s">
        <v>5729</v>
      </c>
      <c r="L211" s="256"/>
      <c r="M211" s="288"/>
      <c r="N211" s="288" t="s">
        <v>25</v>
      </c>
      <c r="O211" s="258" t="s">
        <v>25</v>
      </c>
      <c r="P211" s="258" t="s">
        <v>25</v>
      </c>
      <c r="Q211" s="258" t="s">
        <v>25</v>
      </c>
      <c r="R211" s="258" t="s">
        <v>25</v>
      </c>
      <c r="S211" s="258" t="s">
        <v>25</v>
      </c>
      <c r="T211" s="258" t="s">
        <v>25</v>
      </c>
      <c r="U211" s="290" t="s">
        <v>5730</v>
      </c>
      <c r="V211" s="290">
        <v>20</v>
      </c>
      <c r="W211" s="305">
        <v>6.5</v>
      </c>
    </row>
    <row r="212" spans="1:23" ht="30" customHeight="1" x14ac:dyDescent="0.25">
      <c r="A212" s="229">
        <f t="shared" si="2"/>
        <v>79</v>
      </c>
      <c r="B212" s="256" t="s">
        <v>5731</v>
      </c>
      <c r="C212" s="257" t="s">
        <v>964</v>
      </c>
      <c r="D212" s="256" t="s">
        <v>190</v>
      </c>
      <c r="E212" s="289">
        <v>1.64</v>
      </c>
      <c r="F212" s="256" t="s">
        <v>177</v>
      </c>
      <c r="G212" s="256" t="s">
        <v>5732</v>
      </c>
      <c r="H212" s="305">
        <v>0.10443168000000001</v>
      </c>
      <c r="I212" s="258" t="s">
        <v>4749</v>
      </c>
      <c r="J212" s="256" t="s">
        <v>5733</v>
      </c>
      <c r="K212" s="288">
        <v>45531</v>
      </c>
      <c r="L212" s="256"/>
      <c r="M212" s="288"/>
      <c r="N212" s="288" t="s">
        <v>25</v>
      </c>
      <c r="O212" s="258" t="s">
        <v>25</v>
      </c>
      <c r="P212" s="258" t="s">
        <v>25</v>
      </c>
      <c r="Q212" s="258" t="s">
        <v>25</v>
      </c>
      <c r="R212" s="258" t="s">
        <v>25</v>
      </c>
      <c r="S212" s="258" t="s">
        <v>25</v>
      </c>
      <c r="T212" s="258" t="s">
        <v>25</v>
      </c>
      <c r="U212" s="290">
        <v>0.85</v>
      </c>
      <c r="V212" s="290">
        <v>1.64</v>
      </c>
      <c r="W212" s="290">
        <v>0.79</v>
      </c>
    </row>
    <row r="213" spans="1:23" ht="30" customHeight="1" x14ac:dyDescent="0.25">
      <c r="A213" s="229">
        <f t="shared" si="2"/>
        <v>80</v>
      </c>
      <c r="B213" s="256" t="s">
        <v>5734</v>
      </c>
      <c r="C213" s="257" t="s">
        <v>5735</v>
      </c>
      <c r="D213" s="256" t="s">
        <v>173</v>
      </c>
      <c r="E213" s="289">
        <v>1.1499999999999999</v>
      </c>
      <c r="F213" s="256" t="s">
        <v>183</v>
      </c>
      <c r="G213" s="256" t="s">
        <v>5736</v>
      </c>
      <c r="H213" s="305">
        <v>0.14475024000000003</v>
      </c>
      <c r="I213" s="258" t="s">
        <v>4749</v>
      </c>
      <c r="J213" s="256" t="s">
        <v>5737</v>
      </c>
      <c r="K213" s="288">
        <v>45518</v>
      </c>
      <c r="L213" s="256"/>
      <c r="M213" s="288"/>
      <c r="N213" s="288" t="s">
        <v>25</v>
      </c>
      <c r="O213" s="258" t="s">
        <v>25</v>
      </c>
      <c r="P213" s="258" t="s">
        <v>25</v>
      </c>
      <c r="Q213" s="258" t="s">
        <v>25</v>
      </c>
      <c r="R213" s="258" t="s">
        <v>25</v>
      </c>
      <c r="S213" s="258" t="s">
        <v>25</v>
      </c>
      <c r="T213" s="258" t="s">
        <v>25</v>
      </c>
      <c r="U213" s="290">
        <v>5.5E-2</v>
      </c>
      <c r="V213" s="290">
        <v>1.1499999999999999</v>
      </c>
      <c r="W213" s="290">
        <v>1.095</v>
      </c>
    </row>
    <row r="214" spans="1:23" ht="30" customHeight="1" x14ac:dyDescent="0.25">
      <c r="A214" s="229">
        <f t="shared" si="2"/>
        <v>81</v>
      </c>
      <c r="B214" s="256" t="s">
        <v>5738</v>
      </c>
      <c r="C214" s="257" t="s">
        <v>235</v>
      </c>
      <c r="D214" s="256" t="s">
        <v>190</v>
      </c>
      <c r="E214" s="289">
        <v>3.52</v>
      </c>
      <c r="F214" s="256" t="s">
        <v>177</v>
      </c>
      <c r="G214" s="256" t="s">
        <v>3725</v>
      </c>
      <c r="H214" s="305">
        <v>4.7589119999999992E-2</v>
      </c>
      <c r="I214" s="258" t="s">
        <v>4749</v>
      </c>
      <c r="J214" s="256" t="s">
        <v>5739</v>
      </c>
      <c r="K214" s="288">
        <v>45559</v>
      </c>
      <c r="L214" s="256"/>
      <c r="M214" s="288"/>
      <c r="N214" s="288" t="s">
        <v>25</v>
      </c>
      <c r="O214" s="258" t="s">
        <v>25</v>
      </c>
      <c r="P214" s="258" t="s">
        <v>25</v>
      </c>
      <c r="Q214" s="258" t="s">
        <v>25</v>
      </c>
      <c r="R214" s="258" t="s">
        <v>25</v>
      </c>
      <c r="S214" s="258" t="s">
        <v>25</v>
      </c>
      <c r="T214" s="258" t="s">
        <v>25</v>
      </c>
      <c r="U214" s="290">
        <v>3.16</v>
      </c>
      <c r="V214" s="290">
        <v>3.52</v>
      </c>
      <c r="W214" s="290">
        <v>0.36</v>
      </c>
    </row>
    <row r="215" spans="1:23" ht="30" customHeight="1" x14ac:dyDescent="0.25">
      <c r="A215" s="229">
        <f t="shared" si="2"/>
        <v>82</v>
      </c>
      <c r="B215" s="256" t="s">
        <v>4754</v>
      </c>
      <c r="C215" s="257" t="s">
        <v>5740</v>
      </c>
      <c r="D215" s="256" t="s">
        <v>190</v>
      </c>
      <c r="E215" s="290" t="s">
        <v>5741</v>
      </c>
      <c r="F215" s="256" t="s">
        <v>177</v>
      </c>
      <c r="G215" s="256" t="s">
        <v>3725</v>
      </c>
      <c r="H215" s="305">
        <v>0.44</v>
      </c>
      <c r="I215" s="258" t="s">
        <v>4749</v>
      </c>
      <c r="J215" s="256" t="s">
        <v>5742</v>
      </c>
      <c r="K215" s="288" t="s">
        <v>5743</v>
      </c>
      <c r="L215" s="256"/>
      <c r="M215" s="288"/>
      <c r="N215" s="288" t="s">
        <v>25</v>
      </c>
      <c r="O215" s="258" t="s">
        <v>25</v>
      </c>
      <c r="P215" s="258" t="s">
        <v>25</v>
      </c>
      <c r="Q215" s="258" t="s">
        <v>25</v>
      </c>
      <c r="R215" s="258" t="s">
        <v>25</v>
      </c>
      <c r="S215" s="258" t="s">
        <v>25</v>
      </c>
      <c r="T215" s="258" t="s">
        <v>25</v>
      </c>
      <c r="U215" s="290">
        <v>0.9</v>
      </c>
      <c r="V215" s="290">
        <v>3.45</v>
      </c>
      <c r="W215" s="290">
        <v>2.5499999999999998</v>
      </c>
    </row>
    <row r="216" spans="1:23" ht="30" customHeight="1" x14ac:dyDescent="0.25">
      <c r="A216" s="229">
        <f t="shared" si="2"/>
        <v>83</v>
      </c>
      <c r="B216" s="256" t="s">
        <v>5744</v>
      </c>
      <c r="C216" s="257" t="s">
        <v>5745</v>
      </c>
      <c r="D216" s="256" t="s">
        <v>190</v>
      </c>
      <c r="E216" s="290">
        <v>1.7188000000000001</v>
      </c>
      <c r="F216" s="256" t="s">
        <v>177</v>
      </c>
      <c r="G216" s="256" t="s">
        <v>191</v>
      </c>
      <c r="H216" s="305">
        <v>0.12145800960000004</v>
      </c>
      <c r="I216" s="258" t="s">
        <v>4749</v>
      </c>
      <c r="J216" s="256" t="s">
        <v>5746</v>
      </c>
      <c r="K216" s="288" t="s">
        <v>5747</v>
      </c>
      <c r="L216" s="256"/>
      <c r="M216" s="288"/>
      <c r="N216" s="288" t="s">
        <v>25</v>
      </c>
      <c r="O216" s="258" t="s">
        <v>25</v>
      </c>
      <c r="P216" s="258" t="s">
        <v>25</v>
      </c>
      <c r="Q216" s="258" t="s">
        <v>25</v>
      </c>
      <c r="R216" s="258" t="s">
        <v>25</v>
      </c>
      <c r="S216" s="258" t="s">
        <v>25</v>
      </c>
      <c r="T216" s="258" t="s">
        <v>25</v>
      </c>
      <c r="U216" s="290">
        <v>0.8</v>
      </c>
      <c r="V216" s="290">
        <v>1.7188000000000001</v>
      </c>
      <c r="W216" s="290">
        <v>0.91879999999999995</v>
      </c>
    </row>
    <row r="217" spans="1:23" ht="30" customHeight="1" x14ac:dyDescent="0.25">
      <c r="A217" s="229">
        <f t="shared" si="2"/>
        <v>84</v>
      </c>
      <c r="B217" s="256" t="s">
        <v>5748</v>
      </c>
      <c r="C217" s="257" t="s">
        <v>5749</v>
      </c>
      <c r="D217" s="256" t="s">
        <v>173</v>
      </c>
      <c r="E217" s="290">
        <v>2.024</v>
      </c>
      <c r="F217" s="256" t="s">
        <v>177</v>
      </c>
      <c r="G217" s="256" t="s">
        <v>5750</v>
      </c>
      <c r="H217" s="305">
        <v>0.26755660800000008</v>
      </c>
      <c r="I217" s="258" t="s">
        <v>4749</v>
      </c>
      <c r="J217" s="256" t="s">
        <v>5751</v>
      </c>
      <c r="K217" s="288">
        <v>45379</v>
      </c>
      <c r="L217" s="256" t="s">
        <v>5751</v>
      </c>
      <c r="M217" s="288">
        <v>45551</v>
      </c>
      <c r="N217" s="288" t="s">
        <v>25</v>
      </c>
      <c r="O217" s="258" t="s">
        <v>25</v>
      </c>
      <c r="P217" s="258" t="s">
        <v>25</v>
      </c>
      <c r="Q217" s="258" t="s">
        <v>25</v>
      </c>
      <c r="R217" s="258" t="s">
        <v>25</v>
      </c>
      <c r="S217" s="258" t="s">
        <v>25</v>
      </c>
      <c r="T217" s="258" t="s">
        <v>25</v>
      </c>
      <c r="U217" s="290">
        <v>0</v>
      </c>
      <c r="V217" s="290">
        <v>2.024</v>
      </c>
      <c r="W217" s="290">
        <v>2.024</v>
      </c>
    </row>
    <row r="218" spans="1:23" x14ac:dyDescent="0.25">
      <c r="B218" s="461"/>
      <c r="C218" s="461"/>
      <c r="D218" s="461"/>
      <c r="E218" s="461"/>
      <c r="F218" s="461"/>
      <c r="G218" s="461"/>
      <c r="H218" s="461"/>
      <c r="I218" s="461"/>
      <c r="J218" s="469"/>
      <c r="K218" s="465"/>
      <c r="L218" s="469"/>
      <c r="M218" s="465"/>
      <c r="N218" s="461"/>
      <c r="O218" s="461"/>
      <c r="P218" s="461"/>
      <c r="Q218" s="461"/>
      <c r="R218" s="462"/>
      <c r="S218" s="465"/>
      <c r="T218" s="461"/>
      <c r="U218" s="461"/>
      <c r="V218" s="461"/>
      <c r="W218" s="461"/>
    </row>
    <row r="219" spans="1:23" ht="49.5" customHeight="1" x14ac:dyDescent="0.25">
      <c r="A219" s="48">
        <v>1</v>
      </c>
      <c r="B219" s="129" t="s">
        <v>1299</v>
      </c>
      <c r="C219" s="129" t="s">
        <v>1300</v>
      </c>
      <c r="D219" s="129" t="s">
        <v>1301</v>
      </c>
      <c r="E219" s="151">
        <v>7</v>
      </c>
      <c r="F219" s="129" t="s">
        <v>1302</v>
      </c>
      <c r="G219" s="129" t="s">
        <v>1303</v>
      </c>
      <c r="H219" s="129" t="s">
        <v>1304</v>
      </c>
      <c r="I219" s="129" t="s">
        <v>272</v>
      </c>
      <c r="J219" s="135" t="s">
        <v>1305</v>
      </c>
      <c r="K219" s="130" t="s">
        <v>1306</v>
      </c>
      <c r="L219" s="453" t="s">
        <v>1305</v>
      </c>
      <c r="M219" s="130">
        <v>44776</v>
      </c>
      <c r="N219" s="130">
        <v>44866</v>
      </c>
      <c r="O219" s="129"/>
      <c r="P219" s="129"/>
      <c r="Q219" s="129"/>
      <c r="R219" s="454" t="s">
        <v>3687</v>
      </c>
      <c r="S219" s="130">
        <v>44935</v>
      </c>
      <c r="T219" s="135">
        <v>7</v>
      </c>
      <c r="U219" s="129"/>
      <c r="V219" s="129"/>
      <c r="W219" s="129"/>
    </row>
    <row r="220" spans="1:23" ht="22.5" customHeight="1" x14ac:dyDescent="0.25">
      <c r="A220" s="48">
        <v>2</v>
      </c>
      <c r="B220" s="129" t="s">
        <v>1387</v>
      </c>
      <c r="C220" s="129" t="s">
        <v>1388</v>
      </c>
      <c r="D220" s="129" t="s">
        <v>270</v>
      </c>
      <c r="E220" s="201">
        <v>2</v>
      </c>
      <c r="F220" s="129" t="s">
        <v>177</v>
      </c>
      <c r="G220" s="129" t="s">
        <v>275</v>
      </c>
      <c r="H220" s="129">
        <v>0.34560000000000002</v>
      </c>
      <c r="I220" s="129" t="s">
        <v>272</v>
      </c>
      <c r="J220" s="135" t="s">
        <v>1389</v>
      </c>
      <c r="K220" s="130">
        <v>44118</v>
      </c>
      <c r="L220" s="135" t="s">
        <v>1389</v>
      </c>
      <c r="M220" s="130">
        <v>44356</v>
      </c>
      <c r="N220" s="129"/>
      <c r="O220" s="129"/>
      <c r="P220" s="129"/>
      <c r="Q220" s="129"/>
      <c r="R220" s="454"/>
      <c r="S220" s="130"/>
      <c r="T220" s="129"/>
      <c r="U220" s="129">
        <v>0</v>
      </c>
      <c r="V220" s="129"/>
      <c r="W220" s="129"/>
    </row>
    <row r="221" spans="1:23" ht="22.5" customHeight="1" x14ac:dyDescent="0.25">
      <c r="A221" s="48">
        <v>3</v>
      </c>
      <c r="B221" s="129" t="s">
        <v>1390</v>
      </c>
      <c r="C221" s="129" t="s">
        <v>1391</v>
      </c>
      <c r="D221" s="129" t="s">
        <v>270</v>
      </c>
      <c r="E221" s="201">
        <v>8</v>
      </c>
      <c r="F221" s="129" t="s">
        <v>217</v>
      </c>
      <c r="G221" s="129" t="s">
        <v>1392</v>
      </c>
      <c r="H221" s="129">
        <v>1.056</v>
      </c>
      <c r="I221" s="129" t="s">
        <v>272</v>
      </c>
      <c r="J221" s="135" t="s">
        <v>1393</v>
      </c>
      <c r="K221" s="130">
        <v>44328</v>
      </c>
      <c r="L221" s="135" t="s">
        <v>1393</v>
      </c>
      <c r="M221" s="130">
        <v>44599</v>
      </c>
      <c r="N221" s="129"/>
      <c r="O221" s="129"/>
      <c r="P221" s="129"/>
      <c r="Q221" s="129"/>
      <c r="R221" s="454"/>
      <c r="S221" s="130"/>
      <c r="T221" s="129"/>
      <c r="U221" s="129">
        <v>3.6</v>
      </c>
      <c r="V221" s="129"/>
      <c r="W221" s="129"/>
    </row>
    <row r="222" spans="1:23" ht="22.5" customHeight="1" x14ac:dyDescent="0.25">
      <c r="A222" s="48">
        <v>4</v>
      </c>
      <c r="B222" s="129" t="s">
        <v>1394</v>
      </c>
      <c r="C222" s="129" t="s">
        <v>1395</v>
      </c>
      <c r="D222" s="129" t="s">
        <v>270</v>
      </c>
      <c r="E222" s="201">
        <v>1.1299999999999999</v>
      </c>
      <c r="F222" s="129" t="s">
        <v>177</v>
      </c>
      <c r="G222" s="129" t="s">
        <v>1396</v>
      </c>
      <c r="H222" s="129">
        <v>0.19526399999999999</v>
      </c>
      <c r="I222" s="129" t="s">
        <v>272</v>
      </c>
      <c r="J222" s="135" t="s">
        <v>1397</v>
      </c>
      <c r="K222" s="130">
        <v>44546</v>
      </c>
      <c r="L222" s="470" t="s">
        <v>1397</v>
      </c>
      <c r="M222" s="472">
        <v>44763</v>
      </c>
      <c r="N222" s="580">
        <v>45253</v>
      </c>
      <c r="O222" s="129"/>
      <c r="P222" s="129"/>
      <c r="Q222" s="129"/>
      <c r="R222" s="454"/>
      <c r="S222" s="130"/>
      <c r="T222" s="129"/>
      <c r="U222" s="129">
        <v>0</v>
      </c>
      <c r="V222" s="129"/>
      <c r="W222" s="129"/>
    </row>
    <row r="223" spans="1:23" ht="22.5" customHeight="1" x14ac:dyDescent="0.25">
      <c r="A223" s="48">
        <v>5</v>
      </c>
      <c r="B223" s="470" t="s">
        <v>1398</v>
      </c>
      <c r="C223" s="129" t="s">
        <v>1399</v>
      </c>
      <c r="D223" s="129" t="s">
        <v>270</v>
      </c>
      <c r="E223" s="201">
        <v>2.1800000000000002</v>
      </c>
      <c r="F223" s="129">
        <v>20</v>
      </c>
      <c r="G223" s="129" t="s">
        <v>1400</v>
      </c>
      <c r="H223" s="129">
        <v>0.37670400000000004</v>
      </c>
      <c r="I223" s="129" t="s">
        <v>272</v>
      </c>
      <c r="J223" s="135" t="s">
        <v>1401</v>
      </c>
      <c r="K223" s="130">
        <v>44664</v>
      </c>
      <c r="L223" s="470" t="s">
        <v>1401</v>
      </c>
      <c r="M223" s="472">
        <v>44818</v>
      </c>
      <c r="N223" s="493">
        <v>45219</v>
      </c>
      <c r="O223" s="129"/>
      <c r="P223" s="129"/>
      <c r="Q223" s="129"/>
      <c r="R223" s="454"/>
      <c r="S223" s="130"/>
      <c r="T223" s="129"/>
      <c r="U223" s="129">
        <v>0.55000000000000004</v>
      </c>
      <c r="V223" s="129"/>
      <c r="W223" s="129"/>
    </row>
    <row r="224" spans="1:23" ht="22.5" customHeight="1" x14ac:dyDescent="0.25">
      <c r="A224" s="48">
        <v>6</v>
      </c>
      <c r="B224" s="129" t="s">
        <v>1402</v>
      </c>
      <c r="C224" s="129" t="s">
        <v>1403</v>
      </c>
      <c r="D224" s="129" t="s">
        <v>270</v>
      </c>
      <c r="E224" s="201">
        <v>2.54</v>
      </c>
      <c r="F224" s="129" t="s">
        <v>177</v>
      </c>
      <c r="G224" s="129" t="s">
        <v>1396</v>
      </c>
      <c r="H224" s="129">
        <v>0.235872</v>
      </c>
      <c r="I224" s="129" t="s">
        <v>272</v>
      </c>
      <c r="J224" s="135" t="s">
        <v>1404</v>
      </c>
      <c r="K224" s="130">
        <v>43909</v>
      </c>
      <c r="L224" s="135" t="s">
        <v>1404</v>
      </c>
      <c r="M224" s="130">
        <v>44267</v>
      </c>
      <c r="N224" s="129"/>
      <c r="O224" s="129"/>
      <c r="P224" s="129"/>
      <c r="Q224" s="129"/>
      <c r="R224" s="454"/>
      <c r="S224" s="130"/>
      <c r="T224" s="129"/>
      <c r="U224" s="129">
        <v>1.175</v>
      </c>
      <c r="V224" s="129"/>
      <c r="W224" s="129"/>
    </row>
    <row r="225" spans="1:23" ht="22.5" customHeight="1" x14ac:dyDescent="0.25">
      <c r="A225" s="48">
        <v>7</v>
      </c>
      <c r="B225" s="129" t="s">
        <v>1405</v>
      </c>
      <c r="C225" s="129" t="s">
        <v>1406</v>
      </c>
      <c r="D225" s="129" t="s">
        <v>274</v>
      </c>
      <c r="E225" s="201">
        <v>1.367</v>
      </c>
      <c r="F225" s="129" t="s">
        <v>177</v>
      </c>
      <c r="G225" s="129" t="s">
        <v>1407</v>
      </c>
      <c r="H225" s="129">
        <v>4.8988799999999999E-2</v>
      </c>
      <c r="I225" s="129" t="s">
        <v>272</v>
      </c>
      <c r="J225" s="135" t="s">
        <v>1408</v>
      </c>
      <c r="K225" s="130">
        <v>44116</v>
      </c>
      <c r="L225" s="135" t="s">
        <v>1408</v>
      </c>
      <c r="M225" s="130">
        <v>44187</v>
      </c>
      <c r="N225" s="472">
        <v>45036</v>
      </c>
      <c r="O225" s="129"/>
      <c r="P225" s="129"/>
      <c r="Q225" s="129"/>
      <c r="R225" s="454"/>
      <c r="S225" s="130"/>
      <c r="T225" s="129"/>
      <c r="U225" s="129">
        <v>0.8</v>
      </c>
      <c r="V225" s="129"/>
      <c r="W225" s="129"/>
    </row>
    <row r="226" spans="1:23" ht="22.5" customHeight="1" x14ac:dyDescent="0.25">
      <c r="A226" s="48">
        <v>8</v>
      </c>
      <c r="B226" s="129" t="s">
        <v>1409</v>
      </c>
      <c r="C226" s="129" t="s">
        <v>1410</v>
      </c>
      <c r="D226" s="129" t="s">
        <v>274</v>
      </c>
      <c r="E226" s="201">
        <v>1.4867000000000001</v>
      </c>
      <c r="F226" s="129" t="s">
        <v>177</v>
      </c>
      <c r="G226" s="129" t="s">
        <v>1407</v>
      </c>
      <c r="H226" s="129">
        <v>0.12845088000000002</v>
      </c>
      <c r="I226" s="129" t="s">
        <v>272</v>
      </c>
      <c r="J226" s="135" t="s">
        <v>1411</v>
      </c>
      <c r="K226" s="130">
        <v>44159</v>
      </c>
      <c r="L226" s="135" t="s">
        <v>1411</v>
      </c>
      <c r="M226" s="130">
        <v>44519</v>
      </c>
      <c r="N226" s="472">
        <v>45140</v>
      </c>
      <c r="O226" s="129"/>
      <c r="P226" s="129"/>
      <c r="Q226" s="129"/>
      <c r="R226" s="454"/>
      <c r="S226" s="130"/>
      <c r="T226" s="129"/>
      <c r="U226" s="129">
        <v>0</v>
      </c>
      <c r="V226" s="129"/>
      <c r="W226" s="129"/>
    </row>
    <row r="227" spans="1:23" ht="22.5" customHeight="1" x14ac:dyDescent="0.25">
      <c r="A227" s="48">
        <v>9</v>
      </c>
      <c r="B227" s="129" t="s">
        <v>1412</v>
      </c>
      <c r="C227" s="129" t="s">
        <v>1413</v>
      </c>
      <c r="D227" s="129" t="s">
        <v>274</v>
      </c>
      <c r="E227" s="201">
        <v>4.3460000000000001</v>
      </c>
      <c r="F227" s="129">
        <v>20</v>
      </c>
      <c r="G227" s="129" t="s">
        <v>1414</v>
      </c>
      <c r="H227" s="129">
        <v>0.51674112000000005</v>
      </c>
      <c r="I227" s="129" t="s">
        <v>272</v>
      </c>
      <c r="J227" s="135" t="s">
        <v>1415</v>
      </c>
      <c r="K227" s="130">
        <v>44635</v>
      </c>
      <c r="L227" s="470" t="s">
        <v>1415</v>
      </c>
      <c r="M227" s="472">
        <v>44711</v>
      </c>
      <c r="N227" s="129"/>
      <c r="O227" s="129"/>
      <c r="P227" s="129"/>
      <c r="Q227" s="129"/>
      <c r="R227" s="454"/>
      <c r="S227" s="130"/>
      <c r="T227" s="129"/>
      <c r="U227" s="129">
        <v>1.3555999999999999</v>
      </c>
      <c r="V227" s="129"/>
      <c r="W227" s="129"/>
    </row>
    <row r="228" spans="1:23" ht="22.5" customHeight="1" x14ac:dyDescent="0.25">
      <c r="A228" s="48">
        <v>10</v>
      </c>
      <c r="B228" s="129" t="s">
        <v>1416</v>
      </c>
      <c r="C228" s="129" t="s">
        <v>1417</v>
      </c>
      <c r="D228" s="129" t="s">
        <v>274</v>
      </c>
      <c r="E228" s="201">
        <v>6.8</v>
      </c>
      <c r="F228" s="129" t="s">
        <v>177</v>
      </c>
      <c r="G228" s="129" t="s">
        <v>1418</v>
      </c>
      <c r="H228" s="129">
        <v>0.58752000000000004</v>
      </c>
      <c r="I228" s="129" t="s">
        <v>272</v>
      </c>
      <c r="J228" s="135" t="s">
        <v>1419</v>
      </c>
      <c r="K228" s="130">
        <v>44607</v>
      </c>
      <c r="L228" s="470"/>
      <c r="M228" s="472"/>
      <c r="N228" s="129"/>
      <c r="O228" s="129"/>
      <c r="P228" s="129" t="s">
        <v>1420</v>
      </c>
      <c r="Q228" s="129"/>
      <c r="R228" s="454"/>
      <c r="S228" s="130"/>
      <c r="T228" s="129"/>
      <c r="U228" s="129">
        <v>0</v>
      </c>
      <c r="V228" s="129"/>
      <c r="W228" s="129"/>
    </row>
    <row r="229" spans="1:23" ht="22.5" customHeight="1" x14ac:dyDescent="0.25">
      <c r="A229" s="48">
        <v>11</v>
      </c>
      <c r="B229" s="129" t="s">
        <v>1421</v>
      </c>
      <c r="C229" s="129" t="s">
        <v>1422</v>
      </c>
      <c r="D229" s="129" t="s">
        <v>274</v>
      </c>
      <c r="E229" s="201">
        <v>5.2</v>
      </c>
      <c r="F229" s="129" t="s">
        <v>177</v>
      </c>
      <c r="G229" s="129" t="s">
        <v>1423</v>
      </c>
      <c r="H229" s="129">
        <v>0.26732160000000005</v>
      </c>
      <c r="I229" s="129" t="s">
        <v>272</v>
      </c>
      <c r="J229" s="135" t="s">
        <v>1424</v>
      </c>
      <c r="K229" s="130">
        <v>44550</v>
      </c>
      <c r="L229" s="470" t="s">
        <v>1424</v>
      </c>
      <c r="M229" s="472">
        <v>44713</v>
      </c>
      <c r="N229" s="129"/>
      <c r="O229" s="129"/>
      <c r="P229" s="129"/>
      <c r="Q229" s="129"/>
      <c r="R229" s="454"/>
      <c r="S229" s="130"/>
      <c r="T229" s="129"/>
      <c r="U229" s="129">
        <v>0</v>
      </c>
      <c r="V229" s="129"/>
      <c r="W229" s="129"/>
    </row>
    <row r="230" spans="1:23" ht="22.5" customHeight="1" x14ac:dyDescent="0.25">
      <c r="A230" s="48">
        <v>12</v>
      </c>
      <c r="B230" s="129" t="s">
        <v>1428</v>
      </c>
      <c r="C230" s="129" t="s">
        <v>1429</v>
      </c>
      <c r="D230" s="129" t="s">
        <v>274</v>
      </c>
      <c r="E230" s="201">
        <v>1.216</v>
      </c>
      <c r="F230" s="129" t="s">
        <v>177</v>
      </c>
      <c r="G230" s="129" t="s">
        <v>1430</v>
      </c>
      <c r="H230" s="129">
        <v>0.1833408</v>
      </c>
      <c r="I230" s="129" t="s">
        <v>272</v>
      </c>
      <c r="J230" s="135" t="s">
        <v>1431</v>
      </c>
      <c r="K230" s="130">
        <v>44392</v>
      </c>
      <c r="L230" s="470" t="s">
        <v>1431</v>
      </c>
      <c r="M230" s="472">
        <v>44755</v>
      </c>
      <c r="N230" s="129"/>
      <c r="O230" s="129"/>
      <c r="P230" s="129"/>
      <c r="Q230" s="129"/>
      <c r="R230" s="454"/>
      <c r="S230" s="130"/>
      <c r="T230" s="129"/>
      <c r="U230" s="129">
        <v>0.155</v>
      </c>
      <c r="V230" s="129"/>
      <c r="W230" s="129"/>
    </row>
    <row r="231" spans="1:23" ht="22.5" customHeight="1" x14ac:dyDescent="0.25">
      <c r="A231" s="48">
        <v>13</v>
      </c>
      <c r="B231" s="129" t="s">
        <v>1432</v>
      </c>
      <c r="C231" s="129" t="s">
        <v>1433</v>
      </c>
      <c r="D231" s="129" t="s">
        <v>274</v>
      </c>
      <c r="E231" s="201">
        <v>2.931</v>
      </c>
      <c r="F231" s="129" t="s">
        <v>177</v>
      </c>
      <c r="G231" s="129" t="s">
        <v>1423</v>
      </c>
      <c r="H231" s="129">
        <v>0.50647680000000006</v>
      </c>
      <c r="I231" s="129" t="s">
        <v>272</v>
      </c>
      <c r="J231" s="135" t="s">
        <v>1434</v>
      </c>
      <c r="K231" s="130">
        <v>44564</v>
      </c>
      <c r="L231" s="470" t="s">
        <v>1434</v>
      </c>
      <c r="M231" s="472">
        <v>44916</v>
      </c>
      <c r="N231" s="129"/>
      <c r="O231" s="129"/>
      <c r="P231" s="129"/>
      <c r="Q231" s="129"/>
      <c r="R231" s="454"/>
      <c r="S231" s="130"/>
      <c r="T231" s="129"/>
      <c r="U231" s="129">
        <v>0</v>
      </c>
      <c r="V231" s="129"/>
      <c r="W231" s="129"/>
    </row>
    <row r="232" spans="1:23" ht="22.5" customHeight="1" x14ac:dyDescent="0.25">
      <c r="A232" s="48">
        <v>14</v>
      </c>
      <c r="B232" s="129" t="s">
        <v>1345</v>
      </c>
      <c r="C232" s="129" t="s">
        <v>278</v>
      </c>
      <c r="D232" s="129" t="s">
        <v>274</v>
      </c>
      <c r="E232" s="201">
        <v>2</v>
      </c>
      <c r="F232" s="129" t="s">
        <v>177</v>
      </c>
      <c r="G232" s="129" t="s">
        <v>1426</v>
      </c>
      <c r="H232" s="129">
        <v>0.34560000000000002</v>
      </c>
      <c r="I232" s="129" t="s">
        <v>272</v>
      </c>
      <c r="J232" s="135" t="s">
        <v>1435</v>
      </c>
      <c r="K232" s="130">
        <v>44356</v>
      </c>
      <c r="L232" s="135" t="s">
        <v>1435</v>
      </c>
      <c r="M232" s="130">
        <v>44441</v>
      </c>
      <c r="N232" s="129"/>
      <c r="O232" s="129"/>
      <c r="P232" s="129"/>
      <c r="Q232" s="129"/>
      <c r="R232" s="454"/>
      <c r="S232" s="130"/>
      <c r="T232" s="129"/>
      <c r="U232" s="129">
        <v>0</v>
      </c>
      <c r="V232" s="129"/>
      <c r="W232" s="129"/>
    </row>
    <row r="233" spans="1:23" ht="22.5" customHeight="1" x14ac:dyDescent="0.25">
      <c r="A233" s="48">
        <v>15</v>
      </c>
      <c r="B233" s="129" t="s">
        <v>1436</v>
      </c>
      <c r="C233" s="129" t="s">
        <v>1437</v>
      </c>
      <c r="D233" s="129" t="s">
        <v>274</v>
      </c>
      <c r="E233" s="201">
        <v>6.5</v>
      </c>
      <c r="F233" s="129" t="s">
        <v>177</v>
      </c>
      <c r="G233" s="129" t="s">
        <v>279</v>
      </c>
      <c r="H233" s="129">
        <v>0.56159999999999999</v>
      </c>
      <c r="I233" s="129" t="s">
        <v>272</v>
      </c>
      <c r="J233" s="135" t="s">
        <v>1438</v>
      </c>
      <c r="K233" s="130">
        <v>44467</v>
      </c>
      <c r="L233" s="135" t="s">
        <v>1438</v>
      </c>
      <c r="M233" s="130">
        <v>44515</v>
      </c>
      <c r="N233" s="129"/>
      <c r="O233" s="129"/>
      <c r="P233" s="129"/>
      <c r="Q233" s="129"/>
      <c r="R233" s="454"/>
      <c r="S233" s="130"/>
      <c r="T233" s="129"/>
      <c r="U233" s="129">
        <v>0</v>
      </c>
      <c r="V233" s="129"/>
      <c r="W233" s="129"/>
    </row>
    <row r="234" spans="1:23" ht="22.5" customHeight="1" x14ac:dyDescent="0.25">
      <c r="A234" s="48">
        <v>16</v>
      </c>
      <c r="B234" s="129" t="s">
        <v>1439</v>
      </c>
      <c r="C234" s="129" t="s">
        <v>1410</v>
      </c>
      <c r="D234" s="129" t="s">
        <v>274</v>
      </c>
      <c r="E234" s="201">
        <v>2.5499999999999998</v>
      </c>
      <c r="F234" s="129" t="s">
        <v>177</v>
      </c>
      <c r="G234" s="129" t="s">
        <v>1440</v>
      </c>
      <c r="H234" s="129">
        <v>0.44063999999999998</v>
      </c>
      <c r="I234" s="129" t="s">
        <v>272</v>
      </c>
      <c r="J234" s="135" t="s">
        <v>1441</v>
      </c>
      <c r="K234" s="130">
        <v>44386</v>
      </c>
      <c r="L234" s="135" t="s">
        <v>1441</v>
      </c>
      <c r="M234" s="130">
        <v>44455</v>
      </c>
      <c r="N234" s="472">
        <v>44984</v>
      </c>
      <c r="O234" s="129" t="s">
        <v>1442</v>
      </c>
      <c r="P234" s="129"/>
      <c r="Q234" s="129"/>
      <c r="R234" s="454"/>
      <c r="S234" s="130"/>
      <c r="T234" s="129"/>
      <c r="U234" s="129">
        <v>0</v>
      </c>
      <c r="V234" s="129"/>
      <c r="W234" s="129"/>
    </row>
    <row r="235" spans="1:23" ht="22.5" customHeight="1" x14ac:dyDescent="0.25">
      <c r="A235" s="48">
        <v>17</v>
      </c>
      <c r="B235" s="129" t="s">
        <v>1443</v>
      </c>
      <c r="C235" s="129" t="s">
        <v>1444</v>
      </c>
      <c r="D235" s="129" t="s">
        <v>274</v>
      </c>
      <c r="E235" s="201">
        <v>45</v>
      </c>
      <c r="F235" s="129" t="s">
        <v>177</v>
      </c>
      <c r="G235" s="129" t="s">
        <v>1445</v>
      </c>
      <c r="H235" s="129">
        <v>10.799999999999999</v>
      </c>
      <c r="I235" s="129" t="s">
        <v>272</v>
      </c>
      <c r="J235" s="135" t="s">
        <v>1446</v>
      </c>
      <c r="K235" s="130">
        <v>44502</v>
      </c>
      <c r="L235" s="470" t="s">
        <v>1446</v>
      </c>
      <c r="M235" s="472">
        <v>44727</v>
      </c>
      <c r="N235" s="129"/>
      <c r="O235" s="129"/>
      <c r="P235" s="129"/>
      <c r="Q235" s="129"/>
      <c r="R235" s="454"/>
      <c r="S235" s="130"/>
      <c r="T235" s="129"/>
      <c r="U235" s="129">
        <v>0</v>
      </c>
      <c r="V235" s="129"/>
      <c r="W235" s="129"/>
    </row>
    <row r="236" spans="1:23" ht="22.5" customHeight="1" x14ac:dyDescent="0.25">
      <c r="A236" s="48">
        <v>18</v>
      </c>
      <c r="B236" s="129" t="s">
        <v>1447</v>
      </c>
      <c r="C236" s="129" t="s">
        <v>1448</v>
      </c>
      <c r="D236" s="129" t="s">
        <v>274</v>
      </c>
      <c r="E236" s="201">
        <v>1.8</v>
      </c>
      <c r="F236" s="129" t="s">
        <v>177</v>
      </c>
      <c r="G236" s="129" t="s">
        <v>1423</v>
      </c>
      <c r="H236" s="129">
        <v>0.31104000000000004</v>
      </c>
      <c r="I236" s="129" t="s">
        <v>272</v>
      </c>
      <c r="J236" s="135" t="s">
        <v>1449</v>
      </c>
      <c r="K236" s="130">
        <v>44474</v>
      </c>
      <c r="L236" s="470" t="s">
        <v>1449</v>
      </c>
      <c r="M236" s="472">
        <v>44872</v>
      </c>
      <c r="N236" s="472">
        <v>45166</v>
      </c>
      <c r="O236" s="129"/>
      <c r="P236" s="129"/>
      <c r="Q236" s="129"/>
      <c r="R236" s="454"/>
      <c r="S236" s="130"/>
      <c r="T236" s="129"/>
      <c r="U236" s="129">
        <v>0.58799999999999997</v>
      </c>
      <c r="V236" s="129"/>
      <c r="W236" s="129"/>
    </row>
    <row r="237" spans="1:23" ht="22.5" customHeight="1" x14ac:dyDescent="0.25">
      <c r="A237" s="48">
        <v>19</v>
      </c>
      <c r="B237" s="129" t="s">
        <v>1450</v>
      </c>
      <c r="C237" s="129" t="s">
        <v>1451</v>
      </c>
      <c r="D237" s="129" t="s">
        <v>274</v>
      </c>
      <c r="E237" s="201">
        <v>2.3919999999999999</v>
      </c>
      <c r="F237" s="129" t="s">
        <v>177</v>
      </c>
      <c r="G237" s="129" t="s">
        <v>1407</v>
      </c>
      <c r="H237" s="129">
        <v>0.122967936</v>
      </c>
      <c r="I237" s="129" t="s">
        <v>272</v>
      </c>
      <c r="J237" s="135" t="s">
        <v>1452</v>
      </c>
      <c r="K237" s="130">
        <v>44662</v>
      </c>
      <c r="L237" s="470" t="s">
        <v>1452</v>
      </c>
      <c r="M237" s="472">
        <v>44761</v>
      </c>
      <c r="N237" s="472">
        <v>44987</v>
      </c>
      <c r="O237" s="129"/>
      <c r="P237" s="129"/>
      <c r="Q237" s="129"/>
      <c r="R237" s="454"/>
      <c r="S237" s="130"/>
      <c r="T237" s="129"/>
      <c r="U237" s="129">
        <v>0</v>
      </c>
      <c r="V237" s="129"/>
      <c r="W237" s="129"/>
    </row>
    <row r="238" spans="1:23" ht="22.5" customHeight="1" x14ac:dyDescent="0.25">
      <c r="A238" s="48">
        <v>20</v>
      </c>
      <c r="B238" s="129" t="s">
        <v>1453</v>
      </c>
      <c r="C238" s="129" t="s">
        <v>1454</v>
      </c>
      <c r="D238" s="129" t="s">
        <v>274</v>
      </c>
      <c r="E238" s="201">
        <v>2.7370000000000001</v>
      </c>
      <c r="F238" s="129" t="s">
        <v>177</v>
      </c>
      <c r="G238" s="129" t="s">
        <v>1414</v>
      </c>
      <c r="H238" s="129">
        <v>0.47295360000000003</v>
      </c>
      <c r="I238" s="129" t="s">
        <v>272</v>
      </c>
      <c r="J238" s="135" t="s">
        <v>1455</v>
      </c>
      <c r="K238" s="130">
        <v>44481</v>
      </c>
      <c r="L238" s="470" t="s">
        <v>1455</v>
      </c>
      <c r="M238" s="472">
        <v>44844</v>
      </c>
      <c r="N238" s="129"/>
      <c r="O238" s="129"/>
      <c r="P238" s="129"/>
      <c r="Q238" s="129"/>
      <c r="R238" s="454"/>
      <c r="S238" s="130"/>
      <c r="T238" s="129"/>
      <c r="U238" s="129">
        <v>0</v>
      </c>
      <c r="V238" s="129"/>
      <c r="W238" s="129"/>
    </row>
    <row r="239" spans="1:23" ht="22.5" customHeight="1" x14ac:dyDescent="0.25">
      <c r="A239" s="48">
        <v>21</v>
      </c>
      <c r="B239" s="129" t="s">
        <v>1456</v>
      </c>
      <c r="C239" s="129" t="s">
        <v>1457</v>
      </c>
      <c r="D239" s="129" t="s">
        <v>274</v>
      </c>
      <c r="E239" s="201">
        <v>4.109</v>
      </c>
      <c r="F239" s="129" t="s">
        <v>177</v>
      </c>
      <c r="G239" s="129" t="s">
        <v>1427</v>
      </c>
      <c r="H239" s="129">
        <v>0.70312320000000006</v>
      </c>
      <c r="I239" s="129" t="s">
        <v>272</v>
      </c>
      <c r="J239" s="135" t="s">
        <v>1458</v>
      </c>
      <c r="K239" s="130">
        <v>44519</v>
      </c>
      <c r="L239" s="135"/>
      <c r="M239" s="130"/>
      <c r="N239" s="129"/>
      <c r="O239" s="129"/>
      <c r="P239" s="129"/>
      <c r="Q239" s="129"/>
      <c r="R239" s="454"/>
      <c r="S239" s="130"/>
      <c r="T239" s="129"/>
      <c r="U239" s="129">
        <v>0</v>
      </c>
      <c r="V239" s="129"/>
      <c r="W239" s="129"/>
    </row>
    <row r="240" spans="1:23" ht="22.5" customHeight="1" x14ac:dyDescent="0.25">
      <c r="A240" s="48">
        <v>22</v>
      </c>
      <c r="B240" s="129" t="s">
        <v>1459</v>
      </c>
      <c r="C240" s="129" t="s">
        <v>1460</v>
      </c>
      <c r="D240" s="129" t="s">
        <v>274</v>
      </c>
      <c r="E240" s="201">
        <v>3.5</v>
      </c>
      <c r="F240" s="129" t="s">
        <v>177</v>
      </c>
      <c r="G240" s="129" t="s">
        <v>1427</v>
      </c>
      <c r="H240" s="129">
        <v>0.6048</v>
      </c>
      <c r="I240" s="129" t="s">
        <v>272</v>
      </c>
      <c r="J240" s="135" t="s">
        <v>1461</v>
      </c>
      <c r="K240" s="130">
        <v>44600</v>
      </c>
      <c r="L240" s="135"/>
      <c r="M240" s="130"/>
      <c r="N240" s="129"/>
      <c r="O240" s="129"/>
      <c r="P240" s="129"/>
      <c r="Q240" s="129"/>
      <c r="R240" s="454"/>
      <c r="S240" s="130"/>
      <c r="T240" s="129"/>
      <c r="U240" s="129">
        <v>0</v>
      </c>
      <c r="V240" s="129"/>
      <c r="W240" s="129"/>
    </row>
    <row r="241" spans="1:23" ht="22.5" customHeight="1" x14ac:dyDescent="0.25">
      <c r="A241" s="48">
        <v>23</v>
      </c>
      <c r="B241" s="129" t="s">
        <v>1462</v>
      </c>
      <c r="C241" s="129" t="s">
        <v>1463</v>
      </c>
      <c r="D241" s="129" t="s">
        <v>274</v>
      </c>
      <c r="E241" s="201">
        <v>5.8</v>
      </c>
      <c r="F241" s="129" t="s">
        <v>177</v>
      </c>
      <c r="G241" s="129" t="s">
        <v>1464</v>
      </c>
      <c r="H241" s="129">
        <v>0.90720000000000001</v>
      </c>
      <c r="I241" s="129" t="s">
        <v>272</v>
      </c>
      <c r="J241" s="135" t="s">
        <v>1465</v>
      </c>
      <c r="K241" s="130">
        <v>44763</v>
      </c>
      <c r="L241" s="470" t="s">
        <v>1465</v>
      </c>
      <c r="M241" s="472">
        <v>45083</v>
      </c>
      <c r="N241" s="129"/>
      <c r="O241" s="129"/>
      <c r="P241" s="129"/>
      <c r="Q241" s="129"/>
      <c r="R241" s="454"/>
      <c r="S241" s="130"/>
      <c r="T241" s="129"/>
      <c r="U241" s="129">
        <v>0</v>
      </c>
      <c r="V241" s="129"/>
      <c r="W241" s="129"/>
    </row>
    <row r="242" spans="1:23" ht="22.5" customHeight="1" x14ac:dyDescent="0.25">
      <c r="A242" s="48">
        <v>24</v>
      </c>
      <c r="B242" s="129" t="s">
        <v>1466</v>
      </c>
      <c r="C242" s="129" t="s">
        <v>1467</v>
      </c>
      <c r="D242" s="129" t="s">
        <v>274</v>
      </c>
      <c r="E242" s="201">
        <v>4.7839999999999998</v>
      </c>
      <c r="F242" s="129" t="s">
        <v>177</v>
      </c>
      <c r="G242" s="129" t="s">
        <v>1468</v>
      </c>
      <c r="H242" s="129">
        <v>0.82667520000000005</v>
      </c>
      <c r="I242" s="129" t="s">
        <v>272</v>
      </c>
      <c r="J242" s="135" t="s">
        <v>1469</v>
      </c>
      <c r="K242" s="130">
        <v>44684</v>
      </c>
      <c r="L242" s="135"/>
      <c r="M242" s="130"/>
      <c r="N242" s="129"/>
      <c r="O242" s="129"/>
      <c r="P242" s="129" t="s">
        <v>1470</v>
      </c>
      <c r="Q242" s="129"/>
      <c r="R242" s="454"/>
      <c r="S242" s="130"/>
      <c r="T242" s="129"/>
      <c r="U242" s="129">
        <v>0</v>
      </c>
      <c r="V242" s="129"/>
      <c r="W242" s="129"/>
    </row>
    <row r="243" spans="1:23" ht="22.5" customHeight="1" x14ac:dyDescent="0.25">
      <c r="A243" s="48">
        <v>25</v>
      </c>
      <c r="B243" s="129" t="s">
        <v>1471</v>
      </c>
      <c r="C243" s="129" t="s">
        <v>1216</v>
      </c>
      <c r="D243" s="129" t="s">
        <v>274</v>
      </c>
      <c r="E243" s="201">
        <v>3.7608699999999997</v>
      </c>
      <c r="F243" s="129">
        <v>20</v>
      </c>
      <c r="G243" s="129" t="s">
        <v>1472</v>
      </c>
      <c r="H243" s="129">
        <v>8.6400000000000005E-2</v>
      </c>
      <c r="I243" s="129" t="s">
        <v>272</v>
      </c>
      <c r="J243" s="135" t="s">
        <v>1473</v>
      </c>
      <c r="K243" s="130">
        <v>44685</v>
      </c>
      <c r="L243" s="470" t="s">
        <v>1473</v>
      </c>
      <c r="M243" s="472">
        <v>45051</v>
      </c>
      <c r="N243" s="129"/>
      <c r="O243" s="129"/>
      <c r="P243" s="129"/>
      <c r="Q243" s="129"/>
      <c r="R243" s="454"/>
      <c r="S243" s="130"/>
      <c r="T243" s="129"/>
      <c r="U243" s="129">
        <v>0</v>
      </c>
      <c r="V243" s="129"/>
      <c r="W243" s="129"/>
    </row>
    <row r="244" spans="1:23" ht="22.5" customHeight="1" x14ac:dyDescent="0.25">
      <c r="A244" s="48">
        <v>26</v>
      </c>
      <c r="B244" s="129" t="s">
        <v>1474</v>
      </c>
      <c r="C244" s="129" t="s">
        <v>1475</v>
      </c>
      <c r="D244" s="129" t="s">
        <v>274</v>
      </c>
      <c r="E244" s="201">
        <v>1.3740000000000001</v>
      </c>
      <c r="F244" s="129" t="s">
        <v>183</v>
      </c>
      <c r="G244" s="129" t="s">
        <v>1476</v>
      </c>
      <c r="H244" s="129">
        <v>0.13979520000000004</v>
      </c>
      <c r="I244" s="129" t="s">
        <v>272</v>
      </c>
      <c r="J244" s="135" t="s">
        <v>1477</v>
      </c>
      <c r="K244" s="130">
        <v>44714</v>
      </c>
      <c r="L244" s="470">
        <v>10012527</v>
      </c>
      <c r="M244" s="472">
        <v>45097</v>
      </c>
      <c r="N244" s="580">
        <v>45273</v>
      </c>
      <c r="O244" s="129"/>
      <c r="P244" s="129"/>
      <c r="Q244" s="129"/>
      <c r="R244" s="454"/>
      <c r="S244" s="130"/>
      <c r="T244" s="129"/>
      <c r="U244" s="129"/>
      <c r="V244" s="129"/>
      <c r="W244" s="129"/>
    </row>
    <row r="245" spans="1:23" ht="22.5" customHeight="1" x14ac:dyDescent="0.25">
      <c r="A245" s="48">
        <v>27</v>
      </c>
      <c r="B245" s="129" t="s">
        <v>1478</v>
      </c>
      <c r="C245" s="129" t="s">
        <v>1479</v>
      </c>
      <c r="D245" s="129" t="s">
        <v>274</v>
      </c>
      <c r="E245" s="201">
        <v>5.92</v>
      </c>
      <c r="F245" s="129" t="s">
        <v>177</v>
      </c>
      <c r="G245" s="129" t="s">
        <v>1480</v>
      </c>
      <c r="H245" s="129">
        <v>1.0229760000000001</v>
      </c>
      <c r="I245" s="129" t="s">
        <v>272</v>
      </c>
      <c r="J245" s="135" t="s">
        <v>1481</v>
      </c>
      <c r="K245" s="130">
        <v>44722</v>
      </c>
      <c r="L245" s="470" t="s">
        <v>1481</v>
      </c>
      <c r="M245" s="472">
        <v>44764</v>
      </c>
      <c r="N245" s="580">
        <v>45238</v>
      </c>
      <c r="O245" s="129" t="s">
        <v>1482</v>
      </c>
      <c r="P245" s="129" t="s">
        <v>1483</v>
      </c>
      <c r="Q245" s="129"/>
      <c r="R245" s="454"/>
      <c r="S245" s="130"/>
      <c r="T245" s="129"/>
      <c r="U245" s="129"/>
      <c r="V245" s="129"/>
      <c r="W245" s="129"/>
    </row>
    <row r="246" spans="1:23" ht="22.5" customHeight="1" x14ac:dyDescent="0.25">
      <c r="A246" s="48">
        <v>28</v>
      </c>
      <c r="B246" s="129" t="s">
        <v>1484</v>
      </c>
      <c r="C246" s="129" t="s">
        <v>1485</v>
      </c>
      <c r="D246" s="129" t="s">
        <v>274</v>
      </c>
      <c r="E246" s="201">
        <v>1.472</v>
      </c>
      <c r="F246" s="129" t="s">
        <v>177</v>
      </c>
      <c r="G246" s="129" t="s">
        <v>1486</v>
      </c>
      <c r="H246" s="129">
        <v>0.25436160000000002</v>
      </c>
      <c r="I246" s="129" t="s">
        <v>272</v>
      </c>
      <c r="J246" s="135" t="s">
        <v>1487</v>
      </c>
      <c r="K246" s="130">
        <v>44776</v>
      </c>
      <c r="L246" s="135"/>
      <c r="M246" s="130"/>
      <c r="N246" s="129"/>
      <c r="O246" s="129"/>
      <c r="P246" s="129"/>
      <c r="Q246" s="129"/>
      <c r="R246" s="454"/>
      <c r="S246" s="130"/>
      <c r="T246" s="129"/>
      <c r="U246" s="129">
        <v>0</v>
      </c>
      <c r="V246" s="129"/>
      <c r="W246" s="129"/>
    </row>
    <row r="247" spans="1:23" ht="22.5" customHeight="1" x14ac:dyDescent="0.25">
      <c r="A247" s="48">
        <v>29</v>
      </c>
      <c r="B247" s="129" t="s">
        <v>1488</v>
      </c>
      <c r="C247" s="129" t="s">
        <v>1489</v>
      </c>
      <c r="D247" s="129" t="s">
        <v>274</v>
      </c>
      <c r="E247" s="201">
        <v>1.3680000000000001</v>
      </c>
      <c r="F247" s="129" t="s">
        <v>177</v>
      </c>
      <c r="G247" s="129" t="s">
        <v>1490</v>
      </c>
      <c r="H247" s="129">
        <v>0.23639040000000003</v>
      </c>
      <c r="I247" s="129" t="s">
        <v>272</v>
      </c>
      <c r="J247" s="135" t="s">
        <v>1491</v>
      </c>
      <c r="K247" s="130">
        <v>43634</v>
      </c>
      <c r="L247" s="135" t="s">
        <v>1491</v>
      </c>
      <c r="M247" s="130">
        <v>43977</v>
      </c>
      <c r="N247" s="129"/>
      <c r="O247" s="129"/>
      <c r="P247" s="129"/>
      <c r="Q247" s="129"/>
      <c r="R247" s="454"/>
      <c r="S247" s="130"/>
      <c r="T247" s="129"/>
      <c r="U247" s="129">
        <v>0</v>
      </c>
      <c r="V247" s="129"/>
      <c r="W247" s="129"/>
    </row>
    <row r="248" spans="1:23" ht="22.5" customHeight="1" x14ac:dyDescent="0.25">
      <c r="A248" s="48">
        <v>30</v>
      </c>
      <c r="B248" s="129" t="s">
        <v>1493</v>
      </c>
      <c r="C248" s="129" t="s">
        <v>1494</v>
      </c>
      <c r="D248" s="129" t="s">
        <v>274</v>
      </c>
      <c r="E248" s="201">
        <v>1.8</v>
      </c>
      <c r="F248" s="129" t="s">
        <v>177</v>
      </c>
      <c r="G248" s="129" t="s">
        <v>1468</v>
      </c>
      <c r="H248" s="129">
        <v>0.34560000000000007</v>
      </c>
      <c r="I248" s="129" t="s">
        <v>272</v>
      </c>
      <c r="J248" s="135" t="s">
        <v>1495</v>
      </c>
      <c r="K248" s="130">
        <v>44020</v>
      </c>
      <c r="L248" s="135" t="s">
        <v>1495</v>
      </c>
      <c r="M248" s="130">
        <v>44385</v>
      </c>
      <c r="N248" s="129"/>
      <c r="O248" s="129"/>
      <c r="P248" s="129"/>
      <c r="Q248" s="129"/>
      <c r="R248" s="454"/>
      <c r="S248" s="130"/>
      <c r="T248" s="129"/>
      <c r="U248" s="129">
        <v>0</v>
      </c>
      <c r="V248" s="129"/>
      <c r="W248" s="129"/>
    </row>
    <row r="249" spans="1:23" ht="22.5" customHeight="1" x14ac:dyDescent="0.25">
      <c r="A249" s="48">
        <v>31</v>
      </c>
      <c r="B249" s="129" t="s">
        <v>1425</v>
      </c>
      <c r="C249" s="129" t="s">
        <v>1496</v>
      </c>
      <c r="D249" s="129" t="s">
        <v>274</v>
      </c>
      <c r="E249" s="201">
        <v>1.55</v>
      </c>
      <c r="F249" s="129" t="s">
        <v>177</v>
      </c>
      <c r="G249" s="129" t="s">
        <v>1497</v>
      </c>
      <c r="H249" s="129">
        <v>0.26784000000000002</v>
      </c>
      <c r="I249" s="129" t="s">
        <v>272</v>
      </c>
      <c r="J249" s="135" t="s">
        <v>1498</v>
      </c>
      <c r="K249" s="130">
        <v>43690</v>
      </c>
      <c r="L249" s="135" t="s">
        <v>1498</v>
      </c>
      <c r="M249" s="130">
        <v>43798</v>
      </c>
      <c r="N249" s="129"/>
      <c r="O249" s="129"/>
      <c r="P249" s="129"/>
      <c r="Q249" s="129"/>
      <c r="R249" s="454"/>
      <c r="S249" s="130"/>
      <c r="T249" s="129"/>
      <c r="U249" s="129">
        <v>0</v>
      </c>
      <c r="V249" s="129"/>
      <c r="W249" s="129"/>
    </row>
    <row r="250" spans="1:23" ht="22.5" customHeight="1" x14ac:dyDescent="0.25">
      <c r="A250" s="48">
        <v>32</v>
      </c>
      <c r="B250" s="129" t="s">
        <v>1499</v>
      </c>
      <c r="C250" s="129" t="s">
        <v>1500</v>
      </c>
      <c r="D250" s="129" t="s">
        <v>274</v>
      </c>
      <c r="E250" s="201">
        <v>1.2</v>
      </c>
      <c r="F250" s="129" t="s">
        <v>177</v>
      </c>
      <c r="G250" s="129" t="s">
        <v>1476</v>
      </c>
      <c r="H250" s="129">
        <v>0.20736000000000002</v>
      </c>
      <c r="I250" s="129" t="s">
        <v>272</v>
      </c>
      <c r="J250" s="135" t="s">
        <v>1501</v>
      </c>
      <c r="K250" s="130">
        <v>43916</v>
      </c>
      <c r="L250" s="135"/>
      <c r="M250" s="130"/>
      <c r="N250" s="129"/>
      <c r="O250" s="129"/>
      <c r="P250" s="129"/>
      <c r="Q250" s="129"/>
      <c r="R250" s="454"/>
      <c r="S250" s="130"/>
      <c r="T250" s="129"/>
      <c r="U250" s="129">
        <v>0</v>
      </c>
      <c r="V250" s="129"/>
      <c r="W250" s="129"/>
    </row>
    <row r="251" spans="1:23" ht="22.5" customHeight="1" x14ac:dyDescent="0.25">
      <c r="A251" s="48">
        <v>33</v>
      </c>
      <c r="B251" s="129" t="s">
        <v>1502</v>
      </c>
      <c r="C251" s="129" t="s">
        <v>1503</v>
      </c>
      <c r="D251" s="129" t="s">
        <v>274</v>
      </c>
      <c r="E251" s="201">
        <v>3</v>
      </c>
      <c r="F251" s="129" t="s">
        <v>177</v>
      </c>
      <c r="G251" s="129" t="s">
        <v>1423</v>
      </c>
      <c r="H251" s="129">
        <v>0.50544</v>
      </c>
      <c r="I251" s="129" t="s">
        <v>272</v>
      </c>
      <c r="J251" s="135" t="s">
        <v>1504</v>
      </c>
      <c r="K251" s="130">
        <v>44231</v>
      </c>
      <c r="L251" s="135" t="s">
        <v>1504</v>
      </c>
      <c r="M251" s="130">
        <v>44494</v>
      </c>
      <c r="N251" s="129"/>
      <c r="O251" s="129"/>
      <c r="P251" s="129"/>
      <c r="Q251" s="129"/>
      <c r="R251" s="454"/>
      <c r="S251" s="130"/>
      <c r="T251" s="129"/>
      <c r="U251" s="129">
        <v>7.4999999999999997E-2</v>
      </c>
      <c r="V251" s="129"/>
      <c r="W251" s="129"/>
    </row>
    <row r="252" spans="1:23" ht="22.5" customHeight="1" x14ac:dyDescent="0.25">
      <c r="A252" s="48">
        <v>34</v>
      </c>
      <c r="B252" s="129" t="s">
        <v>1505</v>
      </c>
      <c r="C252" s="129" t="s">
        <v>1506</v>
      </c>
      <c r="D252" s="129" t="s">
        <v>274</v>
      </c>
      <c r="E252" s="201">
        <v>1.2</v>
      </c>
      <c r="F252" s="129" t="s">
        <v>183</v>
      </c>
      <c r="G252" s="129" t="s">
        <v>1492</v>
      </c>
      <c r="H252" s="129">
        <v>0.20736000000000002</v>
      </c>
      <c r="I252" s="129" t="s">
        <v>272</v>
      </c>
      <c r="J252" s="135" t="s">
        <v>1507</v>
      </c>
      <c r="K252" s="130">
        <v>44405</v>
      </c>
      <c r="L252" s="135" t="s">
        <v>1507</v>
      </c>
      <c r="M252" s="130">
        <v>44483</v>
      </c>
      <c r="N252" s="472">
        <v>44964</v>
      </c>
      <c r="O252" s="129"/>
      <c r="P252" s="129"/>
      <c r="Q252" s="129"/>
      <c r="R252" s="454"/>
      <c r="S252" s="130"/>
      <c r="T252" s="129"/>
      <c r="U252" s="129">
        <v>0</v>
      </c>
      <c r="V252" s="129"/>
      <c r="W252" s="129"/>
    </row>
    <row r="253" spans="1:23" ht="22.5" customHeight="1" x14ac:dyDescent="0.25">
      <c r="A253" s="48">
        <v>35</v>
      </c>
      <c r="B253" s="129" t="s">
        <v>1508</v>
      </c>
      <c r="C253" s="129" t="s">
        <v>1509</v>
      </c>
      <c r="D253" s="129" t="s">
        <v>274</v>
      </c>
      <c r="E253" s="201">
        <v>4.8</v>
      </c>
      <c r="F253" s="129" t="s">
        <v>177</v>
      </c>
      <c r="G253" s="129" t="s">
        <v>1427</v>
      </c>
      <c r="H253" s="129">
        <v>0.32961600000000002</v>
      </c>
      <c r="I253" s="129" t="s">
        <v>272</v>
      </c>
      <c r="J253" s="135" t="s">
        <v>1510</v>
      </c>
      <c r="K253" s="130">
        <v>44398</v>
      </c>
      <c r="L253" s="470" t="s">
        <v>1681</v>
      </c>
      <c r="M253" s="472">
        <v>44666</v>
      </c>
      <c r="N253" s="129"/>
      <c r="O253" s="129"/>
      <c r="P253" s="129"/>
      <c r="Q253" s="129"/>
      <c r="R253" s="454"/>
      <c r="S253" s="130"/>
      <c r="T253" s="129"/>
      <c r="U253" s="129">
        <v>0.98499999999999999</v>
      </c>
      <c r="V253" s="129"/>
      <c r="W253" s="129"/>
    </row>
    <row r="254" spans="1:23" ht="22.5" customHeight="1" x14ac:dyDescent="0.25">
      <c r="A254" s="48">
        <v>36</v>
      </c>
      <c r="B254" s="129" t="s">
        <v>1511</v>
      </c>
      <c r="C254" s="129" t="s">
        <v>1512</v>
      </c>
      <c r="D254" s="129" t="s">
        <v>274</v>
      </c>
      <c r="E254" s="201">
        <v>5.4</v>
      </c>
      <c r="F254" s="129" t="s">
        <v>177</v>
      </c>
      <c r="G254" s="129" t="s">
        <v>1492</v>
      </c>
      <c r="H254" s="129">
        <v>0.93312000000000006</v>
      </c>
      <c r="I254" s="129" t="s">
        <v>272</v>
      </c>
      <c r="J254" s="135" t="s">
        <v>1513</v>
      </c>
      <c r="K254" s="130">
        <v>44126</v>
      </c>
      <c r="L254" s="135" t="s">
        <v>1513</v>
      </c>
      <c r="M254" s="130">
        <v>44294</v>
      </c>
      <c r="N254" s="129"/>
      <c r="O254" s="129"/>
      <c r="P254" s="129"/>
      <c r="Q254" s="129"/>
      <c r="R254" s="454"/>
      <c r="S254" s="130"/>
      <c r="T254" s="129"/>
      <c r="U254" s="129">
        <v>0</v>
      </c>
      <c r="V254" s="129"/>
      <c r="W254" s="129"/>
    </row>
    <row r="255" spans="1:23" ht="22.5" customHeight="1" x14ac:dyDescent="0.25">
      <c r="A255" s="48">
        <v>37</v>
      </c>
      <c r="B255" s="129" t="s">
        <v>1514</v>
      </c>
      <c r="C255" s="129" t="s">
        <v>1515</v>
      </c>
      <c r="D255" s="129" t="s">
        <v>274</v>
      </c>
      <c r="E255" s="201">
        <v>16.399999999999999</v>
      </c>
      <c r="F255" s="129">
        <v>110</v>
      </c>
      <c r="G255" s="129" t="s">
        <v>1516</v>
      </c>
      <c r="H255" s="129">
        <v>2.7436799999999995</v>
      </c>
      <c r="I255" s="129" t="s">
        <v>272</v>
      </c>
      <c r="J255" s="135" t="s">
        <v>1517</v>
      </c>
      <c r="K255" s="130">
        <v>43679</v>
      </c>
      <c r="L255" s="135" t="s">
        <v>1517</v>
      </c>
      <c r="M255" s="130">
        <v>44027</v>
      </c>
      <c r="N255" s="129"/>
      <c r="O255" s="129" t="s">
        <v>1518</v>
      </c>
      <c r="P255" s="129"/>
      <c r="Q255" s="129"/>
      <c r="R255" s="454"/>
      <c r="S255" s="130"/>
      <c r="T255" s="129"/>
      <c r="U255" s="129">
        <v>4.968</v>
      </c>
      <c r="V255" s="129"/>
      <c r="W255" s="129"/>
    </row>
    <row r="256" spans="1:23" ht="22.5" customHeight="1" x14ac:dyDescent="0.25">
      <c r="A256" s="48">
        <v>38</v>
      </c>
      <c r="B256" s="129" t="s">
        <v>1508</v>
      </c>
      <c r="C256" s="129" t="s">
        <v>1509</v>
      </c>
      <c r="D256" s="129" t="s">
        <v>274</v>
      </c>
      <c r="E256" s="201">
        <v>1.5</v>
      </c>
      <c r="F256" s="129" t="s">
        <v>177</v>
      </c>
      <c r="G256" s="129" t="s">
        <v>1427</v>
      </c>
      <c r="H256" s="129">
        <v>6.9119999999999987E-2</v>
      </c>
      <c r="I256" s="129" t="s">
        <v>272</v>
      </c>
      <c r="J256" s="454">
        <v>9426988</v>
      </c>
      <c r="K256" s="130">
        <v>44622</v>
      </c>
      <c r="L256" s="470" t="s">
        <v>3688</v>
      </c>
      <c r="M256" s="472">
        <v>44683</v>
      </c>
      <c r="N256" s="129"/>
      <c r="O256" s="129" t="s">
        <v>1519</v>
      </c>
      <c r="P256" s="129"/>
      <c r="Q256" s="129"/>
      <c r="R256" s="454"/>
      <c r="S256" s="130"/>
      <c r="T256" s="129"/>
      <c r="U256" s="129">
        <v>1.1000000000000001</v>
      </c>
      <c r="V256" s="129"/>
      <c r="W256" s="129"/>
    </row>
    <row r="257" spans="1:23" ht="22.5" customHeight="1" x14ac:dyDescent="0.25">
      <c r="A257" s="48">
        <v>39</v>
      </c>
      <c r="B257" s="129" t="s">
        <v>1520</v>
      </c>
      <c r="C257" s="129" t="s">
        <v>1521</v>
      </c>
      <c r="D257" s="129" t="s">
        <v>274</v>
      </c>
      <c r="E257" s="201">
        <v>1.0979000000000001</v>
      </c>
      <c r="F257" s="129" t="s">
        <v>177</v>
      </c>
      <c r="G257" s="129" t="s">
        <v>1426</v>
      </c>
      <c r="H257" s="129">
        <v>5.6440843200000007E-2</v>
      </c>
      <c r="I257" s="129" t="s">
        <v>272</v>
      </c>
      <c r="J257" s="135"/>
      <c r="K257" s="130"/>
      <c r="L257" s="135" t="s">
        <v>1522</v>
      </c>
      <c r="M257" s="130">
        <v>44463</v>
      </c>
      <c r="N257" s="129"/>
      <c r="O257" s="129"/>
      <c r="P257" s="129"/>
      <c r="Q257" s="129"/>
      <c r="R257" s="454"/>
      <c r="S257" s="130"/>
      <c r="T257" s="129"/>
      <c r="U257" s="129">
        <v>0</v>
      </c>
      <c r="V257" s="129"/>
      <c r="W257" s="129"/>
    </row>
    <row r="258" spans="1:23" ht="22.5" customHeight="1" x14ac:dyDescent="0.25">
      <c r="A258" s="48">
        <v>40</v>
      </c>
      <c r="B258" s="129" t="s">
        <v>1523</v>
      </c>
      <c r="C258" s="129" t="s">
        <v>1524</v>
      </c>
      <c r="D258" s="129" t="s">
        <v>274</v>
      </c>
      <c r="E258" s="201">
        <v>3.0329999999999999</v>
      </c>
      <c r="F258" s="129" t="s">
        <v>183</v>
      </c>
      <c r="G258" s="129" t="s">
        <v>1414</v>
      </c>
      <c r="H258" s="129">
        <v>0.52410239999999997</v>
      </c>
      <c r="I258" s="129" t="s">
        <v>272</v>
      </c>
      <c r="J258" s="135"/>
      <c r="K258" s="130"/>
      <c r="L258" s="135" t="s">
        <v>1525</v>
      </c>
      <c r="M258" s="130">
        <v>43409</v>
      </c>
      <c r="N258" s="129"/>
      <c r="O258" s="129"/>
      <c r="P258" s="129"/>
      <c r="Q258" s="129"/>
      <c r="R258" s="454"/>
      <c r="S258" s="130"/>
      <c r="T258" s="129"/>
      <c r="U258" s="129">
        <v>0</v>
      </c>
      <c r="V258" s="129"/>
      <c r="W258" s="129"/>
    </row>
    <row r="259" spans="1:23" ht="22.5" customHeight="1" x14ac:dyDescent="0.25">
      <c r="A259" s="48">
        <v>41</v>
      </c>
      <c r="B259" s="470" t="s">
        <v>1528</v>
      </c>
      <c r="C259" s="129" t="s">
        <v>1529</v>
      </c>
      <c r="D259" s="129" t="s">
        <v>274</v>
      </c>
      <c r="E259" s="201">
        <v>3.8949000000000003</v>
      </c>
      <c r="F259" s="129" t="s">
        <v>177</v>
      </c>
      <c r="G259" s="129" t="s">
        <v>1530</v>
      </c>
      <c r="H259" s="129">
        <v>0.20022901920000002</v>
      </c>
      <c r="I259" s="129" t="s">
        <v>272</v>
      </c>
      <c r="J259" s="135"/>
      <c r="K259" s="130"/>
      <c r="L259" s="135" t="s">
        <v>1531</v>
      </c>
      <c r="M259" s="130">
        <v>43927</v>
      </c>
      <c r="N259" s="493">
        <v>45203</v>
      </c>
      <c r="O259" s="129"/>
      <c r="P259" s="129"/>
      <c r="Q259" s="129"/>
      <c r="R259" s="454"/>
      <c r="S259" s="130"/>
      <c r="T259" s="129"/>
      <c r="U259" s="129">
        <v>0</v>
      </c>
      <c r="V259" s="129"/>
      <c r="W259" s="129"/>
    </row>
    <row r="260" spans="1:23" ht="22.5" customHeight="1" x14ac:dyDescent="0.25">
      <c r="A260" s="48">
        <v>42</v>
      </c>
      <c r="B260" s="129" t="s">
        <v>1532</v>
      </c>
      <c r="C260" s="129" t="s">
        <v>1529</v>
      </c>
      <c r="D260" s="129" t="s">
        <v>274</v>
      </c>
      <c r="E260" s="201">
        <v>3.5539999999999998</v>
      </c>
      <c r="F260" s="129" t="s">
        <v>177</v>
      </c>
      <c r="G260" s="129" t="s">
        <v>1430</v>
      </c>
      <c r="H260" s="129">
        <v>0.18270403199999999</v>
      </c>
      <c r="I260" s="129" t="s">
        <v>272</v>
      </c>
      <c r="J260" s="135"/>
      <c r="K260" s="130"/>
      <c r="L260" s="135" t="s">
        <v>1533</v>
      </c>
      <c r="M260" s="130">
        <v>43914</v>
      </c>
      <c r="N260" s="129"/>
      <c r="O260" s="129"/>
      <c r="P260" s="129"/>
      <c r="Q260" s="129"/>
      <c r="R260" s="454"/>
      <c r="S260" s="130"/>
      <c r="T260" s="129"/>
      <c r="U260" s="129">
        <v>0</v>
      </c>
      <c r="V260" s="129"/>
      <c r="W260" s="129"/>
    </row>
    <row r="261" spans="1:23" ht="22.5" customHeight="1" x14ac:dyDescent="0.25">
      <c r="A261" s="48">
        <v>43</v>
      </c>
      <c r="B261" s="129" t="s">
        <v>1532</v>
      </c>
      <c r="C261" s="129" t="s">
        <v>1529</v>
      </c>
      <c r="D261" s="129" t="s">
        <v>274</v>
      </c>
      <c r="E261" s="201">
        <v>6.1903999999999995</v>
      </c>
      <c r="F261" s="129" t="s">
        <v>177</v>
      </c>
      <c r="G261" s="129" t="s">
        <v>1530</v>
      </c>
      <c r="H261" s="129">
        <v>0.15911804159999998</v>
      </c>
      <c r="I261" s="129" t="s">
        <v>272</v>
      </c>
      <c r="J261" s="135"/>
      <c r="K261" s="130"/>
      <c r="L261" s="135" t="s">
        <v>1534</v>
      </c>
      <c r="M261" s="130">
        <v>43923</v>
      </c>
      <c r="N261" s="129"/>
      <c r="O261" s="129"/>
      <c r="P261" s="129"/>
      <c r="Q261" s="129"/>
      <c r="R261" s="454"/>
      <c r="S261" s="130"/>
      <c r="T261" s="129"/>
      <c r="U261" s="129">
        <v>0</v>
      </c>
      <c r="V261" s="129"/>
      <c r="W261" s="129"/>
    </row>
    <row r="262" spans="1:23" ht="22.5" customHeight="1" x14ac:dyDescent="0.25">
      <c r="A262" s="48">
        <v>44</v>
      </c>
      <c r="B262" s="129" t="s">
        <v>1535</v>
      </c>
      <c r="C262" s="129" t="s">
        <v>1536</v>
      </c>
      <c r="D262" s="129" t="s">
        <v>274</v>
      </c>
      <c r="E262" s="201">
        <v>1.4650000000000001</v>
      </c>
      <c r="F262" s="129" t="s">
        <v>183</v>
      </c>
      <c r="G262" s="129" t="s">
        <v>1537</v>
      </c>
      <c r="H262" s="129">
        <v>7.5312720000000014E-2</v>
      </c>
      <c r="I262" s="129" t="s">
        <v>272</v>
      </c>
      <c r="J262" s="135"/>
      <c r="K262" s="130"/>
      <c r="L262" s="135" t="s">
        <v>1538</v>
      </c>
      <c r="M262" s="130">
        <v>43602</v>
      </c>
      <c r="N262" s="129"/>
      <c r="O262" s="129"/>
      <c r="P262" s="129"/>
      <c r="Q262" s="129"/>
      <c r="R262" s="454"/>
      <c r="S262" s="130"/>
      <c r="T262" s="129"/>
      <c r="U262" s="129">
        <v>0</v>
      </c>
      <c r="V262" s="129"/>
      <c r="W262" s="129"/>
    </row>
    <row r="263" spans="1:23" ht="22.5" customHeight="1" x14ac:dyDescent="0.25">
      <c r="A263" s="48">
        <v>45</v>
      </c>
      <c r="B263" s="129" t="s">
        <v>1542</v>
      </c>
      <c r="C263" s="129" t="s">
        <v>1543</v>
      </c>
      <c r="D263" s="129" t="s">
        <v>274</v>
      </c>
      <c r="E263" s="201">
        <v>1.5740000000000001</v>
      </c>
      <c r="F263" s="129" t="s">
        <v>177</v>
      </c>
      <c r="G263" s="129" t="s">
        <v>1544</v>
      </c>
      <c r="H263" s="129">
        <v>4.0458096000000006E-2</v>
      </c>
      <c r="I263" s="129" t="s">
        <v>272</v>
      </c>
      <c r="J263" s="135"/>
      <c r="K263" s="130"/>
      <c r="L263" s="135" t="s">
        <v>1545</v>
      </c>
      <c r="M263" s="130">
        <v>43767</v>
      </c>
      <c r="N263" s="129"/>
      <c r="O263" s="129"/>
      <c r="P263" s="129"/>
      <c r="Q263" s="129"/>
      <c r="R263" s="454"/>
      <c r="S263" s="130"/>
      <c r="T263" s="129"/>
      <c r="U263" s="129">
        <v>0</v>
      </c>
      <c r="V263" s="129"/>
      <c r="W263" s="129"/>
    </row>
    <row r="264" spans="1:23" ht="22.5" customHeight="1" x14ac:dyDescent="0.25">
      <c r="A264" s="48">
        <v>46</v>
      </c>
      <c r="B264" s="129" t="s">
        <v>1546</v>
      </c>
      <c r="C264" s="129" t="s">
        <v>1547</v>
      </c>
      <c r="D264" s="129" t="s">
        <v>274</v>
      </c>
      <c r="E264" s="201">
        <v>1.1345999999999998</v>
      </c>
      <c r="F264" s="129" t="s">
        <v>177</v>
      </c>
      <c r="G264" s="129" t="s">
        <v>1486</v>
      </c>
      <c r="H264" s="129">
        <v>5.8327516799999993E-2</v>
      </c>
      <c r="I264" s="129" t="s">
        <v>272</v>
      </c>
      <c r="J264" s="135"/>
      <c r="K264" s="130"/>
      <c r="L264" s="135" t="s">
        <v>1548</v>
      </c>
      <c r="M264" s="130">
        <v>44517</v>
      </c>
      <c r="N264" s="129"/>
      <c r="O264" s="129"/>
      <c r="P264" s="129"/>
      <c r="Q264" s="129"/>
      <c r="R264" s="454"/>
      <c r="S264" s="130"/>
      <c r="T264" s="129"/>
      <c r="U264" s="129">
        <v>0</v>
      </c>
      <c r="V264" s="129"/>
      <c r="W264" s="129"/>
    </row>
    <row r="265" spans="1:23" ht="22.5" customHeight="1" x14ac:dyDescent="0.25">
      <c r="A265" s="48">
        <v>47</v>
      </c>
      <c r="B265" s="129" t="s">
        <v>1549</v>
      </c>
      <c r="C265" s="129" t="s">
        <v>1550</v>
      </c>
      <c r="D265" s="129" t="s">
        <v>274</v>
      </c>
      <c r="E265" s="201">
        <v>2.8045</v>
      </c>
      <c r="F265" s="129" t="s">
        <v>177</v>
      </c>
      <c r="G265" s="129" t="s">
        <v>1472</v>
      </c>
      <c r="H265" s="129">
        <v>0.144173736</v>
      </c>
      <c r="I265" s="129" t="s">
        <v>272</v>
      </c>
      <c r="J265" s="135"/>
      <c r="K265" s="130"/>
      <c r="L265" s="135" t="s">
        <v>1551</v>
      </c>
      <c r="M265" s="130">
        <v>44034</v>
      </c>
      <c r="N265" s="129"/>
      <c r="O265" s="129"/>
      <c r="P265" s="129" t="s">
        <v>1552</v>
      </c>
      <c r="Q265" s="129"/>
      <c r="R265" s="454"/>
      <c r="S265" s="130"/>
      <c r="T265" s="129"/>
      <c r="U265" s="129">
        <v>0</v>
      </c>
      <c r="V265" s="129"/>
      <c r="W265" s="129"/>
    </row>
    <row r="266" spans="1:23" ht="22.5" customHeight="1" x14ac:dyDescent="0.25">
      <c r="A266" s="48">
        <v>48</v>
      </c>
      <c r="B266" s="129" t="s">
        <v>1553</v>
      </c>
      <c r="C266" s="129" t="s">
        <v>1554</v>
      </c>
      <c r="D266" s="129" t="s">
        <v>274</v>
      </c>
      <c r="E266" s="201">
        <v>3.9159999999999999</v>
      </c>
      <c r="F266" s="129">
        <v>0.4</v>
      </c>
      <c r="G266" s="129" t="s">
        <v>1430</v>
      </c>
      <c r="H266" s="129">
        <v>0.201313728</v>
      </c>
      <c r="I266" s="129" t="s">
        <v>272</v>
      </c>
      <c r="J266" s="135"/>
      <c r="K266" s="130"/>
      <c r="L266" s="135" t="s">
        <v>1555</v>
      </c>
      <c r="M266" s="130">
        <v>44201</v>
      </c>
      <c r="N266" s="129"/>
      <c r="O266" s="129"/>
      <c r="P266" s="129"/>
      <c r="Q266" s="129"/>
      <c r="R266" s="454"/>
      <c r="S266" s="130"/>
      <c r="T266" s="129"/>
      <c r="U266" s="129">
        <v>0</v>
      </c>
      <c r="V266" s="129"/>
      <c r="W266" s="129"/>
    </row>
    <row r="267" spans="1:23" ht="22.5" customHeight="1" x14ac:dyDescent="0.25">
      <c r="A267" s="48">
        <v>49</v>
      </c>
      <c r="B267" s="129" t="s">
        <v>1542</v>
      </c>
      <c r="C267" s="129" t="s">
        <v>1554</v>
      </c>
      <c r="D267" s="129" t="s">
        <v>274</v>
      </c>
      <c r="E267" s="201">
        <v>2.2650000000000001</v>
      </c>
      <c r="F267" s="129" t="s">
        <v>177</v>
      </c>
      <c r="G267" s="129" t="s">
        <v>1544</v>
      </c>
      <c r="H267" s="129">
        <v>5.8219560000000004E-2</v>
      </c>
      <c r="I267" s="129" t="s">
        <v>272</v>
      </c>
      <c r="J267" s="135"/>
      <c r="K267" s="130"/>
      <c r="L267" s="135" t="s">
        <v>1556</v>
      </c>
      <c r="M267" s="130">
        <v>44232</v>
      </c>
      <c r="N267" s="472">
        <v>45055</v>
      </c>
      <c r="O267" s="129"/>
      <c r="P267" s="129"/>
      <c r="Q267" s="129"/>
      <c r="R267" s="454"/>
      <c r="S267" s="130"/>
      <c r="T267" s="129"/>
      <c r="U267" s="129">
        <v>0</v>
      </c>
      <c r="V267" s="129"/>
      <c r="W267" s="129"/>
    </row>
    <row r="268" spans="1:23" ht="22.5" customHeight="1" x14ac:dyDescent="0.25">
      <c r="A268" s="48">
        <v>50</v>
      </c>
      <c r="B268" s="129" t="s">
        <v>1557</v>
      </c>
      <c r="C268" s="129" t="s">
        <v>1558</v>
      </c>
      <c r="D268" s="129" t="s">
        <v>274</v>
      </c>
      <c r="E268" s="201">
        <v>2.87</v>
      </c>
      <c r="F268" s="129" t="s">
        <v>177</v>
      </c>
      <c r="G268" s="129" t="s">
        <v>1530</v>
      </c>
      <c r="H268" s="129">
        <v>0.14754096</v>
      </c>
      <c r="I268" s="129" t="s">
        <v>272</v>
      </c>
      <c r="J268" s="135"/>
      <c r="K268" s="130"/>
      <c r="L268" s="135" t="s">
        <v>1559</v>
      </c>
      <c r="M268" s="130">
        <v>44223</v>
      </c>
      <c r="N268" s="129"/>
      <c r="O268" s="129"/>
      <c r="P268" s="129"/>
      <c r="Q268" s="129"/>
      <c r="R268" s="454"/>
      <c r="S268" s="130"/>
      <c r="T268" s="129"/>
      <c r="U268" s="129">
        <v>0</v>
      </c>
      <c r="V268" s="129"/>
      <c r="W268" s="129"/>
    </row>
    <row r="269" spans="1:23" ht="22.5" customHeight="1" x14ac:dyDescent="0.25">
      <c r="A269" s="48">
        <v>51</v>
      </c>
      <c r="B269" s="129" t="s">
        <v>1560</v>
      </c>
      <c r="C269" s="129" t="s">
        <v>1561</v>
      </c>
      <c r="D269" s="129" t="s">
        <v>274</v>
      </c>
      <c r="E269" s="201">
        <v>1.1895100000000001</v>
      </c>
      <c r="F269" s="129" t="s">
        <v>177</v>
      </c>
      <c r="G269" s="129" t="s">
        <v>281</v>
      </c>
      <c r="H269" s="129">
        <v>6.1150330080000009E-2</v>
      </c>
      <c r="I269" s="129" t="s">
        <v>272</v>
      </c>
      <c r="J269" s="135"/>
      <c r="K269" s="130"/>
      <c r="L269" s="135" t="s">
        <v>1562</v>
      </c>
      <c r="M269" s="130">
        <v>44300</v>
      </c>
      <c r="N269" s="472">
        <v>45076</v>
      </c>
      <c r="O269" s="129"/>
      <c r="P269" s="129"/>
      <c r="Q269" s="129"/>
      <c r="R269" s="454"/>
      <c r="S269" s="130"/>
      <c r="T269" s="129"/>
      <c r="U269" s="129">
        <v>0</v>
      </c>
      <c r="V269" s="129"/>
      <c r="W269" s="129"/>
    </row>
    <row r="270" spans="1:23" ht="22.5" customHeight="1" x14ac:dyDescent="0.25">
      <c r="A270" s="48">
        <v>52</v>
      </c>
      <c r="B270" s="129" t="s">
        <v>1563</v>
      </c>
      <c r="C270" s="129" t="s">
        <v>1554</v>
      </c>
      <c r="D270" s="129" t="s">
        <v>274</v>
      </c>
      <c r="E270" s="201">
        <v>1.474</v>
      </c>
      <c r="F270" s="129" t="s">
        <v>177</v>
      </c>
      <c r="G270" s="129" t="s">
        <v>1472</v>
      </c>
      <c r="H270" s="129">
        <v>7.5775391999999997E-2</v>
      </c>
      <c r="I270" s="129" t="s">
        <v>272</v>
      </c>
      <c r="J270" s="135"/>
      <c r="K270" s="130"/>
      <c r="L270" s="135" t="s">
        <v>1564</v>
      </c>
      <c r="M270" s="130">
        <v>44202</v>
      </c>
      <c r="N270" s="472">
        <v>45104</v>
      </c>
      <c r="O270" s="129"/>
      <c r="P270" s="129"/>
      <c r="Q270" s="129"/>
      <c r="R270" s="454"/>
      <c r="S270" s="130"/>
      <c r="T270" s="129"/>
      <c r="U270" s="129">
        <v>0</v>
      </c>
      <c r="V270" s="129"/>
      <c r="W270" s="129"/>
    </row>
    <row r="271" spans="1:23" ht="22.5" customHeight="1" x14ac:dyDescent="0.25">
      <c r="A271" s="48">
        <v>53</v>
      </c>
      <c r="B271" s="129" t="s">
        <v>1566</v>
      </c>
      <c r="C271" s="129" t="s">
        <v>1567</v>
      </c>
      <c r="D271" s="129" t="s">
        <v>274</v>
      </c>
      <c r="E271" s="201">
        <v>2.8833600000000001</v>
      </c>
      <c r="F271" s="129">
        <v>20</v>
      </c>
      <c r="G271" s="129" t="s">
        <v>1537</v>
      </c>
      <c r="H271" s="129">
        <v>0.14822777088000003</v>
      </c>
      <c r="I271" s="129" t="s">
        <v>272</v>
      </c>
      <c r="J271" s="135"/>
      <c r="K271" s="130"/>
      <c r="L271" s="135" t="s">
        <v>1568</v>
      </c>
      <c r="M271" s="130">
        <v>44753</v>
      </c>
      <c r="N271" s="129"/>
      <c r="O271" s="129"/>
      <c r="P271" s="129"/>
      <c r="Q271" s="129"/>
      <c r="R271" s="454"/>
      <c r="S271" s="130"/>
      <c r="T271" s="129"/>
      <c r="U271" s="129">
        <v>0</v>
      </c>
      <c r="V271" s="129"/>
      <c r="W271" s="129"/>
    </row>
    <row r="272" spans="1:23" ht="22.5" customHeight="1" x14ac:dyDescent="0.25">
      <c r="A272" s="48">
        <v>54</v>
      </c>
      <c r="B272" s="129" t="s">
        <v>1569</v>
      </c>
      <c r="C272" s="129" t="s">
        <v>1558</v>
      </c>
      <c r="D272" s="129" t="s">
        <v>274</v>
      </c>
      <c r="E272" s="201">
        <v>1.8548</v>
      </c>
      <c r="F272" s="129">
        <v>10</v>
      </c>
      <c r="G272" s="129" t="s">
        <v>1570</v>
      </c>
      <c r="H272" s="129">
        <v>9.5351558400000008E-2</v>
      </c>
      <c r="I272" s="129" t="s">
        <v>272</v>
      </c>
      <c r="J272" s="135"/>
      <c r="K272" s="130"/>
      <c r="L272" s="135" t="s">
        <v>1571</v>
      </c>
      <c r="M272" s="130">
        <v>44746</v>
      </c>
      <c r="N272" s="472">
        <v>45057</v>
      </c>
      <c r="O272" s="129"/>
      <c r="P272" s="129"/>
      <c r="Q272" s="129"/>
      <c r="R272" s="454"/>
      <c r="S272" s="130"/>
      <c r="T272" s="129"/>
      <c r="U272" s="129">
        <v>0</v>
      </c>
      <c r="V272" s="129"/>
      <c r="W272" s="129"/>
    </row>
    <row r="273" spans="1:23" ht="22.5" customHeight="1" x14ac:dyDescent="0.25">
      <c r="A273" s="48">
        <v>55</v>
      </c>
      <c r="B273" s="129" t="s">
        <v>1573</v>
      </c>
      <c r="C273" s="129" t="s">
        <v>1529</v>
      </c>
      <c r="D273" s="129" t="s">
        <v>274</v>
      </c>
      <c r="E273" s="201">
        <v>1.5235000000000001</v>
      </c>
      <c r="F273" s="129">
        <v>20</v>
      </c>
      <c r="G273" s="129" t="s">
        <v>1574</v>
      </c>
      <c r="H273" s="129">
        <v>7.832008800000001E-2</v>
      </c>
      <c r="I273" s="129" t="s">
        <v>272</v>
      </c>
      <c r="J273" s="135"/>
      <c r="K273" s="130"/>
      <c r="L273" s="135" t="s">
        <v>1575</v>
      </c>
      <c r="M273" s="130">
        <v>44721</v>
      </c>
      <c r="N273" s="472">
        <v>45071</v>
      </c>
      <c r="O273" s="129"/>
      <c r="P273" s="129"/>
      <c r="Q273" s="129"/>
      <c r="R273" s="454"/>
      <c r="S273" s="130"/>
      <c r="T273" s="129"/>
      <c r="U273" s="129">
        <v>0</v>
      </c>
      <c r="V273" s="129"/>
      <c r="W273" s="129"/>
    </row>
    <row r="274" spans="1:23" ht="22.5" customHeight="1" x14ac:dyDescent="0.25">
      <c r="A274" s="48">
        <v>56</v>
      </c>
      <c r="B274" s="129" t="s">
        <v>1576</v>
      </c>
      <c r="C274" s="129" t="s">
        <v>1526</v>
      </c>
      <c r="D274" s="129" t="s">
        <v>274</v>
      </c>
      <c r="E274" s="201">
        <v>3.3340999999999998</v>
      </c>
      <c r="F274" s="129" t="s">
        <v>177</v>
      </c>
      <c r="G274" s="129" t="s">
        <v>1427</v>
      </c>
      <c r="H274" s="129">
        <v>0.17139941280000001</v>
      </c>
      <c r="I274" s="129" t="s">
        <v>272</v>
      </c>
      <c r="J274" s="135"/>
      <c r="K274" s="130"/>
      <c r="L274" s="135" t="s">
        <v>1577</v>
      </c>
      <c r="M274" s="130">
        <v>44670</v>
      </c>
      <c r="N274" s="129"/>
      <c r="O274" s="129"/>
      <c r="P274" s="129"/>
      <c r="Q274" s="129"/>
      <c r="R274" s="454"/>
      <c r="S274" s="130"/>
      <c r="T274" s="129"/>
      <c r="U274" s="129">
        <v>0</v>
      </c>
      <c r="V274" s="129"/>
      <c r="W274" s="129"/>
    </row>
    <row r="275" spans="1:23" ht="22.5" customHeight="1" x14ac:dyDescent="0.25">
      <c r="A275" s="48">
        <v>57</v>
      </c>
      <c r="B275" s="129" t="s">
        <v>260</v>
      </c>
      <c r="C275" s="129" t="s">
        <v>1578</v>
      </c>
      <c r="D275" s="129" t="s">
        <v>274</v>
      </c>
      <c r="E275" s="201">
        <v>2.2069000000000001</v>
      </c>
      <c r="F275" s="129" t="s">
        <v>177</v>
      </c>
      <c r="G275" s="129" t="s">
        <v>1579</v>
      </c>
      <c r="H275" s="129">
        <v>0.11345231520000001</v>
      </c>
      <c r="I275" s="129" t="s">
        <v>272</v>
      </c>
      <c r="J275" s="135"/>
      <c r="K275" s="130"/>
      <c r="L275" s="135" t="s">
        <v>1580</v>
      </c>
      <c r="M275" s="130">
        <v>44637</v>
      </c>
      <c r="N275" s="472">
        <v>45005</v>
      </c>
      <c r="O275" s="129"/>
      <c r="P275" s="129"/>
      <c r="Q275" s="129"/>
      <c r="R275" s="454"/>
      <c r="S275" s="130"/>
      <c r="T275" s="129"/>
      <c r="U275" s="129">
        <v>0</v>
      </c>
      <c r="V275" s="129"/>
      <c r="W275" s="129"/>
    </row>
    <row r="276" spans="1:23" ht="22.5" customHeight="1" x14ac:dyDescent="0.25">
      <c r="A276" s="48">
        <v>58</v>
      </c>
      <c r="B276" s="129" t="s">
        <v>1581</v>
      </c>
      <c r="C276" s="129" t="s">
        <v>1582</v>
      </c>
      <c r="D276" s="129" t="s">
        <v>274</v>
      </c>
      <c r="E276" s="201">
        <v>1.9967999999999999</v>
      </c>
      <c r="F276" s="129" t="s">
        <v>177</v>
      </c>
      <c r="G276" s="129" t="s">
        <v>280</v>
      </c>
      <c r="H276" s="129">
        <v>0.1026514944</v>
      </c>
      <c r="I276" s="129" t="s">
        <v>272</v>
      </c>
      <c r="J276" s="135"/>
      <c r="K276" s="130"/>
      <c r="L276" s="135" t="s">
        <v>1583</v>
      </c>
      <c r="M276" s="130">
        <v>44532</v>
      </c>
      <c r="N276" s="129"/>
      <c r="O276" s="129"/>
      <c r="P276" s="129"/>
      <c r="Q276" s="129"/>
      <c r="R276" s="454"/>
      <c r="S276" s="130"/>
      <c r="T276" s="129"/>
      <c r="U276" s="129">
        <v>0</v>
      </c>
      <c r="V276" s="129"/>
      <c r="W276" s="129"/>
    </row>
    <row r="277" spans="1:23" ht="22.5" customHeight="1" x14ac:dyDescent="0.25">
      <c r="A277" s="48">
        <v>59</v>
      </c>
      <c r="B277" s="129" t="s">
        <v>1584</v>
      </c>
      <c r="C277" s="129" t="s">
        <v>1529</v>
      </c>
      <c r="D277" s="129" t="s">
        <v>274</v>
      </c>
      <c r="E277" s="201">
        <v>6.0880000000000001</v>
      </c>
      <c r="F277" s="129">
        <v>20</v>
      </c>
      <c r="G277" s="129" t="s">
        <v>1486</v>
      </c>
      <c r="H277" s="129">
        <v>0.31297190400000002</v>
      </c>
      <c r="I277" s="129" t="s">
        <v>272</v>
      </c>
      <c r="J277" s="135"/>
      <c r="K277" s="130"/>
      <c r="L277" s="135" t="s">
        <v>1585</v>
      </c>
      <c r="M277" s="130">
        <v>44734</v>
      </c>
      <c r="N277" s="129"/>
      <c r="O277" s="129"/>
      <c r="P277" s="129"/>
      <c r="Q277" s="129"/>
      <c r="R277" s="454"/>
      <c r="S277" s="130"/>
      <c r="T277" s="129"/>
      <c r="U277" s="129">
        <v>0</v>
      </c>
      <c r="V277" s="129"/>
      <c r="W277" s="129"/>
    </row>
    <row r="278" spans="1:23" ht="22.5" customHeight="1" x14ac:dyDescent="0.25">
      <c r="A278" s="48">
        <v>60</v>
      </c>
      <c r="B278" s="129" t="s">
        <v>1447</v>
      </c>
      <c r="C278" s="129" t="s">
        <v>1529</v>
      </c>
      <c r="D278" s="129" t="s">
        <v>274</v>
      </c>
      <c r="E278" s="201">
        <v>8.1140000000000008</v>
      </c>
      <c r="F278" s="129" t="s">
        <v>177</v>
      </c>
      <c r="G278" s="129" t="s">
        <v>279</v>
      </c>
      <c r="H278" s="129">
        <v>0.41712451200000006</v>
      </c>
      <c r="I278" s="129" t="s">
        <v>272</v>
      </c>
      <c r="J278" s="135"/>
      <c r="K278" s="130"/>
      <c r="L278" s="135" t="s">
        <v>1586</v>
      </c>
      <c r="M278" s="130">
        <v>44642</v>
      </c>
      <c r="N278" s="130">
        <v>45226</v>
      </c>
      <c r="O278" s="129"/>
      <c r="P278" s="129"/>
      <c r="Q278" s="129"/>
      <c r="R278" s="454"/>
      <c r="S278" s="130"/>
      <c r="T278" s="129"/>
      <c r="U278" s="129">
        <v>0</v>
      </c>
      <c r="V278" s="129"/>
      <c r="W278" s="129"/>
    </row>
    <row r="279" spans="1:23" ht="22.5" customHeight="1" x14ac:dyDescent="0.25">
      <c r="A279" s="48">
        <v>61</v>
      </c>
      <c r="B279" s="129" t="s">
        <v>1587</v>
      </c>
      <c r="C279" s="129" t="s">
        <v>1588</v>
      </c>
      <c r="D279" s="129" t="s">
        <v>274</v>
      </c>
      <c r="E279" s="201">
        <v>1.9356800000000001</v>
      </c>
      <c r="F279" s="129" t="s">
        <v>177</v>
      </c>
      <c r="G279" s="129" t="s">
        <v>1492</v>
      </c>
      <c r="H279" s="129">
        <v>9.9509437440000015E-2</v>
      </c>
      <c r="I279" s="129" t="s">
        <v>272</v>
      </c>
      <c r="J279" s="135"/>
      <c r="K279" s="130"/>
      <c r="L279" s="135" t="s">
        <v>1589</v>
      </c>
      <c r="M279" s="130">
        <v>44487</v>
      </c>
      <c r="N279" s="129"/>
      <c r="O279" s="129"/>
      <c r="P279" s="129"/>
      <c r="Q279" s="129"/>
      <c r="R279" s="454"/>
      <c r="S279" s="130"/>
      <c r="T279" s="129"/>
      <c r="U279" s="129">
        <v>0</v>
      </c>
      <c r="V279" s="129"/>
      <c r="W279" s="129"/>
    </row>
    <row r="280" spans="1:23" ht="22.5" customHeight="1" x14ac:dyDescent="0.25">
      <c r="A280" s="48">
        <v>62</v>
      </c>
      <c r="B280" s="129" t="s">
        <v>1590</v>
      </c>
      <c r="C280" s="129" t="s">
        <v>1591</v>
      </c>
      <c r="D280" s="129" t="s">
        <v>274</v>
      </c>
      <c r="E280" s="201">
        <v>1.7337</v>
      </c>
      <c r="F280" s="129">
        <v>10</v>
      </c>
      <c r="G280" s="129" t="s">
        <v>1472</v>
      </c>
      <c r="H280" s="129">
        <v>8.9126049600000007E-2</v>
      </c>
      <c r="I280" s="129" t="s">
        <v>272</v>
      </c>
      <c r="J280" s="135"/>
      <c r="K280" s="130"/>
      <c r="L280" s="135" t="s">
        <v>1592</v>
      </c>
      <c r="M280" s="130">
        <v>43782</v>
      </c>
      <c r="N280" s="129"/>
      <c r="O280" s="129"/>
      <c r="P280" s="129"/>
      <c r="Q280" s="129"/>
      <c r="R280" s="454"/>
      <c r="S280" s="130"/>
      <c r="T280" s="129"/>
      <c r="U280" s="129">
        <v>0</v>
      </c>
      <c r="V280" s="129"/>
      <c r="W280" s="129"/>
    </row>
    <row r="281" spans="1:23" ht="22.5" customHeight="1" x14ac:dyDescent="0.25">
      <c r="A281" s="48">
        <v>63</v>
      </c>
      <c r="B281" s="129" t="s">
        <v>1593</v>
      </c>
      <c r="C281" s="129" t="s">
        <v>1594</v>
      </c>
      <c r="D281" s="129" t="s">
        <v>274</v>
      </c>
      <c r="E281" s="201">
        <v>1.4969000000000001</v>
      </c>
      <c r="F281" s="129" t="s">
        <v>177</v>
      </c>
      <c r="G281" s="129" t="s">
        <v>1595</v>
      </c>
      <c r="H281" s="129">
        <v>7.6952635200000008E-2</v>
      </c>
      <c r="I281" s="129" t="s">
        <v>272</v>
      </c>
      <c r="J281" s="135"/>
      <c r="K281" s="130"/>
      <c r="L281" s="135" t="s">
        <v>1596</v>
      </c>
      <c r="M281" s="130">
        <v>44552</v>
      </c>
      <c r="N281" s="129"/>
      <c r="O281" s="129" t="s">
        <v>1597</v>
      </c>
      <c r="P281" s="129" t="s">
        <v>1598</v>
      </c>
      <c r="Q281" s="129"/>
      <c r="R281" s="454"/>
      <c r="S281" s="130"/>
      <c r="T281" s="129"/>
      <c r="U281" s="129">
        <v>0</v>
      </c>
      <c r="V281" s="129"/>
      <c r="W281" s="129"/>
    </row>
    <row r="282" spans="1:23" ht="22.5" customHeight="1" x14ac:dyDescent="0.25">
      <c r="A282" s="48">
        <v>64</v>
      </c>
      <c r="B282" s="129" t="s">
        <v>1599</v>
      </c>
      <c r="C282" s="129" t="s">
        <v>1526</v>
      </c>
      <c r="D282" s="129" t="s">
        <v>274</v>
      </c>
      <c r="E282" s="201">
        <v>1.863</v>
      </c>
      <c r="F282" s="129" t="s">
        <v>183</v>
      </c>
      <c r="G282" s="129" t="s">
        <v>1600</v>
      </c>
      <c r="H282" s="129">
        <v>9.5773103999999998E-2</v>
      </c>
      <c r="I282" s="129" t="s">
        <v>272</v>
      </c>
      <c r="J282" s="135"/>
      <c r="K282" s="130"/>
      <c r="L282" s="135" t="s">
        <v>1601</v>
      </c>
      <c r="M282" s="130">
        <v>44456</v>
      </c>
      <c r="N282" s="129"/>
      <c r="O282" s="129"/>
      <c r="P282" s="129"/>
      <c r="Q282" s="129"/>
      <c r="R282" s="454"/>
      <c r="S282" s="130"/>
      <c r="T282" s="129"/>
      <c r="U282" s="129">
        <v>0</v>
      </c>
      <c r="V282" s="129"/>
      <c r="W282" s="129"/>
    </row>
    <row r="283" spans="1:23" ht="22.5" customHeight="1" x14ac:dyDescent="0.25">
      <c r="A283" s="48">
        <v>65</v>
      </c>
      <c r="B283" s="129" t="s">
        <v>1539</v>
      </c>
      <c r="C283" s="129" t="s">
        <v>1605</v>
      </c>
      <c r="D283" s="129" t="s">
        <v>274</v>
      </c>
      <c r="E283" s="201">
        <v>2.1680000000000001</v>
      </c>
      <c r="F283" s="129" t="s">
        <v>183</v>
      </c>
      <c r="G283" s="129" t="s">
        <v>1540</v>
      </c>
      <c r="H283" s="129">
        <v>0.11145254400000001</v>
      </c>
      <c r="I283" s="129" t="s">
        <v>272</v>
      </c>
      <c r="J283" s="135"/>
      <c r="K283" s="130"/>
      <c r="L283" s="135" t="s">
        <v>1606</v>
      </c>
      <c r="M283" s="130">
        <v>44664</v>
      </c>
      <c r="N283" s="472">
        <v>44991</v>
      </c>
      <c r="O283" s="129"/>
      <c r="P283" s="129"/>
      <c r="Q283" s="129"/>
      <c r="R283" s="454"/>
      <c r="S283" s="130"/>
      <c r="T283" s="129"/>
      <c r="U283" s="129">
        <v>0</v>
      </c>
      <c r="V283" s="129"/>
      <c r="W283" s="129"/>
    </row>
    <row r="284" spans="1:23" ht="22.5" customHeight="1" x14ac:dyDescent="0.25">
      <c r="A284" s="48">
        <v>66</v>
      </c>
      <c r="B284" s="129" t="s">
        <v>1607</v>
      </c>
      <c r="C284" s="129" t="s">
        <v>1608</v>
      </c>
      <c r="D284" s="129" t="s">
        <v>274</v>
      </c>
      <c r="E284" s="201">
        <v>4.3368799999999998</v>
      </c>
      <c r="F284" s="129" t="s">
        <v>183</v>
      </c>
      <c r="G284" s="129" t="s">
        <v>1472</v>
      </c>
      <c r="H284" s="129">
        <v>0.22295032704000001</v>
      </c>
      <c r="I284" s="129" t="s">
        <v>272</v>
      </c>
      <c r="J284" s="135"/>
      <c r="K284" s="130"/>
      <c r="L284" s="135" t="s">
        <v>1609</v>
      </c>
      <c r="M284" s="130">
        <v>44508</v>
      </c>
      <c r="N284" s="470"/>
      <c r="O284" s="129"/>
      <c r="P284" s="129"/>
      <c r="Q284" s="129"/>
      <c r="R284" s="454"/>
      <c r="S284" s="130"/>
      <c r="T284" s="129"/>
      <c r="U284" s="129">
        <v>0</v>
      </c>
      <c r="V284" s="129"/>
      <c r="W284" s="129"/>
    </row>
    <row r="285" spans="1:23" ht="22.5" customHeight="1" x14ac:dyDescent="0.25">
      <c r="A285" s="48">
        <v>67</v>
      </c>
      <c r="B285" s="129" t="s">
        <v>1610</v>
      </c>
      <c r="C285" s="129" t="s">
        <v>1554</v>
      </c>
      <c r="D285" s="129" t="s">
        <v>274</v>
      </c>
      <c r="E285" s="201">
        <v>5.43771</v>
      </c>
      <c r="F285" s="129" t="s">
        <v>177</v>
      </c>
      <c r="G285" s="129" t="s">
        <v>281</v>
      </c>
      <c r="H285" s="129">
        <v>0.27954179568000004</v>
      </c>
      <c r="I285" s="129" t="s">
        <v>272</v>
      </c>
      <c r="J285" s="135"/>
      <c r="K285" s="130"/>
      <c r="L285" s="135" t="s">
        <v>1611</v>
      </c>
      <c r="M285" s="130">
        <v>44342</v>
      </c>
      <c r="N285" s="472">
        <v>45104</v>
      </c>
      <c r="O285" s="129"/>
      <c r="P285" s="129"/>
      <c r="Q285" s="129"/>
      <c r="R285" s="454"/>
      <c r="S285" s="130"/>
      <c r="T285" s="129"/>
      <c r="U285" s="129">
        <v>0</v>
      </c>
      <c r="V285" s="129"/>
      <c r="W285" s="129"/>
    </row>
    <row r="286" spans="1:23" ht="22.5" customHeight="1" x14ac:dyDescent="0.25">
      <c r="A286" s="48">
        <v>68</v>
      </c>
      <c r="B286" s="129" t="s">
        <v>1612</v>
      </c>
      <c r="C286" s="129" t="s">
        <v>1613</v>
      </c>
      <c r="D286" s="129" t="s">
        <v>276</v>
      </c>
      <c r="E286" s="201">
        <v>1.37</v>
      </c>
      <c r="F286" s="129" t="s">
        <v>177</v>
      </c>
      <c r="G286" s="129" t="s">
        <v>1614</v>
      </c>
      <c r="H286" s="129">
        <v>5.5296000000000012E-2</v>
      </c>
      <c r="I286" s="129" t="s">
        <v>272</v>
      </c>
      <c r="J286" s="135" t="s">
        <v>1615</v>
      </c>
      <c r="K286" s="130">
        <v>44671</v>
      </c>
      <c r="L286" s="470" t="s">
        <v>1615</v>
      </c>
      <c r="M286" s="472">
        <v>45023</v>
      </c>
      <c r="N286" s="129"/>
      <c r="O286" s="129"/>
      <c r="P286" s="129"/>
      <c r="Q286" s="129"/>
      <c r="R286" s="454"/>
      <c r="S286" s="130"/>
      <c r="T286" s="129"/>
      <c r="U286" s="129">
        <v>1.05</v>
      </c>
      <c r="V286" s="129"/>
      <c r="W286" s="129"/>
    </row>
    <row r="287" spans="1:23" ht="22.5" customHeight="1" x14ac:dyDescent="0.25">
      <c r="A287" s="48">
        <v>69</v>
      </c>
      <c r="B287" s="129" t="s">
        <v>1616</v>
      </c>
      <c r="C287" s="129" t="s">
        <v>1617</v>
      </c>
      <c r="D287" s="129" t="s">
        <v>276</v>
      </c>
      <c r="E287" s="201">
        <v>6.7</v>
      </c>
      <c r="F287" s="129" t="s">
        <v>177</v>
      </c>
      <c r="G287" s="129" t="s">
        <v>1440</v>
      </c>
      <c r="H287" s="129">
        <v>0.34560000000000002</v>
      </c>
      <c r="I287" s="129" t="s">
        <v>272</v>
      </c>
      <c r="J287" s="454">
        <v>8134893</v>
      </c>
      <c r="K287" s="130">
        <v>44582</v>
      </c>
      <c r="L287" s="135" t="s">
        <v>1618</v>
      </c>
      <c r="M287" s="130">
        <v>44624</v>
      </c>
      <c r="N287" s="479">
        <v>45118</v>
      </c>
      <c r="O287" s="129"/>
      <c r="P287" s="129"/>
      <c r="Q287" s="129"/>
      <c r="R287" s="454"/>
      <c r="S287" s="130"/>
      <c r="T287" s="129"/>
      <c r="U287" s="129">
        <v>4.7</v>
      </c>
      <c r="V287" s="129"/>
      <c r="W287" s="129"/>
    </row>
    <row r="288" spans="1:23" ht="22.5" customHeight="1" x14ac:dyDescent="0.25">
      <c r="A288" s="48">
        <v>70</v>
      </c>
      <c r="B288" s="129" t="s">
        <v>1619</v>
      </c>
      <c r="C288" s="129" t="s">
        <v>1620</v>
      </c>
      <c r="D288" s="129" t="s">
        <v>276</v>
      </c>
      <c r="E288" s="201">
        <v>1.6</v>
      </c>
      <c r="F288" s="129" t="s">
        <v>177</v>
      </c>
      <c r="G288" s="129" t="s">
        <v>277</v>
      </c>
      <c r="H288" s="129">
        <v>0.27648</v>
      </c>
      <c r="I288" s="129" t="s">
        <v>272</v>
      </c>
      <c r="J288" s="135" t="s">
        <v>1621</v>
      </c>
      <c r="K288" s="130">
        <v>44384</v>
      </c>
      <c r="L288" s="135" t="s">
        <v>1621</v>
      </c>
      <c r="M288" s="130">
        <v>44389</v>
      </c>
      <c r="N288" s="129"/>
      <c r="O288" s="129"/>
      <c r="P288" s="129"/>
      <c r="Q288" s="129"/>
      <c r="R288" s="454"/>
      <c r="S288" s="130"/>
      <c r="T288" s="129"/>
      <c r="U288" s="129">
        <v>0</v>
      </c>
      <c r="V288" s="129"/>
      <c r="W288" s="129"/>
    </row>
    <row r="289" spans="1:23" ht="22.5" customHeight="1" x14ac:dyDescent="0.25">
      <c r="A289" s="48">
        <v>71</v>
      </c>
      <c r="B289" s="129" t="s">
        <v>1622</v>
      </c>
      <c r="C289" s="129" t="s">
        <v>1623</v>
      </c>
      <c r="D289" s="129" t="s">
        <v>276</v>
      </c>
      <c r="E289" s="201">
        <v>1.1499999999999999</v>
      </c>
      <c r="F289" s="129"/>
      <c r="G289" s="129" t="s">
        <v>1624</v>
      </c>
      <c r="H289" s="129">
        <v>0.19872000000000001</v>
      </c>
      <c r="I289" s="129" t="s">
        <v>272</v>
      </c>
      <c r="J289" s="135" t="s">
        <v>1625</v>
      </c>
      <c r="K289" s="130">
        <v>44407</v>
      </c>
      <c r="L289" s="135" t="s">
        <v>1625</v>
      </c>
      <c r="M289" s="130">
        <v>44700</v>
      </c>
      <c r="N289" s="129"/>
      <c r="O289" s="129"/>
      <c r="P289" s="129"/>
      <c r="Q289" s="129"/>
      <c r="R289" s="454"/>
      <c r="S289" s="130"/>
      <c r="T289" s="129"/>
      <c r="U289" s="129"/>
      <c r="V289" s="129"/>
      <c r="W289" s="129"/>
    </row>
    <row r="290" spans="1:23" ht="22.5" customHeight="1" x14ac:dyDescent="0.25">
      <c r="A290" s="48">
        <v>72</v>
      </c>
      <c r="B290" s="129" t="s">
        <v>1626</v>
      </c>
      <c r="C290" s="129" t="s">
        <v>1627</v>
      </c>
      <c r="D290" s="129" t="s">
        <v>276</v>
      </c>
      <c r="E290" s="201">
        <v>1.25</v>
      </c>
      <c r="F290" s="129" t="s">
        <v>217</v>
      </c>
      <c r="G290" s="129" t="s">
        <v>1628</v>
      </c>
      <c r="H290" s="129">
        <v>0.21600000000000003</v>
      </c>
      <c r="I290" s="129" t="s">
        <v>272</v>
      </c>
      <c r="J290" s="135" t="s">
        <v>1629</v>
      </c>
      <c r="K290" s="130">
        <v>44427</v>
      </c>
      <c r="L290" s="470" t="s">
        <v>1629</v>
      </c>
      <c r="M290" s="472">
        <v>44790</v>
      </c>
      <c r="N290" s="472">
        <v>44945</v>
      </c>
      <c r="O290" s="129"/>
      <c r="P290" s="129"/>
      <c r="Q290" s="129"/>
      <c r="R290" s="454"/>
      <c r="S290" s="130"/>
      <c r="T290" s="129"/>
      <c r="U290" s="129">
        <v>0</v>
      </c>
      <c r="V290" s="129"/>
      <c r="W290" s="129"/>
    </row>
    <row r="291" spans="1:23" ht="22.5" customHeight="1" x14ac:dyDescent="0.25">
      <c r="A291" s="48">
        <v>73</v>
      </c>
      <c r="B291" s="129" t="s">
        <v>1630</v>
      </c>
      <c r="C291" s="129" t="s">
        <v>1631</v>
      </c>
      <c r="D291" s="129" t="s">
        <v>276</v>
      </c>
      <c r="E291" s="201">
        <v>2.2999999999999998</v>
      </c>
      <c r="F291" s="129" t="s">
        <v>177</v>
      </c>
      <c r="G291" s="129" t="s">
        <v>1632</v>
      </c>
      <c r="H291" s="129">
        <v>0.39744000000000002</v>
      </c>
      <c r="I291" s="129" t="s">
        <v>272</v>
      </c>
      <c r="J291" s="135" t="s">
        <v>1633</v>
      </c>
      <c r="K291" s="130">
        <v>44526</v>
      </c>
      <c r="L291" s="135" t="s">
        <v>1633</v>
      </c>
      <c r="M291" s="130">
        <v>44670</v>
      </c>
      <c r="N291" s="472">
        <v>44945</v>
      </c>
      <c r="O291" s="129"/>
      <c r="P291" s="129"/>
      <c r="Q291" s="129"/>
      <c r="R291" s="454"/>
      <c r="S291" s="130"/>
      <c r="T291" s="129"/>
      <c r="U291" s="129">
        <v>0</v>
      </c>
      <c r="V291" s="129"/>
      <c r="W291" s="129"/>
    </row>
    <row r="292" spans="1:23" ht="22.5" customHeight="1" x14ac:dyDescent="0.25">
      <c r="A292" s="48">
        <v>74</v>
      </c>
      <c r="B292" s="129" t="s">
        <v>1634</v>
      </c>
      <c r="C292" s="129" t="s">
        <v>1635</v>
      </c>
      <c r="D292" s="129" t="s">
        <v>276</v>
      </c>
      <c r="E292" s="201">
        <v>1.2629999999999999</v>
      </c>
      <c r="F292" s="129" t="s">
        <v>177</v>
      </c>
      <c r="G292" s="129" t="s">
        <v>1636</v>
      </c>
      <c r="H292" s="129">
        <v>5.8751999999999978E-2</v>
      </c>
      <c r="I292" s="129" t="s">
        <v>272</v>
      </c>
      <c r="J292" s="135" t="s">
        <v>1637</v>
      </c>
      <c r="K292" s="130">
        <v>44504</v>
      </c>
      <c r="L292" s="470" t="s">
        <v>1637</v>
      </c>
      <c r="M292" s="472">
        <v>44869</v>
      </c>
      <c r="N292" s="472">
        <v>45077</v>
      </c>
      <c r="O292" s="129"/>
      <c r="P292" s="129"/>
      <c r="Q292" s="129"/>
      <c r="R292" s="454"/>
      <c r="S292" s="130"/>
      <c r="T292" s="129"/>
      <c r="U292" s="129">
        <v>0</v>
      </c>
      <c r="V292" s="129"/>
      <c r="W292" s="129"/>
    </row>
    <row r="293" spans="1:23" ht="22.5" customHeight="1" x14ac:dyDescent="0.25">
      <c r="A293" s="48">
        <v>75</v>
      </c>
      <c r="B293" s="129" t="s">
        <v>1638</v>
      </c>
      <c r="C293" s="129" t="s">
        <v>1639</v>
      </c>
      <c r="D293" s="129" t="s">
        <v>276</v>
      </c>
      <c r="E293" s="201">
        <v>4.5999999999999996</v>
      </c>
      <c r="F293" s="129" t="s">
        <v>177</v>
      </c>
      <c r="G293" s="129" t="s">
        <v>1640</v>
      </c>
      <c r="H293" s="129">
        <v>0.79488000000000003</v>
      </c>
      <c r="I293" s="129" t="s">
        <v>272</v>
      </c>
      <c r="J293" s="135" t="s">
        <v>1641</v>
      </c>
      <c r="K293" s="130">
        <v>44715</v>
      </c>
      <c r="L293" s="135"/>
      <c r="M293" s="130"/>
      <c r="N293" s="129"/>
      <c r="O293" s="129"/>
      <c r="P293" s="129"/>
      <c r="Q293" s="129"/>
      <c r="R293" s="454"/>
      <c r="S293" s="130"/>
      <c r="T293" s="129"/>
      <c r="U293" s="129">
        <v>0.92300000000000004</v>
      </c>
      <c r="V293" s="129"/>
      <c r="W293" s="129"/>
    </row>
    <row r="294" spans="1:23" ht="22.5" customHeight="1" x14ac:dyDescent="0.25">
      <c r="A294" s="48">
        <v>76</v>
      </c>
      <c r="B294" s="129" t="s">
        <v>1642</v>
      </c>
      <c r="C294" s="129" t="s">
        <v>135</v>
      </c>
      <c r="D294" s="129" t="s">
        <v>276</v>
      </c>
      <c r="E294" s="201">
        <v>3.8</v>
      </c>
      <c r="F294" s="129" t="s">
        <v>177</v>
      </c>
      <c r="G294" s="129" t="s">
        <v>1643</v>
      </c>
      <c r="H294" s="129">
        <v>0.13823999999999997</v>
      </c>
      <c r="I294" s="129" t="s">
        <v>272</v>
      </c>
      <c r="J294" s="135" t="s">
        <v>1644</v>
      </c>
      <c r="K294" s="130">
        <v>44540</v>
      </c>
      <c r="L294" s="135"/>
      <c r="M294" s="130"/>
      <c r="N294" s="129"/>
      <c r="O294" s="129"/>
      <c r="P294" s="129"/>
      <c r="Q294" s="129"/>
      <c r="R294" s="454"/>
      <c r="S294" s="130"/>
      <c r="T294" s="129"/>
      <c r="U294" s="129">
        <v>0.04</v>
      </c>
      <c r="V294" s="129"/>
      <c r="W294" s="129"/>
    </row>
    <row r="295" spans="1:23" ht="22.5" customHeight="1" x14ac:dyDescent="0.25">
      <c r="A295" s="48">
        <v>77</v>
      </c>
      <c r="B295" s="129" t="s">
        <v>1645</v>
      </c>
      <c r="C295" s="129" t="s">
        <v>1646</v>
      </c>
      <c r="D295" s="129" t="s">
        <v>276</v>
      </c>
      <c r="E295" s="201">
        <v>2.9510000000000001</v>
      </c>
      <c r="F295" s="129" t="s">
        <v>177</v>
      </c>
      <c r="G295" s="129" t="s">
        <v>1476</v>
      </c>
      <c r="H295" s="129">
        <v>0.50993280000000007</v>
      </c>
      <c r="I295" s="129" t="s">
        <v>272</v>
      </c>
      <c r="J295" s="135" t="s">
        <v>1647</v>
      </c>
      <c r="K295" s="130">
        <v>44718</v>
      </c>
      <c r="L295" s="135"/>
      <c r="M295" s="130"/>
      <c r="N295" s="129"/>
      <c r="O295" s="129"/>
      <c r="P295" s="129"/>
      <c r="Q295" s="129"/>
      <c r="R295" s="454"/>
      <c r="S295" s="130"/>
      <c r="T295" s="129"/>
      <c r="U295" s="129">
        <v>3</v>
      </c>
      <c r="V295" s="129"/>
      <c r="W295" s="129"/>
    </row>
    <row r="296" spans="1:23" ht="22.5" customHeight="1" x14ac:dyDescent="0.25">
      <c r="A296" s="48">
        <v>78</v>
      </c>
      <c r="B296" s="129" t="s">
        <v>1648</v>
      </c>
      <c r="C296" s="129" t="s">
        <v>1649</v>
      </c>
      <c r="D296" s="129" t="s">
        <v>276</v>
      </c>
      <c r="E296" s="201">
        <v>4.88</v>
      </c>
      <c r="F296" s="129" t="s">
        <v>177</v>
      </c>
      <c r="G296" s="129" t="s">
        <v>1650</v>
      </c>
      <c r="H296" s="129">
        <v>0.84326400000000001</v>
      </c>
      <c r="I296" s="129" t="s">
        <v>272</v>
      </c>
      <c r="J296" s="135" t="s">
        <v>1651</v>
      </c>
      <c r="K296" s="130">
        <v>44761</v>
      </c>
      <c r="L296" s="470" t="s">
        <v>1651</v>
      </c>
      <c r="M296" s="472">
        <v>44833</v>
      </c>
      <c r="N296" s="472">
        <v>45099</v>
      </c>
      <c r="O296" s="129"/>
      <c r="P296" s="129"/>
      <c r="Q296" s="129"/>
      <c r="R296" s="454"/>
      <c r="S296" s="130"/>
      <c r="T296" s="129"/>
      <c r="U296" s="129">
        <v>0</v>
      </c>
      <c r="V296" s="129"/>
      <c r="W296" s="129"/>
    </row>
    <row r="297" spans="1:23" ht="22.5" customHeight="1" x14ac:dyDescent="0.25">
      <c r="A297" s="48">
        <v>79</v>
      </c>
      <c r="B297" s="129" t="s">
        <v>1652</v>
      </c>
      <c r="C297" s="129" t="s">
        <v>1653</v>
      </c>
      <c r="D297" s="129" t="s">
        <v>276</v>
      </c>
      <c r="E297" s="201">
        <v>2</v>
      </c>
      <c r="F297" s="129">
        <v>20</v>
      </c>
      <c r="G297" s="129" t="s">
        <v>1640</v>
      </c>
      <c r="H297" s="129">
        <v>0.34560000000000002</v>
      </c>
      <c r="I297" s="129" t="s">
        <v>272</v>
      </c>
      <c r="J297" s="135" t="s">
        <v>1654</v>
      </c>
      <c r="K297" s="130">
        <v>44623</v>
      </c>
      <c r="L297" s="135" t="s">
        <v>1654</v>
      </c>
      <c r="M297" s="130">
        <v>44699</v>
      </c>
      <c r="N297" s="472">
        <v>45085</v>
      </c>
      <c r="O297" s="129"/>
      <c r="P297" s="129"/>
      <c r="Q297" s="129"/>
      <c r="R297" s="454"/>
      <c r="S297" s="130"/>
      <c r="T297" s="129"/>
      <c r="U297" s="129">
        <v>0</v>
      </c>
      <c r="V297" s="129"/>
      <c r="W297" s="129"/>
    </row>
    <row r="298" spans="1:23" ht="22.5" customHeight="1" x14ac:dyDescent="0.25">
      <c r="A298" s="48">
        <v>80</v>
      </c>
      <c r="B298" s="129" t="s">
        <v>1655</v>
      </c>
      <c r="C298" s="129" t="s">
        <v>1656</v>
      </c>
      <c r="D298" s="129" t="s">
        <v>276</v>
      </c>
      <c r="E298" s="201">
        <v>1.2</v>
      </c>
      <c r="F298" s="129">
        <v>20</v>
      </c>
      <c r="G298" s="129" t="s">
        <v>1657</v>
      </c>
      <c r="H298" s="129">
        <v>0.20736000000000002</v>
      </c>
      <c r="I298" s="129" t="s">
        <v>272</v>
      </c>
      <c r="J298" s="135" t="s">
        <v>1658</v>
      </c>
      <c r="K298" s="130">
        <v>44678</v>
      </c>
      <c r="L298" s="135"/>
      <c r="M298" s="130"/>
      <c r="N298" s="129"/>
      <c r="O298" s="129"/>
      <c r="P298" s="129"/>
      <c r="Q298" s="129"/>
      <c r="R298" s="454"/>
      <c r="S298" s="130"/>
      <c r="T298" s="129"/>
      <c r="U298" s="129">
        <v>0</v>
      </c>
      <c r="V298" s="129"/>
      <c r="W298" s="129"/>
    </row>
    <row r="299" spans="1:23" ht="22.5" customHeight="1" x14ac:dyDescent="0.25">
      <c r="A299" s="48">
        <v>81</v>
      </c>
      <c r="B299" s="129" t="s">
        <v>1659</v>
      </c>
      <c r="C299" s="129" t="s">
        <v>1660</v>
      </c>
      <c r="D299" s="129" t="s">
        <v>276</v>
      </c>
      <c r="E299" s="201">
        <v>4</v>
      </c>
      <c r="F299" s="129">
        <v>20</v>
      </c>
      <c r="G299" s="129" t="s">
        <v>1661</v>
      </c>
      <c r="H299" s="129">
        <v>0.20563200000000001</v>
      </c>
      <c r="I299" s="129" t="s">
        <v>272</v>
      </c>
      <c r="J299" s="135" t="s">
        <v>1662</v>
      </c>
      <c r="K299" s="130">
        <v>44714</v>
      </c>
      <c r="L299" s="470" t="s">
        <v>1662</v>
      </c>
      <c r="M299" s="472">
        <v>44804</v>
      </c>
      <c r="N299" s="129"/>
      <c r="O299" s="129"/>
      <c r="P299" s="129"/>
      <c r="Q299" s="129"/>
      <c r="R299" s="454"/>
      <c r="S299" s="130"/>
      <c r="T299" s="129"/>
      <c r="U299" s="129">
        <v>3.2608699999999997</v>
      </c>
      <c r="V299" s="129"/>
      <c r="W299" s="129"/>
    </row>
    <row r="300" spans="1:23" ht="22.5" customHeight="1" x14ac:dyDescent="0.25">
      <c r="A300" s="48">
        <v>82</v>
      </c>
      <c r="B300" s="129" t="s">
        <v>1663</v>
      </c>
      <c r="C300" s="129" t="s">
        <v>1664</v>
      </c>
      <c r="D300" s="129" t="s">
        <v>276</v>
      </c>
      <c r="E300" s="201">
        <v>1.48</v>
      </c>
      <c r="F300" s="129">
        <v>20</v>
      </c>
      <c r="G300" s="129" t="s">
        <v>1665</v>
      </c>
      <c r="H300" s="129">
        <v>0.25574400000000003</v>
      </c>
      <c r="I300" s="129" t="s">
        <v>272</v>
      </c>
      <c r="J300" s="135" t="s">
        <v>1666</v>
      </c>
      <c r="K300" s="130">
        <v>44774</v>
      </c>
      <c r="L300" s="135" t="s">
        <v>1666</v>
      </c>
      <c r="M300" s="130">
        <v>44782</v>
      </c>
      <c r="N300" s="129"/>
      <c r="O300" s="129"/>
      <c r="P300" s="129"/>
      <c r="Q300" s="129"/>
      <c r="R300" s="454"/>
      <c r="S300" s="130"/>
      <c r="T300" s="129"/>
      <c r="U300" s="129">
        <v>0</v>
      </c>
      <c r="V300" s="129"/>
      <c r="W300" s="129"/>
    </row>
    <row r="301" spans="1:23" ht="22.5" customHeight="1" x14ac:dyDescent="0.25">
      <c r="A301" s="48">
        <v>83</v>
      </c>
      <c r="B301" s="129" t="s">
        <v>1667</v>
      </c>
      <c r="C301" s="129" t="s">
        <v>1668</v>
      </c>
      <c r="D301" s="129" t="s">
        <v>276</v>
      </c>
      <c r="E301" s="201">
        <v>1.865</v>
      </c>
      <c r="F301" s="129" t="s">
        <v>177</v>
      </c>
      <c r="G301" s="129" t="s">
        <v>277</v>
      </c>
      <c r="H301" s="129">
        <v>0.15552000000000002</v>
      </c>
      <c r="I301" s="129" t="s">
        <v>272</v>
      </c>
      <c r="J301" s="135" t="s">
        <v>1669</v>
      </c>
      <c r="K301" s="130">
        <v>43362</v>
      </c>
      <c r="L301" s="135" t="s">
        <v>1669</v>
      </c>
      <c r="M301" s="130">
        <v>43685</v>
      </c>
      <c r="N301" s="129"/>
      <c r="O301" s="129" t="s">
        <v>1670</v>
      </c>
      <c r="P301" s="129"/>
      <c r="Q301" s="129"/>
      <c r="R301" s="454"/>
      <c r="S301" s="130"/>
      <c r="T301" s="129"/>
      <c r="U301" s="129">
        <v>0.96499999999999997</v>
      </c>
      <c r="V301" s="129"/>
      <c r="W301" s="129"/>
    </row>
    <row r="302" spans="1:23" ht="22.5" customHeight="1" x14ac:dyDescent="0.25">
      <c r="A302" s="48">
        <v>84</v>
      </c>
      <c r="B302" s="129" t="s">
        <v>1671</v>
      </c>
      <c r="C302" s="129" t="s">
        <v>1672</v>
      </c>
      <c r="D302" s="129" t="s">
        <v>1673</v>
      </c>
      <c r="E302" s="201">
        <v>4</v>
      </c>
      <c r="F302" s="129" t="s">
        <v>177</v>
      </c>
      <c r="G302" s="129" t="s">
        <v>1657</v>
      </c>
      <c r="H302" s="129">
        <v>0.69120000000000004</v>
      </c>
      <c r="I302" s="129" t="s">
        <v>272</v>
      </c>
      <c r="J302" s="135" t="s">
        <v>1674</v>
      </c>
      <c r="K302" s="130">
        <v>43472</v>
      </c>
      <c r="L302" s="135" t="s">
        <v>1674</v>
      </c>
      <c r="M302" s="130">
        <v>43706</v>
      </c>
      <c r="N302" s="479">
        <v>45132</v>
      </c>
      <c r="O302" s="129" t="s">
        <v>1675</v>
      </c>
      <c r="P302" s="129"/>
      <c r="Q302" s="129"/>
      <c r="R302" s="454"/>
      <c r="S302" s="130"/>
      <c r="T302" s="129"/>
      <c r="U302" s="129">
        <v>0</v>
      </c>
      <c r="V302" s="129"/>
      <c r="W302" s="129"/>
    </row>
    <row r="303" spans="1:23" ht="22.5" customHeight="1" x14ac:dyDescent="0.25">
      <c r="A303" s="48">
        <v>85</v>
      </c>
      <c r="B303" s="129" t="s">
        <v>1676</v>
      </c>
      <c r="C303" s="129" t="s">
        <v>1677</v>
      </c>
      <c r="D303" s="129" t="s">
        <v>276</v>
      </c>
      <c r="E303" s="201">
        <v>1.8</v>
      </c>
      <c r="F303" s="129" t="s">
        <v>177</v>
      </c>
      <c r="G303" s="129" t="s">
        <v>277</v>
      </c>
      <c r="H303" s="129">
        <v>0.10368000000000002</v>
      </c>
      <c r="I303" s="129" t="s">
        <v>272</v>
      </c>
      <c r="J303" s="135" t="s">
        <v>1678</v>
      </c>
      <c r="K303" s="130">
        <v>43727</v>
      </c>
      <c r="L303" s="135" t="s">
        <v>1678</v>
      </c>
      <c r="M303" s="130">
        <v>43735</v>
      </c>
      <c r="N303" s="129"/>
      <c r="O303" s="129"/>
      <c r="P303" s="129"/>
      <c r="Q303" s="129"/>
      <c r="R303" s="454"/>
      <c r="S303" s="130"/>
      <c r="T303" s="129"/>
      <c r="U303" s="129">
        <v>1.2</v>
      </c>
      <c r="V303" s="129"/>
      <c r="W303" s="129"/>
    </row>
    <row r="304" spans="1:23" ht="22.5" customHeight="1" x14ac:dyDescent="0.25">
      <c r="A304" s="48">
        <v>86</v>
      </c>
      <c r="B304" s="129" t="s">
        <v>1679</v>
      </c>
      <c r="C304" s="129" t="s">
        <v>1680</v>
      </c>
      <c r="D304" s="129" t="s">
        <v>276</v>
      </c>
      <c r="E304" s="201">
        <v>1.411</v>
      </c>
      <c r="F304" s="129" t="s">
        <v>177</v>
      </c>
      <c r="G304" s="129" t="s">
        <v>1440</v>
      </c>
      <c r="H304" s="129">
        <v>0.24382080000000003</v>
      </c>
      <c r="I304" s="129" t="s">
        <v>272</v>
      </c>
      <c r="J304" s="135" t="s">
        <v>1681</v>
      </c>
      <c r="K304" s="130">
        <v>44340</v>
      </c>
      <c r="L304" s="135" t="s">
        <v>1681</v>
      </c>
      <c r="M304" s="130">
        <v>44666</v>
      </c>
      <c r="N304" s="129"/>
      <c r="O304" s="129"/>
      <c r="P304" s="129" t="s">
        <v>1682</v>
      </c>
      <c r="Q304" s="129"/>
      <c r="R304" s="454"/>
      <c r="S304" s="130"/>
      <c r="T304" s="129"/>
      <c r="U304" s="129">
        <v>0</v>
      </c>
      <c r="V304" s="129"/>
      <c r="W304" s="129"/>
    </row>
    <row r="305" spans="1:23" ht="22.5" customHeight="1" x14ac:dyDescent="0.25">
      <c r="A305" s="48">
        <v>87</v>
      </c>
      <c r="B305" s="129" t="s">
        <v>1684</v>
      </c>
      <c r="C305" s="129" t="s">
        <v>1554</v>
      </c>
      <c r="D305" s="129" t="s">
        <v>276</v>
      </c>
      <c r="E305" s="201">
        <v>1.3271999999999999</v>
      </c>
      <c r="F305" s="129">
        <v>20</v>
      </c>
      <c r="G305" s="129" t="s">
        <v>1574</v>
      </c>
      <c r="H305" s="129">
        <v>6.8228697599999999E-2</v>
      </c>
      <c r="I305" s="129" t="s">
        <v>272</v>
      </c>
      <c r="J305" s="135"/>
      <c r="K305" s="130"/>
      <c r="L305" s="135" t="s">
        <v>1685</v>
      </c>
      <c r="M305" s="130">
        <v>44686</v>
      </c>
      <c r="N305" s="472">
        <v>45146</v>
      </c>
      <c r="O305" s="129"/>
      <c r="P305" s="129" t="s">
        <v>1686</v>
      </c>
      <c r="Q305" s="129"/>
      <c r="R305" s="454"/>
      <c r="S305" s="130"/>
      <c r="T305" s="129"/>
      <c r="U305" s="129">
        <v>0</v>
      </c>
      <c r="V305" s="129"/>
      <c r="W305" s="129"/>
    </row>
    <row r="306" spans="1:23" ht="22.5" customHeight="1" x14ac:dyDescent="0.25">
      <c r="A306" s="48">
        <v>88</v>
      </c>
      <c r="B306" s="129" t="s">
        <v>1687</v>
      </c>
      <c r="C306" s="129" t="s">
        <v>1541</v>
      </c>
      <c r="D306" s="129" t="s">
        <v>276</v>
      </c>
      <c r="E306" s="201">
        <v>2.25</v>
      </c>
      <c r="F306" s="129">
        <v>20</v>
      </c>
      <c r="G306" s="129" t="s">
        <v>1472</v>
      </c>
      <c r="H306" s="129">
        <v>0.11566800000000001</v>
      </c>
      <c r="I306" s="129" t="s">
        <v>272</v>
      </c>
      <c r="J306" s="135"/>
      <c r="K306" s="130"/>
      <c r="L306" s="135" t="s">
        <v>1688</v>
      </c>
      <c r="M306" s="130">
        <v>44705</v>
      </c>
      <c r="N306" s="129"/>
      <c r="O306" s="129"/>
      <c r="P306" s="129"/>
      <c r="Q306" s="129"/>
      <c r="R306" s="454"/>
      <c r="S306" s="130"/>
      <c r="T306" s="129"/>
      <c r="U306" s="129">
        <v>0</v>
      </c>
      <c r="V306" s="129"/>
      <c r="W306" s="129"/>
    </row>
    <row r="307" spans="1:23" ht="22.5" customHeight="1" x14ac:dyDescent="0.25">
      <c r="A307" s="48">
        <v>89</v>
      </c>
      <c r="B307" s="129" t="s">
        <v>1689</v>
      </c>
      <c r="C307" s="129" t="s">
        <v>1554</v>
      </c>
      <c r="D307" s="129" t="s">
        <v>276</v>
      </c>
      <c r="E307" s="201">
        <v>5.3303100000000008</v>
      </c>
      <c r="F307" s="129" t="s">
        <v>177</v>
      </c>
      <c r="G307" s="129" t="s">
        <v>1690</v>
      </c>
      <c r="H307" s="129">
        <v>0.27402057648000006</v>
      </c>
      <c r="I307" s="129" t="s">
        <v>272</v>
      </c>
      <c r="J307" s="135"/>
      <c r="K307" s="130"/>
      <c r="L307" s="135" t="s">
        <v>1691</v>
      </c>
      <c r="M307" s="130">
        <v>44532</v>
      </c>
      <c r="N307" s="129"/>
      <c r="O307" s="129"/>
      <c r="P307" s="129"/>
      <c r="Q307" s="129"/>
      <c r="R307" s="454"/>
      <c r="S307" s="130"/>
      <c r="T307" s="129"/>
      <c r="U307" s="129">
        <v>0</v>
      </c>
      <c r="V307" s="129"/>
      <c r="W307" s="129"/>
    </row>
    <row r="308" spans="1:23" ht="22.5" customHeight="1" x14ac:dyDescent="0.25">
      <c r="A308" s="48">
        <v>90</v>
      </c>
      <c r="B308" s="129" t="s">
        <v>1687</v>
      </c>
      <c r="C308" s="129" t="s">
        <v>1692</v>
      </c>
      <c r="D308" s="129" t="s">
        <v>276</v>
      </c>
      <c r="E308" s="201">
        <v>2.2349999999999999</v>
      </c>
      <c r="F308" s="129" t="s">
        <v>177</v>
      </c>
      <c r="G308" s="129" t="s">
        <v>1472</v>
      </c>
      <c r="H308" s="129">
        <v>0.11489687999999999</v>
      </c>
      <c r="I308" s="129" t="s">
        <v>272</v>
      </c>
      <c r="J308" s="135"/>
      <c r="K308" s="130"/>
      <c r="L308" s="135" t="s">
        <v>1693</v>
      </c>
      <c r="M308" s="130">
        <v>44720</v>
      </c>
      <c r="N308" s="129"/>
      <c r="O308" s="129"/>
      <c r="P308" s="129"/>
      <c r="Q308" s="129"/>
      <c r="R308" s="454"/>
      <c r="S308" s="130"/>
      <c r="T308" s="129"/>
      <c r="U308" s="129">
        <v>0</v>
      </c>
      <c r="V308" s="129"/>
      <c r="W308" s="129"/>
    </row>
    <row r="309" spans="1:23" ht="22.5" customHeight="1" x14ac:dyDescent="0.25">
      <c r="A309" s="48">
        <v>91</v>
      </c>
      <c r="B309" s="129" t="s">
        <v>1761</v>
      </c>
      <c r="C309" s="129" t="s">
        <v>1554</v>
      </c>
      <c r="D309" s="129" t="s">
        <v>274</v>
      </c>
      <c r="E309" s="201">
        <v>1.08</v>
      </c>
      <c r="F309" s="129">
        <v>20</v>
      </c>
      <c r="G309" s="129" t="s">
        <v>1472</v>
      </c>
      <c r="H309" s="178">
        <v>5.5520640000000003E-2</v>
      </c>
      <c r="I309" s="130" t="s">
        <v>272</v>
      </c>
      <c r="J309" s="135"/>
      <c r="K309" s="130"/>
      <c r="L309" s="135" t="s">
        <v>1762</v>
      </c>
      <c r="M309" s="130">
        <v>44813</v>
      </c>
      <c r="N309" s="130"/>
      <c r="O309" s="129"/>
      <c r="P309" s="129"/>
      <c r="Q309" s="129"/>
      <c r="R309" s="454"/>
      <c r="S309" s="130"/>
      <c r="T309" s="129"/>
      <c r="U309" s="178">
        <v>0</v>
      </c>
      <c r="V309" s="129"/>
      <c r="W309" s="48"/>
    </row>
    <row r="310" spans="1:23" ht="22.5" customHeight="1" x14ac:dyDescent="0.25">
      <c r="A310" s="48">
        <v>92</v>
      </c>
      <c r="B310" s="129" t="s">
        <v>1763</v>
      </c>
      <c r="C310" s="129" t="s">
        <v>1558</v>
      </c>
      <c r="D310" s="129" t="s">
        <v>274</v>
      </c>
      <c r="E310" s="201">
        <v>3.6518999999999999</v>
      </c>
      <c r="F310" s="129">
        <v>20</v>
      </c>
      <c r="G310" s="129" t="s">
        <v>281</v>
      </c>
      <c r="H310" s="178">
        <v>0.18773687520000001</v>
      </c>
      <c r="I310" s="130" t="s">
        <v>272</v>
      </c>
      <c r="J310" s="135"/>
      <c r="K310" s="130"/>
      <c r="L310" s="135" t="s">
        <v>1764</v>
      </c>
      <c r="M310" s="130">
        <v>44769</v>
      </c>
      <c r="N310" s="130"/>
      <c r="O310" s="129"/>
      <c r="P310" s="129" t="s">
        <v>1765</v>
      </c>
      <c r="Q310" s="129"/>
      <c r="R310" s="454"/>
      <c r="S310" s="130"/>
      <c r="T310" s="129"/>
      <c r="U310" s="178">
        <v>0</v>
      </c>
      <c r="V310" s="129"/>
      <c r="W310" s="48"/>
    </row>
    <row r="311" spans="1:23" ht="22.5" customHeight="1" x14ac:dyDescent="0.25">
      <c r="A311" s="48">
        <v>93</v>
      </c>
      <c r="B311" s="129" t="s">
        <v>1766</v>
      </c>
      <c r="C311" s="129" t="s">
        <v>1767</v>
      </c>
      <c r="D311" s="129" t="s">
        <v>276</v>
      </c>
      <c r="E311" s="201">
        <v>1.58</v>
      </c>
      <c r="F311" s="129">
        <v>20</v>
      </c>
      <c r="G311" s="129" t="s">
        <v>1768</v>
      </c>
      <c r="H311" s="178">
        <v>0.27302400000000004</v>
      </c>
      <c r="I311" s="130" t="s">
        <v>272</v>
      </c>
      <c r="J311" s="135" t="s">
        <v>1769</v>
      </c>
      <c r="K311" s="130">
        <v>44778</v>
      </c>
      <c r="L311" s="135"/>
      <c r="M311" s="130"/>
      <c r="N311" s="130"/>
      <c r="O311" s="129"/>
      <c r="P311" s="129"/>
      <c r="Q311" s="129"/>
      <c r="R311" s="454"/>
      <c r="S311" s="130"/>
      <c r="T311" s="129"/>
      <c r="U311" s="178">
        <v>0</v>
      </c>
      <c r="V311" s="129"/>
      <c r="W311" s="48"/>
    </row>
    <row r="312" spans="1:23" ht="22.5" customHeight="1" x14ac:dyDescent="0.25">
      <c r="A312" s="48">
        <v>94</v>
      </c>
      <c r="B312" s="129" t="s">
        <v>1770</v>
      </c>
      <c r="C312" s="129" t="s">
        <v>1771</v>
      </c>
      <c r="D312" s="129" t="s">
        <v>276</v>
      </c>
      <c r="E312" s="201">
        <v>1.7</v>
      </c>
      <c r="F312" s="129">
        <v>20</v>
      </c>
      <c r="G312" s="129" t="s">
        <v>1772</v>
      </c>
      <c r="H312" s="178">
        <v>0.29376000000000002</v>
      </c>
      <c r="I312" s="130" t="s">
        <v>272</v>
      </c>
      <c r="J312" s="135" t="s">
        <v>1773</v>
      </c>
      <c r="K312" s="130">
        <v>44806</v>
      </c>
      <c r="L312" s="470" t="s">
        <v>1773</v>
      </c>
      <c r="M312" s="472">
        <v>45086</v>
      </c>
      <c r="N312" s="130"/>
      <c r="O312" s="129"/>
      <c r="P312" s="129"/>
      <c r="Q312" s="129"/>
      <c r="R312" s="454"/>
      <c r="S312" s="130"/>
      <c r="T312" s="179"/>
      <c r="U312" s="178">
        <v>0</v>
      </c>
      <c r="V312" s="129"/>
      <c r="W312" s="48"/>
    </row>
    <row r="313" spans="1:23" ht="22.5" customHeight="1" x14ac:dyDescent="0.25">
      <c r="A313" s="48">
        <v>95</v>
      </c>
      <c r="B313" s="129" t="s">
        <v>1774</v>
      </c>
      <c r="C313" s="129" t="s">
        <v>1775</v>
      </c>
      <c r="D313" s="129" t="s">
        <v>276</v>
      </c>
      <c r="E313" s="201">
        <v>2.0878000000000001</v>
      </c>
      <c r="F313" s="129">
        <v>20</v>
      </c>
      <c r="G313" s="129" t="s">
        <v>1430</v>
      </c>
      <c r="H313" s="178">
        <v>0.1073296224</v>
      </c>
      <c r="I313" s="130" t="s">
        <v>272</v>
      </c>
      <c r="J313" s="135"/>
      <c r="K313" s="130"/>
      <c r="L313" s="135" t="s">
        <v>1776</v>
      </c>
      <c r="M313" s="130">
        <v>44802</v>
      </c>
      <c r="N313" s="130"/>
      <c r="O313" s="129"/>
      <c r="P313" s="129"/>
      <c r="Q313" s="129"/>
      <c r="R313" s="454"/>
      <c r="S313" s="130"/>
      <c r="T313" s="129"/>
      <c r="U313" s="178">
        <v>0</v>
      </c>
      <c r="V313" s="129"/>
      <c r="W313" s="48"/>
    </row>
    <row r="314" spans="1:23" ht="22.5" customHeight="1" x14ac:dyDescent="0.25">
      <c r="A314" s="48">
        <v>96</v>
      </c>
      <c r="B314" s="129" t="s">
        <v>1648</v>
      </c>
      <c r="C314" s="129" t="s">
        <v>1811</v>
      </c>
      <c r="D314" s="129" t="s">
        <v>276</v>
      </c>
      <c r="E314" s="201">
        <v>1.4</v>
      </c>
      <c r="F314" s="129" t="s">
        <v>177</v>
      </c>
      <c r="G314" s="129" t="s">
        <v>1650</v>
      </c>
      <c r="H314" s="178">
        <v>7.7759999999999996E-2</v>
      </c>
      <c r="I314" s="130" t="s">
        <v>272</v>
      </c>
      <c r="J314" s="135" t="s">
        <v>1812</v>
      </c>
      <c r="K314" s="130">
        <v>44827</v>
      </c>
      <c r="L314" s="470" t="s">
        <v>1812</v>
      </c>
      <c r="M314" s="472">
        <v>44840</v>
      </c>
      <c r="N314" s="130"/>
      <c r="O314" s="129"/>
      <c r="P314" s="129"/>
      <c r="Q314" s="129"/>
      <c r="R314" s="454"/>
      <c r="S314" s="130"/>
      <c r="T314" s="129"/>
      <c r="U314" s="178">
        <v>0.95</v>
      </c>
      <c r="V314" s="129"/>
      <c r="W314" s="48"/>
    </row>
    <row r="315" spans="1:23" ht="22.5" customHeight="1" x14ac:dyDescent="0.25">
      <c r="A315" s="48">
        <v>97</v>
      </c>
      <c r="B315" s="129" t="s">
        <v>1813</v>
      </c>
      <c r="C315" s="129" t="s">
        <v>964</v>
      </c>
      <c r="D315" s="129" t="s">
        <v>276</v>
      </c>
      <c r="E315" s="201">
        <v>1.06</v>
      </c>
      <c r="F315" s="129" t="s">
        <v>177</v>
      </c>
      <c r="G315" s="129" t="s">
        <v>1472</v>
      </c>
      <c r="H315" s="178">
        <v>5.1840000000000011E-2</v>
      </c>
      <c r="I315" s="130" t="s">
        <v>272</v>
      </c>
      <c r="J315" s="135" t="s">
        <v>1814</v>
      </c>
      <c r="K315" s="130">
        <v>44825</v>
      </c>
      <c r="L315" s="135" t="s">
        <v>1814</v>
      </c>
      <c r="M315" s="130">
        <v>44827</v>
      </c>
      <c r="N315" s="130"/>
      <c r="O315" s="129"/>
      <c r="P315" s="129"/>
      <c r="Q315" s="129"/>
      <c r="R315" s="454"/>
      <c r="S315" s="130"/>
      <c r="T315" s="129"/>
      <c r="U315" s="178">
        <v>0.76</v>
      </c>
      <c r="V315" s="129"/>
      <c r="W315" s="48"/>
    </row>
    <row r="316" spans="1:23" ht="22.5" customHeight="1" x14ac:dyDescent="0.25">
      <c r="A316" s="48">
        <v>98</v>
      </c>
      <c r="B316" s="129" t="s">
        <v>1815</v>
      </c>
      <c r="C316" s="129" t="s">
        <v>1816</v>
      </c>
      <c r="D316" s="129" t="s">
        <v>274</v>
      </c>
      <c r="E316" s="201">
        <v>1.0029999999999999</v>
      </c>
      <c r="F316" s="129">
        <v>10</v>
      </c>
      <c r="G316" s="129" t="s">
        <v>1414</v>
      </c>
      <c r="H316" s="178">
        <v>0.1387584</v>
      </c>
      <c r="I316" s="130" t="s">
        <v>272</v>
      </c>
      <c r="J316" s="135" t="s">
        <v>1817</v>
      </c>
      <c r="K316" s="130">
        <v>44803</v>
      </c>
      <c r="L316" s="135"/>
      <c r="M316" s="130"/>
      <c r="N316" s="130"/>
      <c r="O316" s="129"/>
      <c r="P316" s="129"/>
      <c r="Q316" s="129"/>
      <c r="R316" s="454"/>
      <c r="S316" s="130"/>
      <c r="T316" s="129"/>
      <c r="U316" s="178">
        <v>0.2</v>
      </c>
      <c r="V316" s="129"/>
      <c r="W316" s="48"/>
    </row>
    <row r="317" spans="1:23" ht="22.5" customHeight="1" x14ac:dyDescent="0.25">
      <c r="A317" s="48">
        <v>99</v>
      </c>
      <c r="B317" s="201" t="s">
        <v>1602</v>
      </c>
      <c r="C317" s="201" t="s">
        <v>1603</v>
      </c>
      <c r="D317" s="201" t="s">
        <v>274</v>
      </c>
      <c r="E317" s="201">
        <v>1.9155499999999999</v>
      </c>
      <c r="F317" s="201" t="s">
        <v>177</v>
      </c>
      <c r="G317" s="201" t="s">
        <v>1472</v>
      </c>
      <c r="H317" s="205">
        <v>9.8474594400000004E-2</v>
      </c>
      <c r="I317" s="201" t="s">
        <v>272</v>
      </c>
      <c r="J317" s="213"/>
      <c r="K317" s="206"/>
      <c r="L317" s="213" t="s">
        <v>1604</v>
      </c>
      <c r="M317" s="206">
        <v>44412</v>
      </c>
      <c r="N317" s="201"/>
      <c r="O317" s="201"/>
      <c r="P317" s="201"/>
      <c r="Q317" s="201"/>
      <c r="R317" s="791"/>
      <c r="S317" s="206"/>
      <c r="T317" s="201"/>
      <c r="U317" s="201">
        <v>0</v>
      </c>
      <c r="V317" s="201"/>
      <c r="W317" s="201"/>
    </row>
    <row r="318" spans="1:23" ht="22.5" customHeight="1" x14ac:dyDescent="0.25">
      <c r="A318" s="48">
        <v>100</v>
      </c>
      <c r="B318" s="201" t="s">
        <v>1861</v>
      </c>
      <c r="C318" s="201" t="s">
        <v>1862</v>
      </c>
      <c r="D318" s="201" t="s">
        <v>276</v>
      </c>
      <c r="E318" s="201">
        <v>5.0999999999999996</v>
      </c>
      <c r="F318" s="201" t="s">
        <v>177</v>
      </c>
      <c r="G318" s="201" t="s">
        <v>1640</v>
      </c>
      <c r="H318" s="205">
        <v>0.39657599999999993</v>
      </c>
      <c r="I318" s="201" t="s">
        <v>272</v>
      </c>
      <c r="J318" s="201" t="s">
        <v>1863</v>
      </c>
      <c r="K318" s="206">
        <v>44852</v>
      </c>
      <c r="L318" s="255" t="s">
        <v>1863</v>
      </c>
      <c r="M318" s="333">
        <v>45016</v>
      </c>
      <c r="N318" s="333">
        <v>45174</v>
      </c>
      <c r="O318" s="201"/>
      <c r="P318" s="201"/>
      <c r="Q318" s="201"/>
      <c r="R318" s="792" t="s">
        <v>3852</v>
      </c>
      <c r="S318" s="494">
        <v>45201</v>
      </c>
      <c r="T318" s="506">
        <v>5.0999999999999996</v>
      </c>
      <c r="U318" s="201">
        <v>2.8050000000000002</v>
      </c>
      <c r="V318" s="201"/>
      <c r="W318" s="201"/>
    </row>
    <row r="319" spans="1:23" ht="22.5" customHeight="1" x14ac:dyDescent="0.25">
      <c r="A319" s="48">
        <v>101</v>
      </c>
      <c r="B319" s="201" t="s">
        <v>1864</v>
      </c>
      <c r="C319" s="201" t="s">
        <v>1865</v>
      </c>
      <c r="D319" s="201" t="s">
        <v>274</v>
      </c>
      <c r="E319" s="201">
        <v>1.32</v>
      </c>
      <c r="F319" s="201" t="s">
        <v>1369</v>
      </c>
      <c r="G319" s="201" t="s">
        <v>1024</v>
      </c>
      <c r="H319" s="205">
        <v>0.22809600000000002</v>
      </c>
      <c r="I319" s="201" t="s">
        <v>272</v>
      </c>
      <c r="J319" s="201"/>
      <c r="K319" s="201"/>
      <c r="L319" s="201" t="s">
        <v>1866</v>
      </c>
      <c r="M319" s="206">
        <v>44855</v>
      </c>
      <c r="N319" s="201"/>
      <c r="O319" s="201"/>
      <c r="P319" s="201"/>
      <c r="Q319" s="201"/>
      <c r="R319" s="791"/>
      <c r="S319" s="206"/>
      <c r="T319" s="201"/>
      <c r="U319" s="201">
        <v>0</v>
      </c>
      <c r="V319" s="201"/>
      <c r="W319" s="201"/>
    </row>
    <row r="320" spans="1:23" ht="22.5" customHeight="1" x14ac:dyDescent="0.25">
      <c r="A320" s="48">
        <v>102</v>
      </c>
      <c r="B320" s="201" t="s">
        <v>1915</v>
      </c>
      <c r="C320" s="201" t="s">
        <v>130</v>
      </c>
      <c r="D320" s="201" t="s">
        <v>274</v>
      </c>
      <c r="E320" s="201">
        <v>1.78</v>
      </c>
      <c r="F320" s="201" t="s">
        <v>183</v>
      </c>
      <c r="G320" s="201" t="s">
        <v>1916</v>
      </c>
      <c r="H320" s="205">
        <v>0.117504</v>
      </c>
      <c r="I320" s="201" t="s">
        <v>272</v>
      </c>
      <c r="J320" s="201" t="s">
        <v>1917</v>
      </c>
      <c r="K320" s="206">
        <v>44868</v>
      </c>
      <c r="L320" s="201"/>
      <c r="M320" s="201"/>
      <c r="N320" s="201"/>
      <c r="O320" s="201"/>
      <c r="P320" s="201"/>
      <c r="Q320" s="201"/>
      <c r="R320" s="791"/>
      <c r="S320" s="206"/>
      <c r="T320" s="201"/>
      <c r="U320" s="201">
        <v>1.1000000000000001</v>
      </c>
      <c r="V320" s="201"/>
      <c r="W320" s="201"/>
    </row>
    <row r="321" spans="1:23" ht="22.5" customHeight="1" x14ac:dyDescent="0.25">
      <c r="A321" s="48">
        <v>103</v>
      </c>
      <c r="B321" s="201" t="s">
        <v>1918</v>
      </c>
      <c r="C321" s="201" t="s">
        <v>1919</v>
      </c>
      <c r="D321" s="201" t="s">
        <v>276</v>
      </c>
      <c r="E321" s="201">
        <v>1.86</v>
      </c>
      <c r="F321" s="201" t="s">
        <v>177</v>
      </c>
      <c r="G321" s="201" t="s">
        <v>1650</v>
      </c>
      <c r="H321" s="205">
        <v>0.15552000000000002</v>
      </c>
      <c r="I321" s="201" t="s">
        <v>272</v>
      </c>
      <c r="J321" s="201">
        <v>12203619</v>
      </c>
      <c r="K321" s="206">
        <v>44859</v>
      </c>
      <c r="L321" s="201" t="s">
        <v>1920</v>
      </c>
      <c r="M321" s="206">
        <v>44867</v>
      </c>
      <c r="N321" s="333">
        <v>44977</v>
      </c>
      <c r="O321" s="201"/>
      <c r="P321" s="201"/>
      <c r="Q321" s="201"/>
      <c r="R321" s="791"/>
      <c r="S321" s="206"/>
      <c r="T321" s="201"/>
      <c r="U321" s="201">
        <v>0.96</v>
      </c>
      <c r="V321" s="201"/>
      <c r="W321" s="201"/>
    </row>
    <row r="322" spans="1:23" ht="22.5" customHeight="1" x14ac:dyDescent="0.25">
      <c r="A322" s="48">
        <v>104</v>
      </c>
      <c r="B322" s="201" t="s">
        <v>1921</v>
      </c>
      <c r="C322" s="201" t="s">
        <v>1922</v>
      </c>
      <c r="D322" s="201" t="s">
        <v>274</v>
      </c>
      <c r="E322" s="201">
        <v>1.484</v>
      </c>
      <c r="F322" s="201" t="s">
        <v>177</v>
      </c>
      <c r="G322" s="201" t="s">
        <v>1544</v>
      </c>
      <c r="H322" s="205">
        <v>0.23604480000000003</v>
      </c>
      <c r="I322" s="201" t="s">
        <v>272</v>
      </c>
      <c r="J322" s="201" t="s">
        <v>1923</v>
      </c>
      <c r="K322" s="206">
        <v>44862</v>
      </c>
      <c r="L322" s="201"/>
      <c r="M322" s="206"/>
      <c r="N322" s="201"/>
      <c r="O322" s="201"/>
      <c r="P322" s="201"/>
      <c r="Q322" s="201"/>
      <c r="R322" s="791"/>
      <c r="S322" s="206"/>
      <c r="T322" s="201"/>
      <c r="U322" s="201">
        <v>0.11799999999999999</v>
      </c>
      <c r="V322" s="201"/>
      <c r="W322" s="201"/>
    </row>
    <row r="323" spans="1:23" ht="22.5" customHeight="1" x14ac:dyDescent="0.25">
      <c r="A323" s="48">
        <v>105</v>
      </c>
      <c r="B323" s="255" t="s">
        <v>1478</v>
      </c>
      <c r="C323" s="201" t="s">
        <v>1924</v>
      </c>
      <c r="D323" s="201" t="s">
        <v>274</v>
      </c>
      <c r="E323" s="201">
        <v>1.0329999999999999</v>
      </c>
      <c r="F323" s="201" t="s">
        <v>177</v>
      </c>
      <c r="G323" s="201" t="s">
        <v>280</v>
      </c>
      <c r="H323" s="205">
        <v>0.17850240000000001</v>
      </c>
      <c r="I323" s="201" t="s">
        <v>272</v>
      </c>
      <c r="J323" s="201" t="s">
        <v>1925</v>
      </c>
      <c r="K323" s="206">
        <v>44869</v>
      </c>
      <c r="L323" s="255" t="s">
        <v>1925</v>
      </c>
      <c r="M323" s="333">
        <v>45036</v>
      </c>
      <c r="N323" s="201"/>
      <c r="O323" s="201"/>
      <c r="P323" s="201"/>
      <c r="Q323" s="201"/>
      <c r="R323" s="791"/>
      <c r="S323" s="206"/>
      <c r="T323" s="201"/>
      <c r="U323" s="201">
        <v>0</v>
      </c>
      <c r="V323" s="201"/>
      <c r="W323" s="201"/>
    </row>
    <row r="324" spans="1:23" ht="22.5" customHeight="1" x14ac:dyDescent="0.25">
      <c r="A324" s="48">
        <v>106</v>
      </c>
      <c r="B324" s="255" t="s">
        <v>1926</v>
      </c>
      <c r="C324" s="201" t="s">
        <v>1927</v>
      </c>
      <c r="D324" s="201" t="s">
        <v>276</v>
      </c>
      <c r="E324" s="201">
        <v>1.56</v>
      </c>
      <c r="F324" s="201" t="s">
        <v>177</v>
      </c>
      <c r="G324" s="201" t="s">
        <v>1683</v>
      </c>
      <c r="H324" s="205">
        <v>0.21427200000000002</v>
      </c>
      <c r="I324" s="201" t="s">
        <v>272</v>
      </c>
      <c r="J324" s="201" t="s">
        <v>1928</v>
      </c>
      <c r="K324" s="206">
        <v>44868</v>
      </c>
      <c r="L324" s="201"/>
      <c r="M324" s="206"/>
      <c r="N324" s="201"/>
      <c r="O324" s="201"/>
      <c r="P324" s="201"/>
      <c r="Q324" s="201"/>
      <c r="R324" s="791"/>
      <c r="S324" s="206"/>
      <c r="T324" s="201"/>
      <c r="U324" s="201">
        <v>0.32</v>
      </c>
      <c r="V324" s="201"/>
      <c r="W324" s="201"/>
    </row>
    <row r="325" spans="1:23" ht="22.5" customHeight="1" x14ac:dyDescent="0.25">
      <c r="A325" s="48">
        <v>107</v>
      </c>
      <c r="B325" s="255" t="s">
        <v>1929</v>
      </c>
      <c r="C325" s="201" t="s">
        <v>1930</v>
      </c>
      <c r="D325" s="201" t="s">
        <v>276</v>
      </c>
      <c r="E325" s="201">
        <v>1.038</v>
      </c>
      <c r="F325" s="201" t="s">
        <v>177</v>
      </c>
      <c r="G325" s="201" t="s">
        <v>1472</v>
      </c>
      <c r="H325" s="205">
        <v>0.17936640000000001</v>
      </c>
      <c r="I325" s="201" t="s">
        <v>272</v>
      </c>
      <c r="J325" s="201"/>
      <c r="K325" s="201"/>
      <c r="L325" s="201" t="s">
        <v>1931</v>
      </c>
      <c r="M325" s="206">
        <v>44875</v>
      </c>
      <c r="N325" s="201"/>
      <c r="O325" s="201"/>
      <c r="P325" s="201"/>
      <c r="Q325" s="201"/>
      <c r="R325" s="791"/>
      <c r="S325" s="206"/>
      <c r="T325" s="201"/>
      <c r="U325" s="201">
        <v>0</v>
      </c>
      <c r="V325" s="201"/>
      <c r="W325" s="201"/>
    </row>
    <row r="326" spans="1:23" ht="22.5" customHeight="1" x14ac:dyDescent="0.25">
      <c r="A326" s="48">
        <v>108</v>
      </c>
      <c r="B326" s="255" t="s">
        <v>1687</v>
      </c>
      <c r="C326" s="201" t="s">
        <v>1932</v>
      </c>
      <c r="D326" s="201" t="s">
        <v>276</v>
      </c>
      <c r="E326" s="201">
        <v>2.1150000000000002</v>
      </c>
      <c r="F326" s="201" t="s">
        <v>177</v>
      </c>
      <c r="G326" s="201" t="s">
        <v>1472</v>
      </c>
      <c r="H326" s="205">
        <v>0.36547200000000007</v>
      </c>
      <c r="I326" s="201" t="s">
        <v>272</v>
      </c>
      <c r="J326" s="201"/>
      <c r="K326" s="201"/>
      <c r="L326" s="201" t="s">
        <v>1933</v>
      </c>
      <c r="M326" s="206">
        <v>44855</v>
      </c>
      <c r="N326" s="201"/>
      <c r="O326" s="201"/>
      <c r="P326" s="201"/>
      <c r="Q326" s="201"/>
      <c r="R326" s="791"/>
      <c r="S326" s="206"/>
      <c r="T326" s="201"/>
      <c r="U326" s="201">
        <v>0</v>
      </c>
      <c r="V326" s="201"/>
      <c r="W326" s="201"/>
    </row>
    <row r="327" spans="1:23" ht="22.5" customHeight="1" x14ac:dyDescent="0.25">
      <c r="A327" s="48">
        <v>109</v>
      </c>
      <c r="B327" s="255" t="s">
        <v>1934</v>
      </c>
      <c r="C327" s="201" t="s">
        <v>1935</v>
      </c>
      <c r="D327" s="201" t="s">
        <v>274</v>
      </c>
      <c r="E327" s="201">
        <v>1.8882999999999999</v>
      </c>
      <c r="F327" s="201" t="s">
        <v>177</v>
      </c>
      <c r="G327" s="201" t="s">
        <v>279</v>
      </c>
      <c r="H327" s="205">
        <v>0.32629824000000002</v>
      </c>
      <c r="I327" s="201" t="s">
        <v>272</v>
      </c>
      <c r="J327" s="201"/>
      <c r="K327" s="201"/>
      <c r="L327" s="201" t="s">
        <v>1936</v>
      </c>
      <c r="M327" s="206">
        <v>44853</v>
      </c>
      <c r="N327" s="201"/>
      <c r="O327" s="201"/>
      <c r="P327" s="201"/>
      <c r="Q327" s="201"/>
      <c r="R327" s="791"/>
      <c r="S327" s="206"/>
      <c r="T327" s="201"/>
      <c r="U327" s="201">
        <v>0</v>
      </c>
      <c r="V327" s="201"/>
      <c r="W327" s="201"/>
    </row>
    <row r="328" spans="1:23" ht="22.5" customHeight="1" x14ac:dyDescent="0.25">
      <c r="A328" s="48">
        <v>110</v>
      </c>
      <c r="B328" s="255" t="s">
        <v>2068</v>
      </c>
      <c r="C328" s="201" t="s">
        <v>2069</v>
      </c>
      <c r="D328" s="201" t="s">
        <v>276</v>
      </c>
      <c r="E328" s="201">
        <v>1.3360000000000001</v>
      </c>
      <c r="F328" s="201" t="s">
        <v>177</v>
      </c>
      <c r="G328" s="201" t="s">
        <v>1690</v>
      </c>
      <c r="H328" s="205">
        <v>6.8681088000000001E-2</v>
      </c>
      <c r="I328" s="201" t="s">
        <v>272</v>
      </c>
      <c r="J328" s="201"/>
      <c r="K328" s="201"/>
      <c r="L328" s="201" t="s">
        <v>2070</v>
      </c>
      <c r="M328" s="206">
        <v>44419</v>
      </c>
      <c r="N328" s="201"/>
      <c r="O328" s="201"/>
      <c r="P328" s="201"/>
      <c r="Q328" s="201"/>
      <c r="R328" s="791"/>
      <c r="S328" s="206"/>
      <c r="T328" s="201"/>
      <c r="U328" s="201">
        <v>0</v>
      </c>
      <c r="V328" s="201"/>
      <c r="W328" s="201"/>
    </row>
    <row r="329" spans="1:23" ht="22.5" customHeight="1" x14ac:dyDescent="0.25">
      <c r="A329" s="48">
        <v>111</v>
      </c>
      <c r="B329" s="255" t="s">
        <v>2071</v>
      </c>
      <c r="C329" s="201" t="s">
        <v>2071</v>
      </c>
      <c r="D329" s="201" t="s">
        <v>274</v>
      </c>
      <c r="E329" s="201">
        <v>2</v>
      </c>
      <c r="F329" s="201" t="s">
        <v>177</v>
      </c>
      <c r="G329" s="201" t="s">
        <v>1574</v>
      </c>
      <c r="H329" s="205">
        <v>0.34560000000000002</v>
      </c>
      <c r="I329" s="201" t="s">
        <v>272</v>
      </c>
      <c r="J329" s="201" t="s">
        <v>2072</v>
      </c>
      <c r="K329" s="206">
        <v>44904</v>
      </c>
      <c r="L329" s="201"/>
      <c r="M329" s="201"/>
      <c r="N329" s="201"/>
      <c r="O329" s="201"/>
      <c r="P329" s="201"/>
      <c r="Q329" s="201"/>
      <c r="R329" s="791"/>
      <c r="S329" s="206"/>
      <c r="T329" s="201"/>
      <c r="U329" s="201">
        <v>0</v>
      </c>
      <c r="V329" s="201"/>
      <c r="W329" s="201"/>
    </row>
    <row r="330" spans="1:23" ht="22.5" customHeight="1" x14ac:dyDescent="0.25">
      <c r="A330" s="48">
        <v>112</v>
      </c>
      <c r="B330" s="255" t="s">
        <v>2073</v>
      </c>
      <c r="C330" s="201" t="s">
        <v>2074</v>
      </c>
      <c r="D330" s="201" t="s">
        <v>276</v>
      </c>
      <c r="E330" s="201">
        <v>2</v>
      </c>
      <c r="F330" s="201" t="s">
        <v>177</v>
      </c>
      <c r="G330" s="201" t="s">
        <v>1614</v>
      </c>
      <c r="H330" s="205">
        <v>0.34560000000000002</v>
      </c>
      <c r="I330" s="201" t="s">
        <v>272</v>
      </c>
      <c r="J330" s="201" t="s">
        <v>2075</v>
      </c>
      <c r="K330" s="206">
        <v>44911</v>
      </c>
      <c r="L330" s="201"/>
      <c r="M330" s="201"/>
      <c r="N330" s="201"/>
      <c r="O330" s="201"/>
      <c r="P330" s="201"/>
      <c r="Q330" s="201"/>
      <c r="R330" s="791"/>
      <c r="S330" s="206"/>
      <c r="T330" s="201"/>
      <c r="U330" s="201">
        <v>0</v>
      </c>
      <c r="V330" s="201"/>
      <c r="W330" s="201"/>
    </row>
    <row r="331" spans="1:23" ht="22.5" customHeight="1" x14ac:dyDescent="0.25">
      <c r="A331" s="48">
        <v>113</v>
      </c>
      <c r="B331" s="255" t="s">
        <v>2076</v>
      </c>
      <c r="C331" s="201" t="s">
        <v>1403</v>
      </c>
      <c r="D331" s="201" t="s">
        <v>276</v>
      </c>
      <c r="E331" s="201">
        <v>2.95</v>
      </c>
      <c r="F331" s="201" t="s">
        <v>177</v>
      </c>
      <c r="G331" s="201" t="s">
        <v>1772</v>
      </c>
      <c r="H331" s="205">
        <v>0.16416000000000003</v>
      </c>
      <c r="I331" s="201" t="s">
        <v>272</v>
      </c>
      <c r="J331" s="201" t="s">
        <v>2077</v>
      </c>
      <c r="K331" s="206">
        <v>44909</v>
      </c>
      <c r="L331" s="333" t="s">
        <v>3702</v>
      </c>
      <c r="M331" s="333">
        <v>45019</v>
      </c>
      <c r="N331" s="201"/>
      <c r="O331" s="201"/>
      <c r="P331" s="201"/>
      <c r="Q331" s="201"/>
      <c r="R331" s="791"/>
      <c r="S331" s="206"/>
      <c r="T331" s="201"/>
      <c r="U331" s="201">
        <v>0</v>
      </c>
      <c r="V331" s="201"/>
      <c r="W331" s="201"/>
    </row>
    <row r="332" spans="1:23" ht="22.5" customHeight="1" x14ac:dyDescent="0.25">
      <c r="A332" s="48">
        <v>114</v>
      </c>
      <c r="B332" s="255" t="s">
        <v>2078</v>
      </c>
      <c r="C332" s="201" t="s">
        <v>2079</v>
      </c>
      <c r="D332" s="201" t="s">
        <v>274</v>
      </c>
      <c r="E332" s="201">
        <v>1.4163299999999999</v>
      </c>
      <c r="F332" s="201" t="s">
        <v>183</v>
      </c>
      <c r="G332" s="201" t="s">
        <v>1472</v>
      </c>
      <c r="H332" s="205">
        <v>0.12032582399999998</v>
      </c>
      <c r="I332" s="201" t="s">
        <v>272</v>
      </c>
      <c r="J332" s="201" t="s">
        <v>2080</v>
      </c>
      <c r="K332" s="206">
        <v>44909</v>
      </c>
      <c r="L332" s="201"/>
      <c r="M332" s="201"/>
      <c r="N332" s="201"/>
      <c r="O332" s="201"/>
      <c r="P332" s="201"/>
      <c r="Q332" s="201"/>
      <c r="R332" s="791"/>
      <c r="S332" s="206"/>
      <c r="T332" s="201"/>
      <c r="U332" s="201">
        <v>0</v>
      </c>
      <c r="V332" s="201"/>
      <c r="W332" s="201"/>
    </row>
    <row r="333" spans="1:23" ht="22.5" customHeight="1" x14ac:dyDescent="0.25">
      <c r="A333" s="48">
        <v>115</v>
      </c>
      <c r="B333" s="255" t="s">
        <v>2081</v>
      </c>
      <c r="C333" s="201" t="s">
        <v>2082</v>
      </c>
      <c r="D333" s="201" t="s">
        <v>274</v>
      </c>
      <c r="E333" s="201">
        <v>1.2</v>
      </c>
      <c r="F333" s="201" t="s">
        <v>183</v>
      </c>
      <c r="G333" s="201" t="s">
        <v>1916</v>
      </c>
      <c r="H333" s="205">
        <v>7.7759999999999996E-2</v>
      </c>
      <c r="I333" s="201" t="s">
        <v>272</v>
      </c>
      <c r="J333" s="201" t="s">
        <v>2083</v>
      </c>
      <c r="K333" s="206">
        <v>44915</v>
      </c>
      <c r="L333" s="333" t="s">
        <v>2083</v>
      </c>
      <c r="M333" s="333">
        <v>45051</v>
      </c>
      <c r="N333" s="201"/>
      <c r="O333" s="201"/>
      <c r="P333" s="201"/>
      <c r="Q333" s="201"/>
      <c r="R333" s="791"/>
      <c r="S333" s="206"/>
      <c r="T333" s="201"/>
      <c r="U333" s="201">
        <v>0</v>
      </c>
      <c r="V333" s="201"/>
      <c r="W333" s="201"/>
    </row>
    <row r="334" spans="1:23" ht="22.5" customHeight="1" x14ac:dyDescent="0.25">
      <c r="A334" s="48">
        <v>116</v>
      </c>
      <c r="B334" s="255" t="s">
        <v>2084</v>
      </c>
      <c r="C334" s="201" t="s">
        <v>2085</v>
      </c>
      <c r="D334" s="201" t="s">
        <v>274</v>
      </c>
      <c r="E334" s="201">
        <v>1.3280000000000001</v>
      </c>
      <c r="F334" s="201" t="s">
        <v>183</v>
      </c>
      <c r="G334" s="201" t="s">
        <v>1527</v>
      </c>
      <c r="H334" s="205">
        <v>6.8269824000000007E-2</v>
      </c>
      <c r="I334" s="201" t="s">
        <v>272</v>
      </c>
      <c r="J334" s="201"/>
      <c r="K334" s="201"/>
      <c r="L334" s="201" t="s">
        <v>2086</v>
      </c>
      <c r="M334" s="206">
        <v>44910</v>
      </c>
      <c r="N334" s="333">
        <v>45103</v>
      </c>
      <c r="O334" s="201"/>
      <c r="P334" s="201"/>
      <c r="Q334" s="201"/>
      <c r="R334" s="791"/>
      <c r="S334" s="206"/>
      <c r="T334" s="201"/>
      <c r="U334" s="201">
        <v>0</v>
      </c>
      <c r="V334" s="201"/>
      <c r="W334" s="201"/>
    </row>
    <row r="335" spans="1:23" ht="22.5" customHeight="1" x14ac:dyDescent="0.25">
      <c r="A335" s="48">
        <v>117</v>
      </c>
      <c r="B335" s="255" t="s">
        <v>2267</v>
      </c>
      <c r="C335" s="201" t="s">
        <v>2268</v>
      </c>
      <c r="D335" s="201" t="s">
        <v>276</v>
      </c>
      <c r="E335" s="201">
        <v>1.4970000000000001</v>
      </c>
      <c r="F335" s="201" t="s">
        <v>177</v>
      </c>
      <c r="G335" s="201" t="s">
        <v>2269</v>
      </c>
      <c r="H335" s="205">
        <v>0.25868160000000001</v>
      </c>
      <c r="I335" s="201" t="s">
        <v>272</v>
      </c>
      <c r="J335" s="201" t="s">
        <v>2270</v>
      </c>
      <c r="K335" s="206">
        <v>44897</v>
      </c>
      <c r="L335" s="201"/>
      <c r="M335" s="206"/>
      <c r="N335" s="201"/>
      <c r="O335" s="201"/>
      <c r="P335" s="201"/>
      <c r="Q335" s="201"/>
      <c r="R335" s="791"/>
      <c r="S335" s="206"/>
      <c r="T335" s="201"/>
      <c r="U335" s="201">
        <v>0</v>
      </c>
      <c r="V335" s="201"/>
      <c r="W335" s="201"/>
    </row>
    <row r="336" spans="1:23" ht="22.5" customHeight="1" x14ac:dyDescent="0.25">
      <c r="A336" s="48">
        <v>118</v>
      </c>
      <c r="B336" s="255" t="s">
        <v>2271</v>
      </c>
      <c r="C336" s="201" t="s">
        <v>2272</v>
      </c>
      <c r="D336" s="201" t="s">
        <v>276</v>
      </c>
      <c r="E336" s="201">
        <v>1.458</v>
      </c>
      <c r="F336" s="201" t="s">
        <v>177</v>
      </c>
      <c r="G336" s="201" t="s">
        <v>1772</v>
      </c>
      <c r="H336" s="205">
        <v>0.25194240000000001</v>
      </c>
      <c r="I336" s="201" t="s">
        <v>272</v>
      </c>
      <c r="J336" s="201" t="s">
        <v>2273</v>
      </c>
      <c r="K336" s="206">
        <v>44901</v>
      </c>
      <c r="L336" s="333" t="s">
        <v>2273</v>
      </c>
      <c r="M336" s="333">
        <v>45008</v>
      </c>
      <c r="N336" s="201"/>
      <c r="O336" s="201"/>
      <c r="P336" s="201"/>
      <c r="Q336" s="201"/>
      <c r="R336" s="791"/>
      <c r="S336" s="206"/>
      <c r="T336" s="201"/>
      <c r="U336" s="201">
        <v>0</v>
      </c>
      <c r="V336" s="201"/>
      <c r="W336" s="201"/>
    </row>
    <row r="337" spans="1:23" ht="22.5" customHeight="1" x14ac:dyDescent="0.25">
      <c r="A337" s="48">
        <v>119</v>
      </c>
      <c r="B337" s="255" t="s">
        <v>1774</v>
      </c>
      <c r="C337" s="201" t="s">
        <v>2274</v>
      </c>
      <c r="D337" s="201" t="s">
        <v>276</v>
      </c>
      <c r="E337" s="201">
        <v>2.7225999999999999</v>
      </c>
      <c r="F337" s="201" t="s">
        <v>177</v>
      </c>
      <c r="G337" s="201" t="s">
        <v>1430</v>
      </c>
      <c r="H337" s="205">
        <v>0.13996342079999999</v>
      </c>
      <c r="I337" s="201" t="s">
        <v>272</v>
      </c>
      <c r="J337" s="201"/>
      <c r="K337" s="201"/>
      <c r="L337" s="201" t="s">
        <v>2275</v>
      </c>
      <c r="M337" s="206">
        <v>44902</v>
      </c>
      <c r="N337" s="201"/>
      <c r="O337" s="201"/>
      <c r="P337" s="201"/>
      <c r="Q337" s="201"/>
      <c r="R337" s="791"/>
      <c r="S337" s="206"/>
      <c r="T337" s="201"/>
      <c r="U337" s="201">
        <v>0</v>
      </c>
      <c r="V337" s="201"/>
      <c r="W337" s="201"/>
    </row>
    <row r="338" spans="1:23" ht="22.5" customHeight="1" x14ac:dyDescent="0.25">
      <c r="A338" s="48">
        <v>120</v>
      </c>
      <c r="B338" s="255" t="s">
        <v>2276</v>
      </c>
      <c r="C338" s="201" t="s">
        <v>2277</v>
      </c>
      <c r="D338" s="201" t="s">
        <v>276</v>
      </c>
      <c r="E338" s="201">
        <v>3.2774999999999999</v>
      </c>
      <c r="F338" s="201" t="s">
        <v>177</v>
      </c>
      <c r="G338" s="201" t="s">
        <v>1472</v>
      </c>
      <c r="H338" s="205">
        <v>0.16848972000000001</v>
      </c>
      <c r="I338" s="201" t="s">
        <v>272</v>
      </c>
      <c r="J338" s="201"/>
      <c r="K338" s="201"/>
      <c r="L338" s="201" t="s">
        <v>2278</v>
      </c>
      <c r="M338" s="206">
        <v>44902</v>
      </c>
      <c r="N338" s="201"/>
      <c r="O338" s="201"/>
      <c r="P338" s="201"/>
      <c r="Q338" s="201"/>
      <c r="R338" s="791"/>
      <c r="S338" s="206"/>
      <c r="T338" s="201"/>
      <c r="U338" s="201">
        <v>0</v>
      </c>
      <c r="V338" s="201"/>
      <c r="W338" s="201"/>
    </row>
    <row r="339" spans="1:23" ht="22.5" customHeight="1" x14ac:dyDescent="0.25">
      <c r="A339" s="48">
        <v>121</v>
      </c>
      <c r="B339" s="255" t="s">
        <v>260</v>
      </c>
      <c r="C339" s="201" t="s">
        <v>2279</v>
      </c>
      <c r="D339" s="201" t="s">
        <v>274</v>
      </c>
      <c r="E339" s="201">
        <v>2.5070000000000001</v>
      </c>
      <c r="F339" s="201" t="s">
        <v>177</v>
      </c>
      <c r="G339" s="201" t="s">
        <v>1579</v>
      </c>
      <c r="H339" s="205">
        <v>0.12887985600000001</v>
      </c>
      <c r="I339" s="201" t="s">
        <v>272</v>
      </c>
      <c r="J339" s="201"/>
      <c r="K339" s="201"/>
      <c r="L339" s="201" t="s">
        <v>2280</v>
      </c>
      <c r="M339" s="206">
        <v>44896</v>
      </c>
      <c r="N339" s="201"/>
      <c r="O339" s="201"/>
      <c r="P339" s="201"/>
      <c r="Q339" s="201"/>
      <c r="R339" s="791"/>
      <c r="S339" s="206"/>
      <c r="T339" s="201"/>
      <c r="U339" s="201">
        <v>0</v>
      </c>
      <c r="V339" s="201"/>
      <c r="W339" s="201"/>
    </row>
    <row r="340" spans="1:23" ht="22.5" customHeight="1" x14ac:dyDescent="0.25">
      <c r="A340" s="48">
        <v>122</v>
      </c>
      <c r="B340" s="255" t="s">
        <v>2281</v>
      </c>
      <c r="C340" s="201" t="s">
        <v>1554</v>
      </c>
      <c r="D340" s="201" t="s">
        <v>274</v>
      </c>
      <c r="E340" s="201">
        <v>2.5884</v>
      </c>
      <c r="F340" s="201" t="s">
        <v>1369</v>
      </c>
      <c r="G340" s="201" t="s">
        <v>1768</v>
      </c>
      <c r="H340" s="205">
        <v>0.13306446720000001</v>
      </c>
      <c r="I340" s="201" t="s">
        <v>272</v>
      </c>
      <c r="J340" s="201"/>
      <c r="K340" s="201"/>
      <c r="L340" s="201" t="s">
        <v>2282</v>
      </c>
      <c r="M340" s="206">
        <v>44902</v>
      </c>
      <c r="N340" s="201"/>
      <c r="O340" s="201"/>
      <c r="P340" s="201"/>
      <c r="Q340" s="201"/>
      <c r="R340" s="791"/>
      <c r="S340" s="206"/>
      <c r="T340" s="201"/>
      <c r="U340" s="201">
        <v>0</v>
      </c>
      <c r="V340" s="201"/>
      <c r="W340" s="201"/>
    </row>
    <row r="341" spans="1:23" ht="22.5" customHeight="1" x14ac:dyDescent="0.25">
      <c r="A341" s="48">
        <v>123</v>
      </c>
      <c r="B341" s="255" t="s">
        <v>2283</v>
      </c>
      <c r="C341" s="201" t="s">
        <v>2284</v>
      </c>
      <c r="D341" s="201" t="s">
        <v>274</v>
      </c>
      <c r="E341" s="201">
        <v>2.6348000000000003</v>
      </c>
      <c r="F341" s="201" t="s">
        <v>177</v>
      </c>
      <c r="G341" s="201" t="s">
        <v>1472</v>
      </c>
      <c r="H341" s="205">
        <v>0.13544979840000002</v>
      </c>
      <c r="I341" s="201" t="s">
        <v>272</v>
      </c>
      <c r="J341" s="201"/>
      <c r="K341" s="201"/>
      <c r="L341" s="201" t="s">
        <v>2285</v>
      </c>
      <c r="M341" s="206">
        <v>44894</v>
      </c>
      <c r="N341" s="201"/>
      <c r="O341" s="201"/>
      <c r="P341" s="201"/>
      <c r="Q341" s="201"/>
      <c r="R341" s="791"/>
      <c r="S341" s="206"/>
      <c r="T341" s="201"/>
      <c r="U341" s="201">
        <v>0</v>
      </c>
      <c r="V341" s="201"/>
      <c r="W341" s="201"/>
    </row>
    <row r="342" spans="1:23" ht="22.5" customHeight="1" x14ac:dyDescent="0.25">
      <c r="A342" s="48">
        <v>124</v>
      </c>
      <c r="B342" s="255" t="s">
        <v>1655</v>
      </c>
      <c r="C342" s="201" t="s">
        <v>2286</v>
      </c>
      <c r="D342" s="201" t="s">
        <v>276</v>
      </c>
      <c r="E342" s="201">
        <v>3.9</v>
      </c>
      <c r="F342" s="201">
        <v>20</v>
      </c>
      <c r="G342" s="201" t="s">
        <v>277</v>
      </c>
      <c r="H342" s="205">
        <v>0.67392000000000007</v>
      </c>
      <c r="I342" s="201" t="s">
        <v>272</v>
      </c>
      <c r="J342" s="201" t="s">
        <v>2287</v>
      </c>
      <c r="K342" s="206">
        <v>44923</v>
      </c>
      <c r="L342" s="255" t="s">
        <v>2287</v>
      </c>
      <c r="M342" s="333">
        <v>44956</v>
      </c>
      <c r="N342" s="201"/>
      <c r="O342" s="201">
        <v>0</v>
      </c>
      <c r="P342" s="201"/>
      <c r="Q342" s="201"/>
      <c r="R342" s="792" t="s">
        <v>3853</v>
      </c>
      <c r="S342" s="494">
        <v>45202</v>
      </c>
      <c r="T342" s="506">
        <v>3.9</v>
      </c>
      <c r="U342" s="201">
        <v>0</v>
      </c>
      <c r="V342" s="201"/>
      <c r="W342" s="201"/>
    </row>
    <row r="343" spans="1:23" ht="22.5" customHeight="1" x14ac:dyDescent="0.25">
      <c r="A343" s="48">
        <v>125</v>
      </c>
      <c r="B343" s="255" t="s">
        <v>2288</v>
      </c>
      <c r="C343" s="201" t="s">
        <v>1565</v>
      </c>
      <c r="D343" s="201" t="s">
        <v>276</v>
      </c>
      <c r="E343" s="201">
        <v>1.1319999999999999</v>
      </c>
      <c r="F343" s="201" t="s">
        <v>177</v>
      </c>
      <c r="G343" s="201" t="s">
        <v>277</v>
      </c>
      <c r="H343" s="205">
        <v>5.8193855999999995E-2</v>
      </c>
      <c r="I343" s="201" t="s">
        <v>272</v>
      </c>
      <c r="J343" s="201"/>
      <c r="K343" s="206"/>
      <c r="L343" s="201" t="s">
        <v>2289</v>
      </c>
      <c r="M343" s="206">
        <v>44937</v>
      </c>
      <c r="N343" s="201"/>
      <c r="O343" s="201">
        <v>0</v>
      </c>
      <c r="P343" s="201"/>
      <c r="Q343" s="201"/>
      <c r="R343" s="791"/>
      <c r="S343" s="206"/>
      <c r="T343" s="201"/>
      <c r="U343" s="201">
        <v>0</v>
      </c>
      <c r="V343" s="201"/>
      <c r="W343" s="201"/>
    </row>
    <row r="344" spans="1:23" ht="22.5" customHeight="1" x14ac:dyDescent="0.25">
      <c r="A344" s="48">
        <v>126</v>
      </c>
      <c r="B344" s="255" t="s">
        <v>2290</v>
      </c>
      <c r="C344" s="201" t="s">
        <v>2291</v>
      </c>
      <c r="D344" s="201" t="s">
        <v>276</v>
      </c>
      <c r="E344" s="201">
        <v>1</v>
      </c>
      <c r="F344" s="201" t="s">
        <v>177</v>
      </c>
      <c r="G344" s="201" t="s">
        <v>1772</v>
      </c>
      <c r="H344" s="205">
        <v>0.17280000000000001</v>
      </c>
      <c r="I344" s="201" t="s">
        <v>272</v>
      </c>
      <c r="J344" s="206" t="s">
        <v>2292</v>
      </c>
      <c r="K344" s="206">
        <v>44951</v>
      </c>
      <c r="L344" s="206"/>
      <c r="M344" s="206"/>
      <c r="N344" s="201"/>
      <c r="O344" s="201"/>
      <c r="P344" s="201"/>
      <c r="Q344" s="201"/>
      <c r="R344" s="791"/>
      <c r="S344" s="206"/>
      <c r="T344" s="201"/>
      <c r="U344" s="201">
        <v>0</v>
      </c>
      <c r="V344" s="201"/>
      <c r="W344" s="201"/>
    </row>
    <row r="345" spans="1:23" ht="22.5" customHeight="1" x14ac:dyDescent="0.25">
      <c r="A345" s="48">
        <v>127</v>
      </c>
      <c r="B345" s="255" t="s">
        <v>2293</v>
      </c>
      <c r="C345" s="201" t="s">
        <v>2294</v>
      </c>
      <c r="D345" s="201" t="s">
        <v>276</v>
      </c>
      <c r="E345" s="201">
        <v>2.1</v>
      </c>
      <c r="F345" s="201" t="s">
        <v>177</v>
      </c>
      <c r="G345" s="201" t="s">
        <v>277</v>
      </c>
      <c r="H345" s="205">
        <v>0.36288000000000004</v>
      </c>
      <c r="I345" s="201" t="s">
        <v>272</v>
      </c>
      <c r="J345" s="206" t="s">
        <v>2295</v>
      </c>
      <c r="K345" s="206">
        <v>44946</v>
      </c>
      <c r="L345" s="206"/>
      <c r="M345" s="206"/>
      <c r="N345" s="201"/>
      <c r="O345" s="201"/>
      <c r="P345" s="201"/>
      <c r="Q345" s="201"/>
      <c r="R345" s="791"/>
      <c r="S345" s="206"/>
      <c r="T345" s="201"/>
      <c r="U345" s="201">
        <v>0</v>
      </c>
      <c r="V345" s="201"/>
      <c r="W345" s="201"/>
    </row>
    <row r="346" spans="1:23" ht="22.5" customHeight="1" x14ac:dyDescent="0.25">
      <c r="A346" s="48">
        <v>128</v>
      </c>
      <c r="B346" s="255" t="s">
        <v>2296</v>
      </c>
      <c r="C346" s="201" t="s">
        <v>2297</v>
      </c>
      <c r="D346" s="201" t="s">
        <v>274</v>
      </c>
      <c r="E346" s="201">
        <v>3.1908000000000003</v>
      </c>
      <c r="F346" s="201" t="s">
        <v>177</v>
      </c>
      <c r="G346" s="201" t="s">
        <v>1423</v>
      </c>
      <c r="H346" s="205">
        <v>0.16403264640000001</v>
      </c>
      <c r="I346" s="201" t="s">
        <v>272</v>
      </c>
      <c r="J346" s="201"/>
      <c r="K346" s="201"/>
      <c r="L346" s="201" t="s">
        <v>2298</v>
      </c>
      <c r="M346" s="206">
        <v>44943</v>
      </c>
      <c r="N346" s="333">
        <v>45195</v>
      </c>
      <c r="O346" s="201"/>
      <c r="P346" s="201"/>
      <c r="Q346" s="201"/>
      <c r="R346" s="791"/>
      <c r="S346" s="206"/>
      <c r="T346" s="201"/>
      <c r="U346" s="201">
        <v>0</v>
      </c>
      <c r="V346" s="201"/>
      <c r="W346" s="201"/>
    </row>
    <row r="347" spans="1:23" ht="22.5" customHeight="1" x14ac:dyDescent="0.25">
      <c r="A347" s="48">
        <v>129</v>
      </c>
      <c r="B347" s="255" t="s">
        <v>260</v>
      </c>
      <c r="C347" s="201" t="s">
        <v>1578</v>
      </c>
      <c r="D347" s="201" t="s">
        <v>274</v>
      </c>
      <c r="E347" s="201">
        <v>1.2615000000000001</v>
      </c>
      <c r="F347" s="201" t="s">
        <v>177</v>
      </c>
      <c r="G347" s="201" t="s">
        <v>1579</v>
      </c>
      <c r="H347" s="205">
        <v>6.4851192000000002E-2</v>
      </c>
      <c r="I347" s="201" t="s">
        <v>272</v>
      </c>
      <c r="J347" s="201"/>
      <c r="K347" s="201"/>
      <c r="L347" s="201" t="s">
        <v>2299</v>
      </c>
      <c r="M347" s="206">
        <v>44938</v>
      </c>
      <c r="N347" s="333">
        <v>45141</v>
      </c>
      <c r="O347" s="201"/>
      <c r="P347" s="201"/>
      <c r="Q347" s="201"/>
      <c r="R347" s="791"/>
      <c r="S347" s="206"/>
      <c r="T347" s="201"/>
      <c r="U347" s="201">
        <v>0</v>
      </c>
      <c r="V347" s="201"/>
      <c r="W347" s="201"/>
    </row>
    <row r="348" spans="1:23" ht="22.5" customHeight="1" x14ac:dyDescent="0.25">
      <c r="A348" s="48">
        <v>130</v>
      </c>
      <c r="B348" s="255" t="s">
        <v>1412</v>
      </c>
      <c r="C348" s="201" t="s">
        <v>2342</v>
      </c>
      <c r="D348" s="201" t="s">
        <v>276</v>
      </c>
      <c r="E348" s="201">
        <v>3.3330000000000002</v>
      </c>
      <c r="F348" s="201" t="s">
        <v>177</v>
      </c>
      <c r="G348" s="201" t="s">
        <v>277</v>
      </c>
      <c r="H348" s="205">
        <v>0.55883519999999998</v>
      </c>
      <c r="I348" s="201" t="s">
        <v>272</v>
      </c>
      <c r="J348" s="201">
        <v>8082570</v>
      </c>
      <c r="K348" s="206">
        <v>44965</v>
      </c>
      <c r="L348" s="201" t="s">
        <v>2569</v>
      </c>
      <c r="M348" s="206">
        <v>45006</v>
      </c>
      <c r="N348" s="201"/>
      <c r="O348" s="201"/>
      <c r="P348" s="201"/>
      <c r="Q348" s="201"/>
      <c r="R348" s="791"/>
      <c r="S348" s="206"/>
      <c r="T348" s="201"/>
      <c r="U348" s="201">
        <v>9.9000000000000005E-2</v>
      </c>
      <c r="V348" s="201"/>
      <c r="W348" s="201"/>
    </row>
    <row r="349" spans="1:23" ht="22.5" customHeight="1" x14ac:dyDescent="0.25">
      <c r="A349" s="48">
        <v>131</v>
      </c>
      <c r="B349" s="255" t="s">
        <v>2343</v>
      </c>
      <c r="C349" s="201" t="s">
        <v>2344</v>
      </c>
      <c r="D349" s="201" t="s">
        <v>276</v>
      </c>
      <c r="E349" s="201">
        <v>1.4</v>
      </c>
      <c r="F349" s="201" t="s">
        <v>177</v>
      </c>
      <c r="G349" s="201" t="s">
        <v>1574</v>
      </c>
      <c r="H349" s="205">
        <v>0.24192</v>
      </c>
      <c r="I349" s="201" t="s">
        <v>272</v>
      </c>
      <c r="J349" s="201" t="s">
        <v>2345</v>
      </c>
      <c r="K349" s="206">
        <v>44971</v>
      </c>
      <c r="L349" s="480" t="s">
        <v>2345</v>
      </c>
      <c r="M349" s="481">
        <v>45113</v>
      </c>
      <c r="N349" s="201"/>
      <c r="O349" s="201"/>
      <c r="P349" s="201"/>
      <c r="Q349" s="201"/>
      <c r="R349" s="791"/>
      <c r="S349" s="206"/>
      <c r="T349" s="201"/>
      <c r="U349" s="201">
        <v>0</v>
      </c>
      <c r="V349" s="201"/>
      <c r="W349" s="201"/>
    </row>
    <row r="350" spans="1:23" ht="22.5" customHeight="1" x14ac:dyDescent="0.25">
      <c r="A350" s="48">
        <v>132</v>
      </c>
      <c r="B350" s="255" t="s">
        <v>2346</v>
      </c>
      <c r="C350" s="201" t="s">
        <v>2347</v>
      </c>
      <c r="D350" s="201" t="s">
        <v>274</v>
      </c>
      <c r="E350" s="201">
        <v>2.57</v>
      </c>
      <c r="F350" s="201" t="s">
        <v>177</v>
      </c>
      <c r="G350" s="201" t="s">
        <v>2348</v>
      </c>
      <c r="H350" s="205">
        <v>0.49344000000000005</v>
      </c>
      <c r="I350" s="201" t="s">
        <v>272</v>
      </c>
      <c r="J350" s="201" t="s">
        <v>2349</v>
      </c>
      <c r="K350" s="206">
        <v>44971</v>
      </c>
      <c r="L350" s="255" t="s">
        <v>2349</v>
      </c>
      <c r="M350" s="333">
        <v>45015</v>
      </c>
      <c r="N350" s="333">
        <v>45163</v>
      </c>
      <c r="O350" s="201"/>
      <c r="P350" s="201"/>
      <c r="Q350" s="201"/>
      <c r="R350" s="791"/>
      <c r="S350" s="206"/>
      <c r="T350" s="201"/>
      <c r="U350" s="201">
        <v>0</v>
      </c>
      <c r="V350" s="201"/>
      <c r="W350" s="201"/>
    </row>
    <row r="351" spans="1:23" ht="22.5" customHeight="1" x14ac:dyDescent="0.25">
      <c r="A351" s="48">
        <v>133</v>
      </c>
      <c r="B351" s="255" t="s">
        <v>1687</v>
      </c>
      <c r="C351" s="201" t="s">
        <v>1541</v>
      </c>
      <c r="D351" s="201" t="s">
        <v>276</v>
      </c>
      <c r="E351" s="201">
        <v>1.5820000000000001</v>
      </c>
      <c r="F351" s="201" t="s">
        <v>177</v>
      </c>
      <c r="G351" s="201" t="s">
        <v>1472</v>
      </c>
      <c r="H351" s="205">
        <v>8.1327456000000006E-2</v>
      </c>
      <c r="I351" s="201" t="s">
        <v>272</v>
      </c>
      <c r="J351" s="201"/>
      <c r="K351" s="206"/>
      <c r="L351" s="201" t="s">
        <v>2350</v>
      </c>
      <c r="M351" s="206">
        <v>44965</v>
      </c>
      <c r="N351" s="201"/>
      <c r="O351" s="201"/>
      <c r="P351" s="201"/>
      <c r="Q351" s="201"/>
      <c r="R351" s="791"/>
      <c r="S351" s="206"/>
      <c r="T351" s="201"/>
      <c r="U351" s="201">
        <v>0</v>
      </c>
      <c r="V351" s="201"/>
      <c r="W351" s="201"/>
    </row>
    <row r="352" spans="1:23" ht="22.5" customHeight="1" x14ac:dyDescent="0.25">
      <c r="A352" s="48">
        <v>134</v>
      </c>
      <c r="B352" s="255" t="s">
        <v>2386</v>
      </c>
      <c r="C352" s="201" t="s">
        <v>1444</v>
      </c>
      <c r="D352" s="201" t="s">
        <v>274</v>
      </c>
      <c r="E352" s="201">
        <v>45</v>
      </c>
      <c r="F352" s="201">
        <v>110</v>
      </c>
      <c r="G352" s="201" t="s">
        <v>1527</v>
      </c>
      <c r="H352" s="205">
        <v>0</v>
      </c>
      <c r="I352" s="201" t="s">
        <v>272</v>
      </c>
      <c r="J352" s="201">
        <v>10269114</v>
      </c>
      <c r="K352" s="206">
        <v>44978</v>
      </c>
      <c r="L352" s="206"/>
      <c r="M352" s="206"/>
      <c r="N352" s="201"/>
      <c r="O352" s="201"/>
      <c r="P352" s="201"/>
      <c r="Q352" s="201"/>
      <c r="R352" s="791"/>
      <c r="S352" s="206"/>
      <c r="T352" s="201"/>
      <c r="U352" s="201">
        <v>0</v>
      </c>
      <c r="V352" s="201"/>
      <c r="W352" s="201"/>
    </row>
    <row r="353" spans="1:23" ht="22.5" customHeight="1" x14ac:dyDescent="0.25">
      <c r="A353" s="48">
        <v>135</v>
      </c>
      <c r="B353" s="255" t="s">
        <v>1572</v>
      </c>
      <c r="C353" s="201" t="s">
        <v>2387</v>
      </c>
      <c r="D353" s="201" t="s">
        <v>274</v>
      </c>
      <c r="E353" s="201">
        <v>1.4890999999999999</v>
      </c>
      <c r="F353" s="201" t="s">
        <v>177</v>
      </c>
      <c r="G353" s="201" t="s">
        <v>1497</v>
      </c>
      <c r="H353" s="205">
        <v>7.6551652799999995E-2</v>
      </c>
      <c r="I353" s="201" t="s">
        <v>272</v>
      </c>
      <c r="J353" s="201"/>
      <c r="K353" s="201"/>
      <c r="L353" s="201" t="s">
        <v>2388</v>
      </c>
      <c r="M353" s="206">
        <v>44981</v>
      </c>
      <c r="N353" s="201"/>
      <c r="O353" s="201"/>
      <c r="P353" s="201"/>
      <c r="Q353" s="201"/>
      <c r="R353" s="791"/>
      <c r="S353" s="206"/>
      <c r="T353" s="201"/>
      <c r="U353" s="201">
        <v>0</v>
      </c>
      <c r="V353" s="201"/>
      <c r="W353" s="201"/>
    </row>
    <row r="354" spans="1:23" ht="22.5" customHeight="1" x14ac:dyDescent="0.25">
      <c r="A354" s="48">
        <v>136</v>
      </c>
      <c r="B354" s="255" t="s">
        <v>2438</v>
      </c>
      <c r="C354" s="201" t="s">
        <v>1444</v>
      </c>
      <c r="D354" s="201" t="s">
        <v>276</v>
      </c>
      <c r="E354" s="201">
        <v>45</v>
      </c>
      <c r="F354" s="201">
        <v>110</v>
      </c>
      <c r="G354" s="201" t="s">
        <v>2439</v>
      </c>
      <c r="H354" s="205">
        <v>10.799999999999999</v>
      </c>
      <c r="I354" s="206" t="s">
        <v>272</v>
      </c>
      <c r="J354" s="206" t="s">
        <v>2440</v>
      </c>
      <c r="K354" s="206">
        <v>44992</v>
      </c>
      <c r="L354" s="201"/>
      <c r="M354" s="201"/>
      <c r="N354" s="201"/>
      <c r="O354" s="201"/>
      <c r="P354" s="201"/>
      <c r="Q354" s="201"/>
      <c r="R354" s="791"/>
      <c r="S354" s="206"/>
      <c r="T354" s="201"/>
      <c r="U354" s="201">
        <v>0</v>
      </c>
      <c r="V354" s="201"/>
      <c r="W354" s="201"/>
    </row>
    <row r="355" spans="1:23" ht="22.5" customHeight="1" x14ac:dyDescent="0.25">
      <c r="A355" s="48">
        <v>137</v>
      </c>
      <c r="B355" s="255" t="s">
        <v>2441</v>
      </c>
      <c r="C355" s="201" t="s">
        <v>1554</v>
      </c>
      <c r="D355" s="201" t="s">
        <v>274</v>
      </c>
      <c r="E355" s="201">
        <v>1.552</v>
      </c>
      <c r="F355" s="201" t="s">
        <v>177</v>
      </c>
      <c r="G355" s="201" t="s">
        <v>1430</v>
      </c>
      <c r="H355" s="205">
        <v>7.9785216000000006E-2</v>
      </c>
      <c r="I355" s="201" t="s">
        <v>272</v>
      </c>
      <c r="J355" s="201"/>
      <c r="K355" s="201"/>
      <c r="L355" s="201" t="s">
        <v>2442</v>
      </c>
      <c r="M355" s="206">
        <v>44991</v>
      </c>
      <c r="N355" s="201"/>
      <c r="O355" s="201"/>
      <c r="P355" s="201"/>
      <c r="Q355" s="201"/>
      <c r="R355" s="791"/>
      <c r="S355" s="206"/>
      <c r="T355" s="201"/>
      <c r="U355" s="201">
        <v>0</v>
      </c>
      <c r="V355" s="201"/>
      <c r="W355" s="201"/>
    </row>
    <row r="356" spans="1:23" ht="22.5" customHeight="1" x14ac:dyDescent="0.25">
      <c r="A356" s="48">
        <v>138</v>
      </c>
      <c r="B356" s="255" t="s">
        <v>2443</v>
      </c>
      <c r="C356" s="201" t="s">
        <v>2444</v>
      </c>
      <c r="D356" s="201" t="s">
        <v>276</v>
      </c>
      <c r="E356" s="201">
        <v>1.956</v>
      </c>
      <c r="F356" s="201" t="s">
        <v>177</v>
      </c>
      <c r="G356" s="201" t="s">
        <v>1614</v>
      </c>
      <c r="H356" s="205">
        <v>0.10055404800000001</v>
      </c>
      <c r="I356" s="201" t="s">
        <v>272</v>
      </c>
      <c r="J356" s="201"/>
      <c r="K356" s="201"/>
      <c r="L356" s="201" t="s">
        <v>2445</v>
      </c>
      <c r="M356" s="206">
        <v>44998</v>
      </c>
      <c r="N356" s="201"/>
      <c r="O356" s="201"/>
      <c r="P356" s="201"/>
      <c r="Q356" s="201"/>
      <c r="R356" s="791"/>
      <c r="S356" s="206"/>
      <c r="T356" s="201"/>
      <c r="U356" s="201">
        <v>0</v>
      </c>
      <c r="V356" s="201"/>
      <c r="W356" s="201"/>
    </row>
    <row r="357" spans="1:23" ht="22.5" customHeight="1" x14ac:dyDescent="0.25">
      <c r="A357" s="48">
        <v>139</v>
      </c>
      <c r="B357" s="255" t="s">
        <v>2505</v>
      </c>
      <c r="C357" s="201" t="s">
        <v>2506</v>
      </c>
      <c r="D357" s="201" t="s">
        <v>274</v>
      </c>
      <c r="E357" s="201">
        <v>1.2070000000000001</v>
      </c>
      <c r="F357" s="201" t="s">
        <v>183</v>
      </c>
      <c r="G357" s="201" t="s">
        <v>1600</v>
      </c>
      <c r="H357" s="205">
        <v>0.20856960000000002</v>
      </c>
      <c r="I357" s="201" t="s">
        <v>272</v>
      </c>
      <c r="J357" s="206" t="s">
        <v>2507</v>
      </c>
      <c r="K357" s="206">
        <v>45008</v>
      </c>
      <c r="L357" s="201"/>
      <c r="M357" s="201"/>
      <c r="N357" s="201"/>
      <c r="O357" s="201"/>
      <c r="P357" s="201"/>
      <c r="Q357" s="201"/>
      <c r="R357" s="791"/>
      <c r="S357" s="206"/>
      <c r="T357" s="201"/>
      <c r="U357" s="201">
        <v>0</v>
      </c>
      <c r="V357" s="201"/>
      <c r="W357" s="201"/>
    </row>
    <row r="358" spans="1:23" ht="22.5" customHeight="1" x14ac:dyDescent="0.25">
      <c r="A358" s="48">
        <v>140</v>
      </c>
      <c r="B358" s="255" t="s">
        <v>2508</v>
      </c>
      <c r="C358" s="201" t="s">
        <v>2509</v>
      </c>
      <c r="D358" s="201" t="s">
        <v>274</v>
      </c>
      <c r="E358" s="201">
        <v>1.8569</v>
      </c>
      <c r="F358" s="201" t="s">
        <v>177</v>
      </c>
      <c r="G358" s="201" t="s">
        <v>279</v>
      </c>
      <c r="H358" s="205">
        <v>9.5459515199999997E-2</v>
      </c>
      <c r="I358" s="201" t="s">
        <v>272</v>
      </c>
      <c r="J358" s="206"/>
      <c r="K358" s="206"/>
      <c r="L358" s="201" t="s">
        <v>2510</v>
      </c>
      <c r="M358" s="206">
        <v>45007</v>
      </c>
      <c r="N358" s="494">
        <v>45217</v>
      </c>
      <c r="O358" s="201"/>
      <c r="P358" s="201"/>
      <c r="Q358" s="201"/>
      <c r="R358" s="791"/>
      <c r="S358" s="206"/>
      <c r="T358" s="201"/>
      <c r="U358" s="201">
        <v>0</v>
      </c>
      <c r="V358" s="201"/>
      <c r="W358" s="201"/>
    </row>
    <row r="359" spans="1:23" ht="22.5" customHeight="1" x14ac:dyDescent="0.25">
      <c r="A359" s="48">
        <v>141</v>
      </c>
      <c r="B359" s="255" t="s">
        <v>2511</v>
      </c>
      <c r="C359" s="201" t="s">
        <v>2512</v>
      </c>
      <c r="D359" s="201" t="s">
        <v>274</v>
      </c>
      <c r="E359" s="201">
        <v>6.5866400000000001</v>
      </c>
      <c r="F359" s="201" t="s">
        <v>183</v>
      </c>
      <c r="G359" s="201" t="s">
        <v>1427</v>
      </c>
      <c r="H359" s="205">
        <v>0.33860598912000001</v>
      </c>
      <c r="I359" s="201" t="s">
        <v>272</v>
      </c>
      <c r="J359" s="206"/>
      <c r="K359" s="206"/>
      <c r="L359" s="309" t="s">
        <v>2513</v>
      </c>
      <c r="M359" s="206">
        <v>43349</v>
      </c>
      <c r="N359" s="201"/>
      <c r="O359" s="201"/>
      <c r="P359" s="201"/>
      <c r="Q359" s="201"/>
      <c r="R359" s="791"/>
      <c r="S359" s="206"/>
      <c r="T359" s="201"/>
      <c r="U359" s="201">
        <v>0</v>
      </c>
      <c r="V359" s="201"/>
      <c r="W359" s="201"/>
    </row>
    <row r="360" spans="1:23" ht="22.5" customHeight="1" x14ac:dyDescent="0.25">
      <c r="A360" s="48">
        <v>142</v>
      </c>
      <c r="B360" s="255" t="s">
        <v>2514</v>
      </c>
      <c r="C360" s="201" t="s">
        <v>2515</v>
      </c>
      <c r="D360" s="201" t="s">
        <v>274</v>
      </c>
      <c r="E360" s="201">
        <v>6.7009999999999996</v>
      </c>
      <c r="F360" s="201">
        <v>20</v>
      </c>
      <c r="G360" s="201" t="s">
        <v>1544</v>
      </c>
      <c r="H360" s="205">
        <v>0.34448500799999998</v>
      </c>
      <c r="I360" s="201" t="s">
        <v>272</v>
      </c>
      <c r="J360" s="206"/>
      <c r="K360" s="206"/>
      <c r="L360" s="309" t="s">
        <v>2516</v>
      </c>
      <c r="M360" s="206">
        <v>43725</v>
      </c>
      <c r="N360" s="333">
        <v>45196</v>
      </c>
      <c r="O360" s="201"/>
      <c r="P360" s="201"/>
      <c r="Q360" s="201"/>
      <c r="R360" s="791"/>
      <c r="S360" s="206"/>
      <c r="T360" s="201"/>
      <c r="U360" s="201">
        <v>0</v>
      </c>
      <c r="V360" s="201"/>
      <c r="W360" s="201"/>
    </row>
    <row r="361" spans="1:23" ht="22.5" customHeight="1" x14ac:dyDescent="0.25">
      <c r="A361" s="48">
        <v>143</v>
      </c>
      <c r="B361" s="255" t="s">
        <v>2296</v>
      </c>
      <c r="C361" s="201" t="s">
        <v>2567</v>
      </c>
      <c r="D361" s="201" t="s">
        <v>274</v>
      </c>
      <c r="E361" s="201">
        <v>3.8024</v>
      </c>
      <c r="F361" s="201">
        <v>20</v>
      </c>
      <c r="G361" s="201" t="s">
        <v>1423</v>
      </c>
      <c r="H361" s="205">
        <v>0.1954737792</v>
      </c>
      <c r="I361" s="201" t="s">
        <v>272</v>
      </c>
      <c r="J361" s="201"/>
      <c r="K361" s="201"/>
      <c r="L361" s="201" t="s">
        <v>2568</v>
      </c>
      <c r="M361" s="206">
        <v>45020</v>
      </c>
      <c r="N361" s="201"/>
      <c r="O361" s="201"/>
      <c r="P361" s="201"/>
      <c r="Q361" s="201"/>
      <c r="R361" s="791"/>
      <c r="S361" s="206"/>
      <c r="T361" s="201"/>
      <c r="U361" s="201">
        <v>0</v>
      </c>
      <c r="V361" s="201"/>
      <c r="W361" s="201"/>
    </row>
    <row r="362" spans="1:23" ht="22.5" customHeight="1" x14ac:dyDescent="0.25">
      <c r="A362" s="48">
        <v>144</v>
      </c>
      <c r="B362" s="255" t="s">
        <v>2606</v>
      </c>
      <c r="C362" s="201" t="s">
        <v>2607</v>
      </c>
      <c r="D362" s="201" t="s">
        <v>274</v>
      </c>
      <c r="E362" s="201">
        <v>2.95</v>
      </c>
      <c r="F362" s="201">
        <v>20</v>
      </c>
      <c r="G362" s="151" t="s">
        <v>1024</v>
      </c>
      <c r="H362" s="205">
        <v>0.5097600000000001</v>
      </c>
      <c r="I362" s="201" t="s">
        <v>272</v>
      </c>
      <c r="J362" s="151" t="s">
        <v>2608</v>
      </c>
      <c r="K362" s="206">
        <v>45019</v>
      </c>
      <c r="L362" s="201"/>
      <c r="M362" s="201"/>
      <c r="N362" s="201"/>
      <c r="O362" s="201"/>
      <c r="P362" s="201"/>
      <c r="Q362" s="201"/>
      <c r="R362" s="791"/>
      <c r="S362" s="206"/>
      <c r="T362" s="201"/>
      <c r="U362" s="201"/>
      <c r="V362" s="201"/>
      <c r="W362" s="201"/>
    </row>
    <row r="363" spans="1:23" ht="22.5" customHeight="1" x14ac:dyDescent="0.25">
      <c r="A363" s="48">
        <v>145</v>
      </c>
      <c r="B363" s="255" t="s">
        <v>2609</v>
      </c>
      <c r="C363" s="201" t="s">
        <v>2610</v>
      </c>
      <c r="D363" s="201" t="s">
        <v>276</v>
      </c>
      <c r="E363" s="201">
        <v>7.1</v>
      </c>
      <c r="F363" s="201">
        <v>20</v>
      </c>
      <c r="G363" s="151" t="s">
        <v>2269</v>
      </c>
      <c r="H363" s="205">
        <v>1.22688</v>
      </c>
      <c r="I363" s="201" t="s">
        <v>272</v>
      </c>
      <c r="J363" s="151" t="s">
        <v>2611</v>
      </c>
      <c r="K363" s="206">
        <v>45029</v>
      </c>
      <c r="L363" s="201"/>
      <c r="M363" s="201"/>
      <c r="N363" s="201"/>
      <c r="O363" s="201"/>
      <c r="P363" s="201"/>
      <c r="Q363" s="201"/>
      <c r="R363" s="791"/>
      <c r="S363" s="206"/>
      <c r="T363" s="201"/>
      <c r="U363" s="201"/>
      <c r="V363" s="201"/>
      <c r="W363" s="201"/>
    </row>
    <row r="364" spans="1:23" ht="22.5" customHeight="1" x14ac:dyDescent="0.25">
      <c r="A364" s="48">
        <v>146</v>
      </c>
      <c r="B364" s="255" t="s">
        <v>2612</v>
      </c>
      <c r="C364" s="201" t="s">
        <v>2613</v>
      </c>
      <c r="D364" s="201" t="s">
        <v>276</v>
      </c>
      <c r="E364" s="201">
        <v>1.6120000000000001</v>
      </c>
      <c r="F364" s="201">
        <v>20</v>
      </c>
      <c r="G364" s="151" t="s">
        <v>2269</v>
      </c>
      <c r="H364" s="205">
        <v>0.27855360000000001</v>
      </c>
      <c r="I364" s="201" t="s">
        <v>272</v>
      </c>
      <c r="J364" s="151" t="s">
        <v>2614</v>
      </c>
      <c r="K364" s="206">
        <v>45029</v>
      </c>
      <c r="L364" s="506" t="s">
        <v>2614</v>
      </c>
      <c r="M364" s="494">
        <v>45222</v>
      </c>
      <c r="N364" s="201"/>
      <c r="O364" s="201"/>
      <c r="P364" s="201"/>
      <c r="Q364" s="201"/>
      <c r="R364" s="791"/>
      <c r="S364" s="206"/>
      <c r="T364" s="201"/>
      <c r="U364" s="201"/>
      <c r="V364" s="201"/>
      <c r="W364" s="201"/>
    </row>
    <row r="365" spans="1:23" ht="22.5" customHeight="1" x14ac:dyDescent="0.25">
      <c r="A365" s="48">
        <v>147</v>
      </c>
      <c r="B365" s="255" t="s">
        <v>2615</v>
      </c>
      <c r="C365" s="255" t="s">
        <v>1862</v>
      </c>
      <c r="D365" s="201" t="s">
        <v>276</v>
      </c>
      <c r="E365" s="201">
        <v>1.5</v>
      </c>
      <c r="F365" s="201">
        <v>20</v>
      </c>
      <c r="G365" s="151" t="s">
        <v>1772</v>
      </c>
      <c r="H365" s="205">
        <v>0.25919999999999999</v>
      </c>
      <c r="I365" s="201" t="s">
        <v>272</v>
      </c>
      <c r="J365" s="151" t="s">
        <v>2616</v>
      </c>
      <c r="K365" s="206">
        <v>45028</v>
      </c>
      <c r="L365" s="333" t="s">
        <v>2616</v>
      </c>
      <c r="M365" s="333">
        <v>45051</v>
      </c>
      <c r="N365" s="333">
        <v>45114</v>
      </c>
      <c r="O365" s="255" t="s">
        <v>3430</v>
      </c>
      <c r="P365" s="333">
        <v>45114</v>
      </c>
      <c r="Q365" s="255">
        <v>1.5</v>
      </c>
      <c r="R365" s="791"/>
      <c r="S365" s="206"/>
      <c r="T365" s="201"/>
      <c r="U365" s="201"/>
      <c r="V365" s="201"/>
      <c r="W365" s="201"/>
    </row>
    <row r="366" spans="1:23" ht="22.5" customHeight="1" x14ac:dyDescent="0.25">
      <c r="A366" s="48">
        <v>148</v>
      </c>
      <c r="B366" s="255" t="s">
        <v>2766</v>
      </c>
      <c r="C366" s="255" t="s">
        <v>2767</v>
      </c>
      <c r="D366" s="201" t="s">
        <v>274</v>
      </c>
      <c r="E366" s="151">
        <v>2.0409999999999999</v>
      </c>
      <c r="F366" s="201">
        <v>20</v>
      </c>
      <c r="G366" s="151" t="s">
        <v>281</v>
      </c>
      <c r="H366" s="205">
        <v>0.35268480000000002</v>
      </c>
      <c r="I366" s="201" t="s">
        <v>272</v>
      </c>
      <c r="J366" s="206" t="s">
        <v>2768</v>
      </c>
      <c r="K366" s="206">
        <v>45049</v>
      </c>
      <c r="L366" s="206"/>
      <c r="M366" s="206"/>
      <c r="N366" s="201"/>
      <c r="O366" s="201"/>
      <c r="P366" s="201"/>
      <c r="Q366" s="201"/>
      <c r="R366" s="791"/>
      <c r="S366" s="206"/>
      <c r="T366" s="201"/>
      <c r="U366" s="205">
        <v>0</v>
      </c>
      <c r="V366" s="201"/>
      <c r="W366" s="201"/>
    </row>
    <row r="367" spans="1:23" ht="22.5" customHeight="1" x14ac:dyDescent="0.25">
      <c r="A367" s="48">
        <v>149</v>
      </c>
      <c r="B367" s="255" t="s">
        <v>2769</v>
      </c>
      <c r="C367" s="255" t="s">
        <v>2769</v>
      </c>
      <c r="D367" s="201" t="s">
        <v>274</v>
      </c>
      <c r="E367" s="151">
        <v>2.8548800000000001</v>
      </c>
      <c r="F367" s="201">
        <v>20</v>
      </c>
      <c r="G367" s="151" t="s">
        <v>279</v>
      </c>
      <c r="H367" s="205">
        <v>0.35508326400000001</v>
      </c>
      <c r="I367" s="201" t="s">
        <v>272</v>
      </c>
      <c r="J367" s="206" t="s">
        <v>2770</v>
      </c>
      <c r="K367" s="206">
        <v>45056</v>
      </c>
      <c r="L367" s="206"/>
      <c r="M367" s="206"/>
      <c r="N367" s="201"/>
      <c r="O367" s="201"/>
      <c r="P367" s="201"/>
      <c r="Q367" s="201"/>
      <c r="R367" s="791"/>
      <c r="S367" s="206"/>
      <c r="T367" s="201"/>
      <c r="U367" s="205">
        <v>0.8</v>
      </c>
      <c r="V367" s="201"/>
      <c r="W367" s="201"/>
    </row>
    <row r="368" spans="1:23" ht="22.5" customHeight="1" x14ac:dyDescent="0.25">
      <c r="A368" s="48">
        <v>150</v>
      </c>
      <c r="B368" s="255" t="s">
        <v>2771</v>
      </c>
      <c r="C368" s="255" t="s">
        <v>2772</v>
      </c>
      <c r="D368" s="201" t="s">
        <v>276</v>
      </c>
      <c r="E368" s="151">
        <v>6</v>
      </c>
      <c r="F368" s="201">
        <v>20</v>
      </c>
      <c r="G368" s="151" t="s">
        <v>1440</v>
      </c>
      <c r="H368" s="205">
        <v>1.0367999999999999</v>
      </c>
      <c r="I368" s="201" t="s">
        <v>272</v>
      </c>
      <c r="J368" s="309">
        <v>918457</v>
      </c>
      <c r="K368" s="206" t="s">
        <v>2773</v>
      </c>
      <c r="L368" s="309">
        <v>918457</v>
      </c>
      <c r="M368" s="206" t="s">
        <v>2774</v>
      </c>
      <c r="N368" s="201"/>
      <c r="O368" s="201"/>
      <c r="P368" s="201"/>
      <c r="Q368" s="201"/>
      <c r="R368" s="791"/>
      <c r="S368" s="206"/>
      <c r="T368" s="201"/>
      <c r="U368" s="205">
        <v>0</v>
      </c>
      <c r="V368" s="201"/>
      <c r="W368" s="201"/>
    </row>
    <row r="369" spans="1:23" ht="22.5" customHeight="1" x14ac:dyDescent="0.25">
      <c r="A369" s="48">
        <v>151</v>
      </c>
      <c r="B369" s="255" t="s">
        <v>2775</v>
      </c>
      <c r="C369" s="255" t="s">
        <v>2776</v>
      </c>
      <c r="D369" s="201" t="s">
        <v>270</v>
      </c>
      <c r="E369" s="151">
        <v>1.25</v>
      </c>
      <c r="F369" s="201">
        <v>20</v>
      </c>
      <c r="G369" s="151" t="s">
        <v>1909</v>
      </c>
      <c r="H369" s="205">
        <v>0.21600000000000003</v>
      </c>
      <c r="I369" s="201" t="s">
        <v>272</v>
      </c>
      <c r="J369" s="309" t="s">
        <v>2777</v>
      </c>
      <c r="K369" s="206" t="s">
        <v>2778</v>
      </c>
      <c r="L369" s="309">
        <v>159586686</v>
      </c>
      <c r="M369" s="206">
        <v>42989</v>
      </c>
      <c r="N369" s="201"/>
      <c r="O369" s="201"/>
      <c r="P369" s="201"/>
      <c r="Q369" s="201"/>
      <c r="R369" s="791"/>
      <c r="S369" s="206"/>
      <c r="T369" s="201"/>
      <c r="U369" s="205">
        <v>0</v>
      </c>
      <c r="V369" s="201"/>
      <c r="W369" s="201"/>
    </row>
    <row r="370" spans="1:23" ht="22.5" customHeight="1" x14ac:dyDescent="0.25">
      <c r="A370" s="48">
        <v>152</v>
      </c>
      <c r="B370" s="255" t="s">
        <v>2779</v>
      </c>
      <c r="C370" s="255" t="s">
        <v>2780</v>
      </c>
      <c r="D370" s="201" t="s">
        <v>274</v>
      </c>
      <c r="E370" s="151">
        <v>1.482</v>
      </c>
      <c r="F370" s="201">
        <v>20</v>
      </c>
      <c r="G370" s="151" t="s">
        <v>1490</v>
      </c>
      <c r="H370" s="205">
        <v>0.18696959999999999</v>
      </c>
      <c r="I370" s="201" t="s">
        <v>272</v>
      </c>
      <c r="J370" s="309" t="s">
        <v>2781</v>
      </c>
      <c r="K370" s="206" t="s">
        <v>2782</v>
      </c>
      <c r="L370" s="309">
        <v>585752</v>
      </c>
      <c r="M370" s="206" t="s">
        <v>2783</v>
      </c>
      <c r="N370" s="201"/>
      <c r="O370" s="201"/>
      <c r="P370" s="201"/>
      <c r="Q370" s="201"/>
      <c r="R370" s="791"/>
      <c r="S370" s="206"/>
      <c r="T370" s="201"/>
      <c r="U370" s="205">
        <v>0.4</v>
      </c>
      <c r="V370" s="201"/>
      <c r="W370" s="201"/>
    </row>
    <row r="371" spans="1:23" ht="22.5" customHeight="1" x14ac:dyDescent="0.25">
      <c r="A371" s="48">
        <v>153</v>
      </c>
      <c r="B371" s="255" t="s">
        <v>2784</v>
      </c>
      <c r="C371" s="255" t="s">
        <v>2785</v>
      </c>
      <c r="D371" s="201" t="s">
        <v>274</v>
      </c>
      <c r="E371" s="151">
        <v>1.4119999999999999</v>
      </c>
      <c r="F371" s="201">
        <v>20</v>
      </c>
      <c r="G371" s="151" t="s">
        <v>1476</v>
      </c>
      <c r="H371" s="205">
        <v>0.2439936</v>
      </c>
      <c r="I371" s="201" t="s">
        <v>272</v>
      </c>
      <c r="J371" s="309" t="s">
        <v>2786</v>
      </c>
      <c r="K371" s="206" t="s">
        <v>2787</v>
      </c>
      <c r="L371" s="309">
        <v>110236101</v>
      </c>
      <c r="M371" s="206" t="s">
        <v>2788</v>
      </c>
      <c r="N371" s="201"/>
      <c r="O371" s="201"/>
      <c r="P371" s="201"/>
      <c r="Q371" s="201"/>
      <c r="R371" s="791"/>
      <c r="S371" s="206"/>
      <c r="T371" s="201"/>
      <c r="U371" s="205">
        <v>0</v>
      </c>
      <c r="V371" s="201"/>
      <c r="W371" s="201"/>
    </row>
    <row r="372" spans="1:23" ht="22.5" customHeight="1" x14ac:dyDescent="0.25">
      <c r="A372" s="48">
        <v>154</v>
      </c>
      <c r="B372" s="255" t="s">
        <v>2789</v>
      </c>
      <c r="C372" s="255" t="s">
        <v>2790</v>
      </c>
      <c r="D372" s="201" t="s">
        <v>274</v>
      </c>
      <c r="E372" s="151">
        <v>1</v>
      </c>
      <c r="F372" s="201">
        <v>20</v>
      </c>
      <c r="G372" s="201" t="s">
        <v>1427</v>
      </c>
      <c r="H372" s="205">
        <v>0.17280000000000001</v>
      </c>
      <c r="I372" s="201" t="s">
        <v>272</v>
      </c>
      <c r="J372" s="309" t="s">
        <v>2791</v>
      </c>
      <c r="K372" s="206" t="s">
        <v>2792</v>
      </c>
      <c r="L372" s="309">
        <v>149150767</v>
      </c>
      <c r="M372" s="206" t="s">
        <v>2793</v>
      </c>
      <c r="N372" s="201"/>
      <c r="O372" s="201"/>
      <c r="P372" s="201"/>
      <c r="Q372" s="201"/>
      <c r="R372" s="791"/>
      <c r="S372" s="206"/>
      <c r="T372" s="201"/>
      <c r="U372" s="205">
        <v>0</v>
      </c>
      <c r="V372" s="201"/>
      <c r="W372" s="201"/>
    </row>
    <row r="373" spans="1:23" ht="22.5" customHeight="1" x14ac:dyDescent="0.25">
      <c r="A373" s="48">
        <v>155</v>
      </c>
      <c r="B373" s="255" t="s">
        <v>2798</v>
      </c>
      <c r="C373" s="255" t="s">
        <v>2069</v>
      </c>
      <c r="D373" s="255" t="s">
        <v>276</v>
      </c>
      <c r="E373" s="331">
        <v>1</v>
      </c>
      <c r="F373" s="255" t="s">
        <v>177</v>
      </c>
      <c r="G373" s="255" t="s">
        <v>2799</v>
      </c>
      <c r="H373" s="332">
        <v>5.1408000000000002E-2</v>
      </c>
      <c r="I373" s="255" t="s">
        <v>272</v>
      </c>
      <c r="J373" s="255"/>
      <c r="K373" s="255"/>
      <c r="L373" s="255">
        <v>10360345</v>
      </c>
      <c r="M373" s="333">
        <v>45062</v>
      </c>
      <c r="N373" s="255"/>
      <c r="O373" s="255"/>
      <c r="P373" s="255"/>
      <c r="Q373" s="255"/>
      <c r="R373" s="401"/>
      <c r="S373" s="333"/>
      <c r="T373" s="255"/>
      <c r="U373" s="332">
        <v>0</v>
      </c>
      <c r="V373" s="255"/>
      <c r="W373" s="255"/>
    </row>
    <row r="374" spans="1:23" ht="22.5" customHeight="1" x14ac:dyDescent="0.25">
      <c r="A374" s="48">
        <v>156</v>
      </c>
      <c r="B374" s="255" t="s">
        <v>2800</v>
      </c>
      <c r="C374" s="255" t="s">
        <v>1565</v>
      </c>
      <c r="D374" s="255" t="s">
        <v>274</v>
      </c>
      <c r="E374" s="331">
        <v>1.4079999999999999</v>
      </c>
      <c r="F374" s="255" t="s">
        <v>183</v>
      </c>
      <c r="G374" s="255" t="s">
        <v>2801</v>
      </c>
      <c r="H374" s="332">
        <v>7.2382463999999994E-2</v>
      </c>
      <c r="I374" s="255" t="s">
        <v>272</v>
      </c>
      <c r="J374" s="255"/>
      <c r="K374" s="255"/>
      <c r="L374" s="255">
        <v>15194092</v>
      </c>
      <c r="M374" s="333">
        <v>45065</v>
      </c>
      <c r="N374" s="255"/>
      <c r="O374" s="255"/>
      <c r="P374" s="255"/>
      <c r="Q374" s="255"/>
      <c r="R374" s="401"/>
      <c r="S374" s="333"/>
      <c r="T374" s="255"/>
      <c r="U374" s="332">
        <v>0</v>
      </c>
      <c r="V374" s="255"/>
      <c r="W374" s="255"/>
    </row>
    <row r="375" spans="1:23" ht="22.5" customHeight="1" x14ac:dyDescent="0.25">
      <c r="A375" s="201">
        <f t="shared" ref="A375:A438" si="3">A374+1</f>
        <v>157</v>
      </c>
      <c r="B375" s="255" t="s">
        <v>2949</v>
      </c>
      <c r="C375" s="255" t="s">
        <v>2950</v>
      </c>
      <c r="D375" s="255" t="s">
        <v>276</v>
      </c>
      <c r="E375" s="331">
        <v>1</v>
      </c>
      <c r="F375" s="255">
        <v>20</v>
      </c>
      <c r="G375" s="255" t="s">
        <v>1440</v>
      </c>
      <c r="H375" s="332">
        <v>5.1408000000000002E-2</v>
      </c>
      <c r="I375" s="255" t="s">
        <v>272</v>
      </c>
      <c r="J375" s="331" t="s">
        <v>2951</v>
      </c>
      <c r="K375" s="333">
        <v>45063</v>
      </c>
      <c r="L375" s="255" t="s">
        <v>2951</v>
      </c>
      <c r="M375" s="255">
        <v>45251</v>
      </c>
      <c r="N375" s="255"/>
      <c r="O375" s="255"/>
      <c r="P375" s="255"/>
      <c r="Q375" s="255"/>
      <c r="R375" s="401"/>
      <c r="S375" s="333"/>
      <c r="T375" s="255"/>
      <c r="U375" s="332">
        <v>0</v>
      </c>
      <c r="V375" s="255"/>
      <c r="W375" s="255"/>
    </row>
    <row r="376" spans="1:23" ht="22.5" customHeight="1" x14ac:dyDescent="0.25">
      <c r="A376" s="201">
        <f t="shared" si="3"/>
        <v>158</v>
      </c>
      <c r="B376" s="255" t="s">
        <v>2952</v>
      </c>
      <c r="C376" s="255" t="s">
        <v>2953</v>
      </c>
      <c r="D376" s="255" t="s">
        <v>274</v>
      </c>
      <c r="E376" s="331">
        <v>2.1787000000000001</v>
      </c>
      <c r="F376" s="255">
        <v>20</v>
      </c>
      <c r="G376" s="255" t="s">
        <v>1579</v>
      </c>
      <c r="H376" s="332">
        <v>0.11200260960000001</v>
      </c>
      <c r="I376" s="255" t="s">
        <v>272</v>
      </c>
      <c r="J376" s="331"/>
      <c r="K376" s="333"/>
      <c r="L376" s="255" t="s">
        <v>2954</v>
      </c>
      <c r="M376" s="333">
        <v>45070</v>
      </c>
      <c r="N376" s="255"/>
      <c r="O376" s="255"/>
      <c r="P376" s="255"/>
      <c r="Q376" s="255"/>
      <c r="R376" s="401"/>
      <c r="S376" s="333"/>
      <c r="T376" s="255"/>
      <c r="U376" s="332">
        <v>0</v>
      </c>
      <c r="V376" s="255"/>
      <c r="W376" s="255"/>
    </row>
    <row r="377" spans="1:23" ht="22.5" customHeight="1" x14ac:dyDescent="0.25">
      <c r="A377" s="201">
        <f t="shared" si="3"/>
        <v>159</v>
      </c>
      <c r="B377" s="255" t="s">
        <v>2955</v>
      </c>
      <c r="C377" s="255" t="s">
        <v>1558</v>
      </c>
      <c r="D377" s="255" t="s">
        <v>274</v>
      </c>
      <c r="E377" s="331">
        <v>1.466</v>
      </c>
      <c r="F377" s="255">
        <v>20</v>
      </c>
      <c r="G377" s="255" t="s">
        <v>281</v>
      </c>
      <c r="H377" s="332">
        <v>7.5364128000000002E-2</v>
      </c>
      <c r="I377" s="255" t="s">
        <v>272</v>
      </c>
      <c r="J377" s="331"/>
      <c r="K377" s="255"/>
      <c r="L377" s="255" t="s">
        <v>2956</v>
      </c>
      <c r="M377" s="333">
        <v>45076</v>
      </c>
      <c r="N377" s="255"/>
      <c r="O377" s="255"/>
      <c r="P377" s="255"/>
      <c r="Q377" s="255"/>
      <c r="R377" s="401"/>
      <c r="S377" s="333"/>
      <c r="T377" s="255"/>
      <c r="U377" s="332">
        <v>0</v>
      </c>
      <c r="V377" s="255"/>
      <c r="W377" s="255"/>
    </row>
    <row r="378" spans="1:23" ht="22.5" customHeight="1" x14ac:dyDescent="0.25">
      <c r="A378" s="255">
        <f t="shared" si="3"/>
        <v>160</v>
      </c>
      <c r="B378" s="255" t="s">
        <v>1904</v>
      </c>
      <c r="C378" s="255" t="s">
        <v>3080</v>
      </c>
      <c r="D378" s="255" t="s">
        <v>274</v>
      </c>
      <c r="E378" s="255">
        <v>7.31325</v>
      </c>
      <c r="F378" s="255">
        <v>20</v>
      </c>
      <c r="G378" s="255" t="s">
        <v>1423</v>
      </c>
      <c r="H378" s="332">
        <v>0.37595955600000003</v>
      </c>
      <c r="I378" s="255" t="s">
        <v>272</v>
      </c>
      <c r="J378" s="255"/>
      <c r="K378" s="255"/>
      <c r="L378" s="255" t="s">
        <v>3081</v>
      </c>
      <c r="M378" s="333">
        <v>45090</v>
      </c>
      <c r="N378" s="255"/>
      <c r="O378" s="255"/>
      <c r="P378" s="255"/>
      <c r="Q378" s="255"/>
      <c r="R378" s="401"/>
      <c r="S378" s="333"/>
      <c r="T378" s="255"/>
      <c r="U378" s="332">
        <v>0</v>
      </c>
      <c r="V378" s="255"/>
      <c r="W378" s="255"/>
    </row>
    <row r="379" spans="1:23" ht="22.5" customHeight="1" x14ac:dyDescent="0.25">
      <c r="A379" s="255">
        <f t="shared" si="3"/>
        <v>161</v>
      </c>
      <c r="B379" s="255" t="s">
        <v>3114</v>
      </c>
      <c r="C379" s="255" t="s">
        <v>3115</v>
      </c>
      <c r="D379" s="255" t="s">
        <v>274</v>
      </c>
      <c r="E379" s="331">
        <v>2.6</v>
      </c>
      <c r="F379" s="255">
        <v>20</v>
      </c>
      <c r="G379" s="255" t="s">
        <v>1490</v>
      </c>
      <c r="H379" s="332">
        <v>5.1840000000000046E-2</v>
      </c>
      <c r="I379" s="255" t="s">
        <v>272</v>
      </c>
      <c r="J379" s="333" t="s">
        <v>3116</v>
      </c>
      <c r="K379" s="333">
        <v>45099</v>
      </c>
      <c r="L379" s="333" t="s">
        <v>3116</v>
      </c>
      <c r="M379" s="333">
        <v>45106</v>
      </c>
      <c r="N379" s="255"/>
      <c r="O379" s="255"/>
      <c r="P379" s="255"/>
      <c r="Q379" s="255"/>
      <c r="R379" s="401"/>
      <c r="S379" s="333"/>
      <c r="T379" s="255"/>
      <c r="U379" s="332">
        <v>2.2999999999999998</v>
      </c>
      <c r="V379" s="255"/>
      <c r="W379" s="255"/>
    </row>
    <row r="380" spans="1:23" ht="22.5" customHeight="1" x14ac:dyDescent="0.25">
      <c r="A380" s="255">
        <f t="shared" si="3"/>
        <v>162</v>
      </c>
      <c r="B380" s="255" t="s">
        <v>3117</v>
      </c>
      <c r="C380" s="255" t="s">
        <v>3118</v>
      </c>
      <c r="D380" s="255" t="s">
        <v>274</v>
      </c>
      <c r="E380" s="331">
        <v>1.0476000000000001</v>
      </c>
      <c r="F380" s="255">
        <v>20</v>
      </c>
      <c r="G380" s="255" t="s">
        <v>1024</v>
      </c>
      <c r="H380" s="332">
        <v>5.3855020800000007E-2</v>
      </c>
      <c r="I380" s="255" t="s">
        <v>272</v>
      </c>
      <c r="J380" s="255">
        <v>13224130</v>
      </c>
      <c r="K380" s="333">
        <v>45103</v>
      </c>
      <c r="L380" s="255"/>
      <c r="M380" s="255"/>
      <c r="N380" s="255"/>
      <c r="O380" s="255"/>
      <c r="P380" s="255"/>
      <c r="Q380" s="255"/>
      <c r="R380" s="401"/>
      <c r="S380" s="333"/>
      <c r="T380" s="255"/>
      <c r="U380" s="332">
        <v>0</v>
      </c>
      <c r="V380" s="255"/>
      <c r="W380" s="255"/>
    </row>
    <row r="381" spans="1:23" ht="22.5" customHeight="1" x14ac:dyDescent="0.25">
      <c r="A381" s="255">
        <f t="shared" si="3"/>
        <v>163</v>
      </c>
      <c r="B381" s="255" t="s">
        <v>1112</v>
      </c>
      <c r="C381" s="255" t="s">
        <v>3401</v>
      </c>
      <c r="D381" s="255" t="s">
        <v>270</v>
      </c>
      <c r="E381" s="386">
        <v>10</v>
      </c>
      <c r="F381" s="255" t="s">
        <v>217</v>
      </c>
      <c r="G381" s="255" t="s">
        <v>3402</v>
      </c>
      <c r="H381" s="332">
        <v>2.4</v>
      </c>
      <c r="I381" s="255" t="s">
        <v>272</v>
      </c>
      <c r="J381" s="255" t="s">
        <v>3403</v>
      </c>
      <c r="K381" s="333">
        <v>45110</v>
      </c>
      <c r="L381" s="255"/>
      <c r="M381" s="255"/>
      <c r="N381" s="255"/>
      <c r="O381" s="255"/>
      <c r="P381" s="255"/>
      <c r="Q381" s="255"/>
      <c r="R381" s="401"/>
      <c r="S381" s="333"/>
      <c r="T381" s="255"/>
      <c r="U381" s="332">
        <v>0</v>
      </c>
      <c r="V381" s="255"/>
      <c r="W381" s="255"/>
    </row>
    <row r="382" spans="1:23" ht="22.5" customHeight="1" x14ac:dyDescent="0.25">
      <c r="A382" s="255">
        <f t="shared" si="3"/>
        <v>164</v>
      </c>
      <c r="B382" s="255" t="s">
        <v>3404</v>
      </c>
      <c r="C382" s="255" t="s">
        <v>3405</v>
      </c>
      <c r="D382" s="255" t="s">
        <v>276</v>
      </c>
      <c r="E382" s="386">
        <v>1.2</v>
      </c>
      <c r="F382" s="255" t="s">
        <v>177</v>
      </c>
      <c r="G382" s="255" t="s">
        <v>1440</v>
      </c>
      <c r="H382" s="332">
        <v>6.1689599999999997E-2</v>
      </c>
      <c r="I382" s="255" t="s">
        <v>272</v>
      </c>
      <c r="J382" s="255" t="s">
        <v>3406</v>
      </c>
      <c r="K382" s="333">
        <v>45113</v>
      </c>
      <c r="L382" s="255"/>
      <c r="M382" s="255"/>
      <c r="N382" s="255"/>
      <c r="O382" s="255"/>
      <c r="P382" s="255"/>
      <c r="Q382" s="255"/>
      <c r="R382" s="401"/>
      <c r="S382" s="333"/>
      <c r="T382" s="255"/>
      <c r="U382" s="332">
        <v>0</v>
      </c>
      <c r="V382" s="255"/>
      <c r="W382" s="255"/>
    </row>
    <row r="383" spans="1:23" ht="22.5" customHeight="1" x14ac:dyDescent="0.25">
      <c r="A383" s="255">
        <f t="shared" si="3"/>
        <v>165</v>
      </c>
      <c r="B383" s="255" t="s">
        <v>3407</v>
      </c>
      <c r="C383" s="255" t="s">
        <v>3408</v>
      </c>
      <c r="D383" s="255" t="s">
        <v>276</v>
      </c>
      <c r="E383" s="386">
        <v>1.65</v>
      </c>
      <c r="F383" s="255" t="s">
        <v>177</v>
      </c>
      <c r="G383" s="255" t="s">
        <v>277</v>
      </c>
      <c r="H383" s="332">
        <v>5.9119199999999997E-2</v>
      </c>
      <c r="I383" s="255" t="s">
        <v>272</v>
      </c>
      <c r="J383" s="255" t="s">
        <v>3409</v>
      </c>
      <c r="K383" s="333">
        <v>45110</v>
      </c>
      <c r="L383" s="255" t="s">
        <v>3409</v>
      </c>
      <c r="M383" s="333">
        <v>45111</v>
      </c>
      <c r="N383" s="255"/>
      <c r="O383" s="255"/>
      <c r="P383" s="255"/>
      <c r="Q383" s="255"/>
      <c r="R383" s="401"/>
      <c r="S383" s="333"/>
      <c r="T383" s="255"/>
      <c r="U383" s="332">
        <v>0.5</v>
      </c>
      <c r="V383" s="255"/>
      <c r="W383" s="255"/>
    </row>
    <row r="384" spans="1:23" ht="22.5" customHeight="1" x14ac:dyDescent="0.25">
      <c r="A384" s="255">
        <f t="shared" si="3"/>
        <v>166</v>
      </c>
      <c r="B384" s="255" t="s">
        <v>3410</v>
      </c>
      <c r="C384" s="255" t="s">
        <v>3411</v>
      </c>
      <c r="D384" s="255" t="s">
        <v>274</v>
      </c>
      <c r="E384" s="386">
        <v>1.6</v>
      </c>
      <c r="F384" s="255">
        <v>10</v>
      </c>
      <c r="G384" s="255" t="s">
        <v>3412</v>
      </c>
      <c r="H384" s="332">
        <v>0.19008000000000003</v>
      </c>
      <c r="I384" s="255" t="s">
        <v>272</v>
      </c>
      <c r="J384" s="255" t="s">
        <v>3413</v>
      </c>
      <c r="K384" s="333">
        <v>45121</v>
      </c>
      <c r="L384" s="480" t="s">
        <v>3413</v>
      </c>
      <c r="M384" s="481">
        <v>45161</v>
      </c>
      <c r="N384" s="255">
        <v>45246</v>
      </c>
      <c r="O384" s="255"/>
      <c r="P384" s="255"/>
      <c r="Q384" s="255"/>
      <c r="R384" s="401"/>
      <c r="S384" s="333"/>
      <c r="T384" s="255"/>
      <c r="U384" s="332">
        <v>0.5</v>
      </c>
      <c r="V384" s="255"/>
      <c r="W384" s="255"/>
    </row>
    <row r="385" spans="1:23" ht="22.5" customHeight="1" x14ac:dyDescent="0.25">
      <c r="A385" s="255">
        <f t="shared" si="3"/>
        <v>167</v>
      </c>
      <c r="B385" s="255" t="s">
        <v>3414</v>
      </c>
      <c r="C385" s="255" t="s">
        <v>3415</v>
      </c>
      <c r="D385" s="255" t="s">
        <v>274</v>
      </c>
      <c r="E385" s="386">
        <v>1.5</v>
      </c>
      <c r="F385" s="255">
        <v>10</v>
      </c>
      <c r="G385" s="255" t="s">
        <v>3412</v>
      </c>
      <c r="H385" s="332">
        <v>0.25919999999999999</v>
      </c>
      <c r="I385" s="255" t="s">
        <v>272</v>
      </c>
      <c r="J385" s="255" t="s">
        <v>3416</v>
      </c>
      <c r="K385" s="333">
        <v>45126</v>
      </c>
      <c r="L385" s="255"/>
      <c r="M385" s="333"/>
      <c r="N385" s="255"/>
      <c r="O385" s="255"/>
      <c r="P385" s="255"/>
      <c r="Q385" s="255"/>
      <c r="R385" s="401"/>
      <c r="S385" s="333"/>
      <c r="T385" s="255"/>
      <c r="U385" s="332">
        <v>0</v>
      </c>
      <c r="V385" s="255"/>
      <c r="W385" s="255"/>
    </row>
    <row r="386" spans="1:23" ht="22.5" customHeight="1" x14ac:dyDescent="0.25">
      <c r="A386" s="255">
        <f t="shared" si="3"/>
        <v>168</v>
      </c>
      <c r="B386" s="255" t="s">
        <v>3417</v>
      </c>
      <c r="C386" s="255" t="s">
        <v>3418</v>
      </c>
      <c r="D386" s="255" t="s">
        <v>274</v>
      </c>
      <c r="E386" s="386">
        <v>3.2759999999999998</v>
      </c>
      <c r="F386" s="255">
        <v>20</v>
      </c>
      <c r="G386" s="255" t="s">
        <v>1423</v>
      </c>
      <c r="H386" s="332">
        <v>0.56609279999999995</v>
      </c>
      <c r="I386" s="255" t="s">
        <v>272</v>
      </c>
      <c r="J386" s="255" t="s">
        <v>3419</v>
      </c>
      <c r="K386" s="333">
        <v>45135</v>
      </c>
      <c r="L386" s="255"/>
      <c r="M386" s="333"/>
      <c r="N386" s="255"/>
      <c r="O386" s="255"/>
      <c r="P386" s="255"/>
      <c r="Q386" s="255"/>
      <c r="R386" s="401"/>
      <c r="S386" s="333"/>
      <c r="T386" s="255"/>
      <c r="U386" s="332">
        <v>0</v>
      </c>
      <c r="V386" s="255"/>
      <c r="W386" s="255"/>
    </row>
    <row r="387" spans="1:23" ht="22.5" customHeight="1" x14ac:dyDescent="0.25">
      <c r="A387" s="255">
        <f t="shared" si="3"/>
        <v>169</v>
      </c>
      <c r="B387" s="255" t="s">
        <v>3420</v>
      </c>
      <c r="C387" s="255" t="s">
        <v>3421</v>
      </c>
      <c r="D387" s="255" t="s">
        <v>274</v>
      </c>
      <c r="E387" s="386">
        <v>5.5</v>
      </c>
      <c r="F387" s="255">
        <v>20</v>
      </c>
      <c r="G387" s="255" t="s">
        <v>3422</v>
      </c>
      <c r="H387" s="332">
        <v>1.0560000000000003</v>
      </c>
      <c r="I387" s="255" t="s">
        <v>272</v>
      </c>
      <c r="J387" s="255" t="s">
        <v>3423</v>
      </c>
      <c r="K387" s="333">
        <v>45135</v>
      </c>
      <c r="L387" s="255"/>
      <c r="M387" s="333"/>
      <c r="N387" s="255"/>
      <c r="O387" s="255"/>
      <c r="P387" s="255"/>
      <c r="Q387" s="255"/>
      <c r="R387" s="401"/>
      <c r="S387" s="333"/>
      <c r="T387" s="255"/>
      <c r="U387" s="332">
        <v>0</v>
      </c>
      <c r="V387" s="255"/>
      <c r="W387" s="255"/>
    </row>
    <row r="388" spans="1:23" ht="22.5" customHeight="1" x14ac:dyDescent="0.25">
      <c r="A388" s="255">
        <f t="shared" si="3"/>
        <v>170</v>
      </c>
      <c r="B388" s="255" t="s">
        <v>3424</v>
      </c>
      <c r="C388" s="255" t="s">
        <v>3425</v>
      </c>
      <c r="D388" s="255" t="s">
        <v>274</v>
      </c>
      <c r="E388" s="386">
        <v>8.6270000000000007</v>
      </c>
      <c r="F388" s="255">
        <v>20</v>
      </c>
      <c r="G388" s="255" t="s">
        <v>1427</v>
      </c>
      <c r="H388" s="332">
        <v>0.44349681600000007</v>
      </c>
      <c r="I388" s="255" t="s">
        <v>272</v>
      </c>
      <c r="J388" s="255"/>
      <c r="K388" s="333"/>
      <c r="L388" s="255" t="s">
        <v>3426</v>
      </c>
      <c r="M388" s="333">
        <v>45119</v>
      </c>
      <c r="N388" s="255"/>
      <c r="O388" s="255"/>
      <c r="P388" s="255"/>
      <c r="Q388" s="255"/>
      <c r="R388" s="401"/>
      <c r="S388" s="333"/>
      <c r="T388" s="255"/>
      <c r="U388" s="332">
        <v>0</v>
      </c>
      <c r="V388" s="255"/>
      <c r="W388" s="255"/>
    </row>
    <row r="389" spans="1:23" ht="22.5" customHeight="1" x14ac:dyDescent="0.25">
      <c r="A389" s="255">
        <f t="shared" si="3"/>
        <v>171</v>
      </c>
      <c r="B389" s="255" t="s">
        <v>3427</v>
      </c>
      <c r="C389" s="255" t="s">
        <v>3428</v>
      </c>
      <c r="D389" s="255" t="s">
        <v>274</v>
      </c>
      <c r="E389" s="386">
        <v>1.2709999999999999</v>
      </c>
      <c r="F389" s="255">
        <v>10</v>
      </c>
      <c r="G389" s="255" t="s">
        <v>1427</v>
      </c>
      <c r="H389" s="332">
        <v>6.5339568000000001E-2</v>
      </c>
      <c r="I389" s="255" t="s">
        <v>272</v>
      </c>
      <c r="J389" s="255"/>
      <c r="K389" s="255"/>
      <c r="L389" s="255" t="s">
        <v>3429</v>
      </c>
      <c r="M389" s="333">
        <v>45126</v>
      </c>
      <c r="N389" s="255"/>
      <c r="O389" s="255"/>
      <c r="P389" s="255"/>
      <c r="Q389" s="255"/>
      <c r="R389" s="401"/>
      <c r="S389" s="333"/>
      <c r="T389" s="255"/>
      <c r="U389" s="332">
        <v>0</v>
      </c>
      <c r="V389" s="255"/>
      <c r="W389" s="255"/>
    </row>
    <row r="390" spans="1:23" ht="22.5" customHeight="1" x14ac:dyDescent="0.25">
      <c r="A390" s="255">
        <f t="shared" si="3"/>
        <v>172</v>
      </c>
      <c r="B390" s="255" t="s">
        <v>3486</v>
      </c>
      <c r="C390" s="255" t="s">
        <v>1529</v>
      </c>
      <c r="D390" s="255" t="s">
        <v>274</v>
      </c>
      <c r="E390" s="386">
        <v>2.1671999999999998</v>
      </c>
      <c r="F390" s="255">
        <v>10</v>
      </c>
      <c r="G390" s="255" t="s">
        <v>3487</v>
      </c>
      <c r="H390" s="332">
        <v>0.11141141759999999</v>
      </c>
      <c r="I390" s="255" t="s">
        <v>272</v>
      </c>
      <c r="J390" s="255"/>
      <c r="K390" s="255"/>
      <c r="L390" s="255">
        <v>17481091</v>
      </c>
      <c r="M390" s="333">
        <v>45147</v>
      </c>
      <c r="N390" s="255"/>
      <c r="O390" s="255"/>
      <c r="P390" s="255"/>
      <c r="Q390" s="255"/>
      <c r="R390" s="401"/>
      <c r="S390" s="333"/>
      <c r="T390" s="255"/>
      <c r="U390" s="332"/>
      <c r="V390" s="255"/>
      <c r="W390" s="255"/>
    </row>
    <row r="391" spans="1:23" ht="22.5" customHeight="1" x14ac:dyDescent="0.25">
      <c r="A391" s="255">
        <f t="shared" si="3"/>
        <v>173</v>
      </c>
      <c r="B391" s="255" t="s">
        <v>3498</v>
      </c>
      <c r="C391" s="255" t="s">
        <v>3499</v>
      </c>
      <c r="D391" s="255" t="s">
        <v>276</v>
      </c>
      <c r="E391" s="386">
        <v>2.4289999999999998</v>
      </c>
      <c r="F391" s="401">
        <v>20</v>
      </c>
      <c r="G391" s="255" t="s">
        <v>1683</v>
      </c>
      <c r="H391" s="332">
        <v>0.46636800000000006</v>
      </c>
      <c r="I391" s="255" t="s">
        <v>272</v>
      </c>
      <c r="J391" s="255" t="s">
        <v>3500</v>
      </c>
      <c r="K391" s="333">
        <v>45162</v>
      </c>
      <c r="L391" s="255"/>
      <c r="M391" s="333"/>
      <c r="N391" s="333"/>
      <c r="O391" s="255"/>
      <c r="P391" s="255"/>
      <c r="Q391" s="255"/>
      <c r="R391" s="401"/>
      <c r="S391" s="333"/>
      <c r="T391" s="255"/>
      <c r="U391" s="332">
        <v>0</v>
      </c>
      <c r="V391" s="255"/>
      <c r="W391" s="255"/>
    </row>
    <row r="392" spans="1:23" ht="22.5" customHeight="1" x14ac:dyDescent="0.25">
      <c r="A392" s="255">
        <f t="shared" si="3"/>
        <v>174</v>
      </c>
      <c r="B392" s="255" t="s">
        <v>3501</v>
      </c>
      <c r="C392" s="255" t="s">
        <v>3502</v>
      </c>
      <c r="D392" s="255" t="s">
        <v>274</v>
      </c>
      <c r="E392" s="386">
        <v>10</v>
      </c>
      <c r="F392" s="401">
        <v>110</v>
      </c>
      <c r="G392" s="255" t="s">
        <v>1472</v>
      </c>
      <c r="H392" s="332">
        <v>2.4</v>
      </c>
      <c r="I392" s="255" t="s">
        <v>272</v>
      </c>
      <c r="J392" s="255" t="s">
        <v>3503</v>
      </c>
      <c r="K392" s="333">
        <v>45170</v>
      </c>
      <c r="L392" s="255"/>
      <c r="M392" s="333"/>
      <c r="N392" s="333"/>
      <c r="O392" s="255"/>
      <c r="P392" s="255"/>
      <c r="Q392" s="255"/>
      <c r="R392" s="401"/>
      <c r="S392" s="333"/>
      <c r="T392" s="255"/>
      <c r="U392" s="332">
        <v>0</v>
      </c>
      <c r="V392" s="255"/>
      <c r="W392" s="255"/>
    </row>
    <row r="393" spans="1:23" ht="22.5" customHeight="1" x14ac:dyDescent="0.25">
      <c r="A393" s="255">
        <f t="shared" si="3"/>
        <v>175</v>
      </c>
      <c r="B393" s="255" t="s">
        <v>3486</v>
      </c>
      <c r="C393" s="255" t="s">
        <v>1529</v>
      </c>
      <c r="D393" s="255" t="s">
        <v>274</v>
      </c>
      <c r="E393" s="386">
        <v>2.1671999999999998</v>
      </c>
      <c r="F393" s="401">
        <v>10</v>
      </c>
      <c r="G393" s="255" t="s">
        <v>3504</v>
      </c>
      <c r="H393" s="332">
        <v>0.11141141759999999</v>
      </c>
      <c r="I393" s="255" t="s">
        <v>272</v>
      </c>
      <c r="J393" s="255"/>
      <c r="K393" s="333"/>
      <c r="L393" s="255" t="s">
        <v>3505</v>
      </c>
      <c r="M393" s="333">
        <v>45147</v>
      </c>
      <c r="N393" s="333"/>
      <c r="O393" s="255"/>
      <c r="P393" s="255"/>
      <c r="Q393" s="255"/>
      <c r="R393" s="401"/>
      <c r="S393" s="333"/>
      <c r="T393" s="255"/>
      <c r="U393" s="332">
        <v>0</v>
      </c>
      <c r="V393" s="255"/>
      <c r="W393" s="255"/>
    </row>
    <row r="394" spans="1:23" ht="22.5" customHeight="1" x14ac:dyDescent="0.25">
      <c r="A394" s="255">
        <f t="shared" si="3"/>
        <v>176</v>
      </c>
      <c r="B394" s="255" t="s">
        <v>3579</v>
      </c>
      <c r="C394" s="255" t="s">
        <v>3408</v>
      </c>
      <c r="D394" s="255" t="s">
        <v>276</v>
      </c>
      <c r="E394" s="331">
        <v>1.95</v>
      </c>
      <c r="F394" s="255">
        <v>20</v>
      </c>
      <c r="G394" s="255" t="s">
        <v>277</v>
      </c>
      <c r="H394" s="332">
        <v>7.45416E-2</v>
      </c>
      <c r="I394" s="333" t="s">
        <v>272</v>
      </c>
      <c r="J394" s="333" t="s">
        <v>3580</v>
      </c>
      <c r="K394" s="333">
        <v>45182</v>
      </c>
      <c r="L394" s="333" t="s">
        <v>3580</v>
      </c>
      <c r="M394" s="333">
        <v>45183</v>
      </c>
      <c r="N394" s="333"/>
      <c r="O394" s="255"/>
      <c r="P394" s="255"/>
      <c r="Q394" s="255"/>
      <c r="R394" s="401" t="s">
        <v>3701</v>
      </c>
      <c r="S394" s="333">
        <v>45194</v>
      </c>
      <c r="T394" s="331">
        <v>1.95</v>
      </c>
      <c r="U394" s="332">
        <v>0.5</v>
      </c>
      <c r="V394" s="255"/>
      <c r="W394" s="255"/>
    </row>
    <row r="395" spans="1:23" ht="22.5" customHeight="1" x14ac:dyDescent="0.25">
      <c r="A395" s="255">
        <f t="shared" si="3"/>
        <v>177</v>
      </c>
      <c r="B395" s="255" t="s">
        <v>2606</v>
      </c>
      <c r="C395" s="255" t="s">
        <v>2607</v>
      </c>
      <c r="D395" s="255" t="s">
        <v>274</v>
      </c>
      <c r="E395" s="331">
        <v>2.95</v>
      </c>
      <c r="F395" s="255" t="s">
        <v>177</v>
      </c>
      <c r="G395" s="255" t="s">
        <v>1024</v>
      </c>
      <c r="H395" s="332">
        <v>0.12959999999999999</v>
      </c>
      <c r="I395" s="333" t="s">
        <v>272</v>
      </c>
      <c r="J395" s="333" t="s">
        <v>2608</v>
      </c>
      <c r="K395" s="333">
        <v>45019</v>
      </c>
      <c r="L395" s="333" t="s">
        <v>2608</v>
      </c>
      <c r="M395" s="333">
        <v>45176</v>
      </c>
      <c r="N395" s="333"/>
      <c r="O395" s="255"/>
      <c r="P395" s="255"/>
      <c r="Q395" s="255"/>
      <c r="R395" s="401"/>
      <c r="S395" s="333"/>
      <c r="T395" s="331"/>
      <c r="U395" s="332">
        <v>2.2000000000000002</v>
      </c>
      <c r="V395" s="255"/>
      <c r="W395" s="255"/>
    </row>
    <row r="396" spans="1:23" ht="22.5" customHeight="1" x14ac:dyDescent="0.25">
      <c r="A396" s="255">
        <f t="shared" si="3"/>
        <v>178</v>
      </c>
      <c r="B396" s="255" t="s">
        <v>3581</v>
      </c>
      <c r="C396" s="255" t="s">
        <v>3582</v>
      </c>
      <c r="D396" s="255" t="s">
        <v>274</v>
      </c>
      <c r="E396" s="331">
        <v>1.15306</v>
      </c>
      <c r="F396" s="255">
        <v>20</v>
      </c>
      <c r="G396" s="255" t="s">
        <v>1430</v>
      </c>
      <c r="H396" s="332">
        <v>5.9276508480000004E-2</v>
      </c>
      <c r="I396" s="255" t="s">
        <v>272</v>
      </c>
      <c r="J396" s="255"/>
      <c r="K396" s="255"/>
      <c r="L396" s="255" t="s">
        <v>3583</v>
      </c>
      <c r="M396" s="333">
        <v>45183</v>
      </c>
      <c r="N396" s="255"/>
      <c r="O396" s="255"/>
      <c r="P396" s="255"/>
      <c r="Q396" s="255"/>
      <c r="R396" s="401"/>
      <c r="S396" s="333"/>
      <c r="T396" s="255"/>
      <c r="U396" s="332">
        <v>0</v>
      </c>
      <c r="V396" s="255"/>
      <c r="W396" s="255"/>
    </row>
    <row r="397" spans="1:23" ht="22.5" customHeight="1" x14ac:dyDescent="0.25">
      <c r="A397" s="255">
        <f t="shared" si="3"/>
        <v>179</v>
      </c>
      <c r="B397" s="255" t="s">
        <v>3689</v>
      </c>
      <c r="C397" s="255" t="s">
        <v>3690</v>
      </c>
      <c r="D397" s="255" t="s">
        <v>274</v>
      </c>
      <c r="E397" s="386">
        <v>1.25</v>
      </c>
      <c r="F397" s="255">
        <v>20</v>
      </c>
      <c r="G397" s="255" t="s">
        <v>1486</v>
      </c>
      <c r="H397" s="332">
        <v>3.0947616000000001E-2</v>
      </c>
      <c r="I397" s="333" t="s">
        <v>272</v>
      </c>
      <c r="J397" s="333" t="s">
        <v>3691</v>
      </c>
      <c r="K397" s="333">
        <v>45189</v>
      </c>
      <c r="L397" s="333"/>
      <c r="M397" s="333"/>
      <c r="N397" s="333"/>
      <c r="O397" s="255"/>
      <c r="P397" s="333"/>
      <c r="Q397" s="331"/>
      <c r="R397" s="401"/>
      <c r="S397" s="333"/>
      <c r="T397" s="255"/>
      <c r="U397" s="332">
        <v>0.64800000000000002</v>
      </c>
      <c r="V397" s="255"/>
      <c r="W397" s="255"/>
    </row>
    <row r="398" spans="1:23" ht="22.5" customHeight="1" x14ac:dyDescent="0.25">
      <c r="A398" s="255">
        <f t="shared" si="3"/>
        <v>180</v>
      </c>
      <c r="B398" s="255" t="s">
        <v>2443</v>
      </c>
      <c r="C398" s="255" t="s">
        <v>3692</v>
      </c>
      <c r="D398" s="255" t="s">
        <v>274</v>
      </c>
      <c r="E398" s="386">
        <v>1.2</v>
      </c>
      <c r="F398" s="255">
        <v>20</v>
      </c>
      <c r="G398" s="255" t="s">
        <v>1472</v>
      </c>
      <c r="H398" s="332">
        <v>6.1689599999999997E-2</v>
      </c>
      <c r="I398" s="333" t="s">
        <v>272</v>
      </c>
      <c r="J398" s="333" t="s">
        <v>3693</v>
      </c>
      <c r="K398" s="333">
        <v>45177</v>
      </c>
      <c r="L398" s="333"/>
      <c r="M398" s="333"/>
      <c r="N398" s="333"/>
      <c r="O398" s="255"/>
      <c r="P398" s="333"/>
      <c r="Q398" s="331"/>
      <c r="R398" s="401"/>
      <c r="S398" s="333"/>
      <c r="T398" s="255"/>
      <c r="U398" s="332">
        <v>0</v>
      </c>
      <c r="V398" s="255"/>
      <c r="W398" s="255"/>
    </row>
    <row r="399" spans="1:23" ht="22.5" customHeight="1" x14ac:dyDescent="0.25">
      <c r="A399" s="255">
        <f t="shared" si="3"/>
        <v>181</v>
      </c>
      <c r="B399" s="255" t="s">
        <v>3694</v>
      </c>
      <c r="C399" s="255" t="s">
        <v>3695</v>
      </c>
      <c r="D399" s="255" t="s">
        <v>276</v>
      </c>
      <c r="E399" s="386">
        <v>1</v>
      </c>
      <c r="F399" s="255">
        <v>20</v>
      </c>
      <c r="G399" s="255" t="s">
        <v>1440</v>
      </c>
      <c r="H399" s="332">
        <v>5.1408000000000002E-2</v>
      </c>
      <c r="I399" s="333" t="s">
        <v>272</v>
      </c>
      <c r="J399" s="333" t="s">
        <v>3696</v>
      </c>
      <c r="K399" s="333">
        <v>45189</v>
      </c>
      <c r="L399" s="333"/>
      <c r="M399" s="333"/>
      <c r="N399" s="333"/>
      <c r="O399" s="255"/>
      <c r="P399" s="333"/>
      <c r="Q399" s="331"/>
      <c r="R399" s="401"/>
      <c r="S399" s="333"/>
      <c r="T399" s="255"/>
      <c r="U399" s="332">
        <v>0</v>
      </c>
      <c r="V399" s="255"/>
      <c r="W399" s="255"/>
    </row>
    <row r="400" spans="1:23" ht="22.5" customHeight="1" x14ac:dyDescent="0.25">
      <c r="A400" s="255">
        <f t="shared" si="3"/>
        <v>182</v>
      </c>
      <c r="B400" s="255" t="s">
        <v>1459</v>
      </c>
      <c r="C400" s="255" t="s">
        <v>3697</v>
      </c>
      <c r="D400" s="255" t="s">
        <v>274</v>
      </c>
      <c r="E400" s="386">
        <v>3.5</v>
      </c>
      <c r="F400" s="255">
        <v>20</v>
      </c>
      <c r="G400" s="255" t="s">
        <v>1486</v>
      </c>
      <c r="H400" s="332">
        <v>0.179928</v>
      </c>
      <c r="I400" s="333" t="s">
        <v>272</v>
      </c>
      <c r="J400" s="333" t="s">
        <v>3698</v>
      </c>
      <c r="K400" s="333">
        <v>45189</v>
      </c>
      <c r="L400" s="333"/>
      <c r="M400" s="333"/>
      <c r="N400" s="333"/>
      <c r="O400" s="255"/>
      <c r="P400" s="333"/>
      <c r="Q400" s="331"/>
      <c r="R400" s="401"/>
      <c r="S400" s="333"/>
      <c r="T400" s="255"/>
      <c r="U400" s="332">
        <v>0</v>
      </c>
      <c r="V400" s="255"/>
      <c r="W400" s="255"/>
    </row>
    <row r="401" spans="1:23" ht="22.5" customHeight="1" x14ac:dyDescent="0.25">
      <c r="A401" s="255">
        <f t="shared" si="3"/>
        <v>183</v>
      </c>
      <c r="B401" s="255" t="s">
        <v>1484</v>
      </c>
      <c r="C401" s="255" t="s">
        <v>3699</v>
      </c>
      <c r="D401" s="255" t="s">
        <v>274</v>
      </c>
      <c r="E401" s="386">
        <v>1.472</v>
      </c>
      <c r="F401" s="255">
        <v>20</v>
      </c>
      <c r="G401" s="255" t="s">
        <v>1486</v>
      </c>
      <c r="H401" s="332">
        <v>7.5672576000000005E-2</v>
      </c>
      <c r="I401" s="333" t="s">
        <v>272</v>
      </c>
      <c r="J401" s="333" t="s">
        <v>3700</v>
      </c>
      <c r="K401" s="333">
        <v>45195</v>
      </c>
      <c r="L401" s="333"/>
      <c r="M401" s="333"/>
      <c r="N401" s="333"/>
      <c r="O401" s="255"/>
      <c r="P401" s="333"/>
      <c r="Q401" s="331"/>
      <c r="R401" s="401"/>
      <c r="S401" s="333"/>
      <c r="T401" s="255"/>
      <c r="U401" s="332">
        <v>0</v>
      </c>
      <c r="V401" s="255"/>
      <c r="W401" s="255"/>
    </row>
    <row r="402" spans="1:23" ht="22.5" customHeight="1" x14ac:dyDescent="0.25">
      <c r="A402" s="255">
        <f t="shared" si="3"/>
        <v>184</v>
      </c>
      <c r="B402" s="255" t="s">
        <v>2267</v>
      </c>
      <c r="C402" s="255" t="s">
        <v>2268</v>
      </c>
      <c r="D402" s="255" t="s">
        <v>276</v>
      </c>
      <c r="E402" s="331">
        <v>1.4970000000000001</v>
      </c>
      <c r="F402" s="255" t="s">
        <v>177</v>
      </c>
      <c r="G402" s="255" t="s">
        <v>2269</v>
      </c>
      <c r="H402" s="332">
        <v>7.6957776000000006E-2</v>
      </c>
      <c r="I402" s="333" t="s">
        <v>272</v>
      </c>
      <c r="J402" s="333" t="s">
        <v>2270</v>
      </c>
      <c r="K402" s="333">
        <v>44897</v>
      </c>
      <c r="L402" s="333" t="s">
        <v>2270</v>
      </c>
      <c r="M402" s="333">
        <v>45190</v>
      </c>
      <c r="N402" s="333">
        <v>45268</v>
      </c>
      <c r="O402" s="255"/>
      <c r="P402" s="255"/>
      <c r="Q402" s="255"/>
      <c r="R402" s="401"/>
      <c r="S402" s="333"/>
      <c r="T402" s="331"/>
      <c r="U402" s="332">
        <v>0</v>
      </c>
      <c r="V402" s="255"/>
      <c r="W402" s="255"/>
    </row>
    <row r="403" spans="1:23" ht="22.5" customHeight="1" x14ac:dyDescent="0.25">
      <c r="A403" s="255">
        <f t="shared" si="3"/>
        <v>185</v>
      </c>
      <c r="B403" s="255" t="s">
        <v>2609</v>
      </c>
      <c r="C403" s="255" t="s">
        <v>2610</v>
      </c>
      <c r="D403" s="255" t="s">
        <v>276</v>
      </c>
      <c r="E403" s="331">
        <v>7.1</v>
      </c>
      <c r="F403" s="255" t="s">
        <v>177</v>
      </c>
      <c r="G403" s="255" t="s">
        <v>2269</v>
      </c>
      <c r="H403" s="332">
        <v>0.69120000000000004</v>
      </c>
      <c r="I403" s="333" t="s">
        <v>272</v>
      </c>
      <c r="J403" s="333" t="s">
        <v>2611</v>
      </c>
      <c r="K403" s="333">
        <v>45029</v>
      </c>
      <c r="L403" s="333" t="s">
        <v>2611</v>
      </c>
      <c r="M403" s="333">
        <v>45196</v>
      </c>
      <c r="N403" s="333"/>
      <c r="O403" s="255"/>
      <c r="P403" s="255" t="s">
        <v>3765</v>
      </c>
      <c r="Q403" s="255"/>
      <c r="R403" s="401"/>
      <c r="S403" s="333"/>
      <c r="T403" s="331"/>
      <c r="U403" s="332">
        <v>3.5</v>
      </c>
      <c r="V403" s="255"/>
      <c r="W403" s="255"/>
    </row>
    <row r="404" spans="1:23" ht="22.5" customHeight="1" x14ac:dyDescent="0.25">
      <c r="A404" s="255">
        <f t="shared" si="3"/>
        <v>186</v>
      </c>
      <c r="B404" s="255" t="s">
        <v>3766</v>
      </c>
      <c r="C404" s="255" t="s">
        <v>3767</v>
      </c>
      <c r="D404" s="255" t="s">
        <v>274</v>
      </c>
      <c r="E404" s="331">
        <v>2.48</v>
      </c>
      <c r="F404" s="255">
        <v>20</v>
      </c>
      <c r="G404" s="255" t="s">
        <v>1414</v>
      </c>
      <c r="H404" s="332">
        <v>0.42854400000000004</v>
      </c>
      <c r="I404" s="333" t="s">
        <v>272</v>
      </c>
      <c r="J404" s="333" t="s">
        <v>3768</v>
      </c>
      <c r="K404" s="333">
        <v>45208</v>
      </c>
      <c r="L404" s="333"/>
      <c r="M404" s="333"/>
      <c r="N404" s="333"/>
      <c r="O404" s="255"/>
      <c r="P404" s="255"/>
      <c r="Q404" s="255"/>
      <c r="R404" s="401"/>
      <c r="S404" s="333"/>
      <c r="T404" s="331"/>
      <c r="U404" s="332">
        <v>0</v>
      </c>
      <c r="V404" s="255"/>
      <c r="W404" s="255"/>
    </row>
    <row r="405" spans="1:23" ht="22.5" customHeight="1" x14ac:dyDescent="0.25">
      <c r="A405" s="255">
        <f t="shared" si="3"/>
        <v>187</v>
      </c>
      <c r="B405" s="255" t="s">
        <v>3843</v>
      </c>
      <c r="C405" s="255" t="s">
        <v>3844</v>
      </c>
      <c r="D405" s="255" t="s">
        <v>276</v>
      </c>
      <c r="E405" s="331">
        <v>3</v>
      </c>
      <c r="F405" s="255" t="s">
        <v>177</v>
      </c>
      <c r="G405" s="255" t="s">
        <v>3845</v>
      </c>
      <c r="H405" s="332">
        <v>0.154224</v>
      </c>
      <c r="I405" s="255" t="s">
        <v>272</v>
      </c>
      <c r="J405" s="255" t="s">
        <v>3846</v>
      </c>
      <c r="K405" s="333">
        <v>45232</v>
      </c>
      <c r="L405" s="255"/>
      <c r="M405" s="255"/>
      <c r="N405" s="255"/>
      <c r="O405" s="255"/>
      <c r="P405" s="255"/>
      <c r="Q405" s="255"/>
      <c r="R405" s="401"/>
      <c r="S405" s="333"/>
      <c r="T405" s="255"/>
      <c r="U405" s="332">
        <v>0</v>
      </c>
      <c r="V405" s="255"/>
      <c r="W405" s="255"/>
    </row>
    <row r="406" spans="1:23" ht="22.5" customHeight="1" x14ac:dyDescent="0.25">
      <c r="A406" s="255">
        <f t="shared" si="3"/>
        <v>188</v>
      </c>
      <c r="B406" s="255" t="s">
        <v>3420</v>
      </c>
      <c r="C406" s="255" t="s">
        <v>3847</v>
      </c>
      <c r="D406" s="255" t="s">
        <v>274</v>
      </c>
      <c r="E406" s="331">
        <v>5.2</v>
      </c>
      <c r="F406" s="255" t="s">
        <v>177</v>
      </c>
      <c r="G406" s="255" t="s">
        <v>2348</v>
      </c>
      <c r="H406" s="332">
        <v>0.89856000000000003</v>
      </c>
      <c r="I406" s="255" t="s">
        <v>272</v>
      </c>
      <c r="J406" s="255" t="s">
        <v>3848</v>
      </c>
      <c r="K406" s="333">
        <v>45230</v>
      </c>
      <c r="L406" s="255"/>
      <c r="M406" s="255"/>
      <c r="N406" s="255"/>
      <c r="O406" s="255"/>
      <c r="P406" s="255"/>
      <c r="Q406" s="255"/>
      <c r="R406" s="401"/>
      <c r="S406" s="333"/>
      <c r="T406" s="255"/>
      <c r="U406" s="332">
        <v>0</v>
      </c>
      <c r="V406" s="255"/>
      <c r="W406" s="255"/>
    </row>
    <row r="407" spans="1:23" ht="22.5" customHeight="1" x14ac:dyDescent="0.25">
      <c r="A407" s="255">
        <f t="shared" si="3"/>
        <v>189</v>
      </c>
      <c r="B407" s="255" t="s">
        <v>3849</v>
      </c>
      <c r="C407" s="255" t="s">
        <v>3850</v>
      </c>
      <c r="D407" s="255" t="s">
        <v>276</v>
      </c>
      <c r="E407" s="331">
        <v>2.968</v>
      </c>
      <c r="F407" s="255" t="s">
        <v>177</v>
      </c>
      <c r="G407" s="255" t="s">
        <v>1772</v>
      </c>
      <c r="H407" s="332">
        <v>0.15206486400000002</v>
      </c>
      <c r="I407" s="255" t="s">
        <v>272</v>
      </c>
      <c r="J407" s="255" t="s">
        <v>3851</v>
      </c>
      <c r="K407" s="333">
        <v>45233</v>
      </c>
      <c r="L407" s="255"/>
      <c r="M407" s="255"/>
      <c r="N407" s="255"/>
      <c r="O407" s="255"/>
      <c r="P407" s="255"/>
      <c r="Q407" s="255"/>
      <c r="R407" s="401"/>
      <c r="S407" s="333"/>
      <c r="T407" s="255"/>
      <c r="U407" s="332">
        <v>0.01</v>
      </c>
      <c r="V407" s="255"/>
      <c r="W407" s="255"/>
    </row>
    <row r="408" spans="1:23" ht="22.5" customHeight="1" x14ac:dyDescent="0.25">
      <c r="A408" s="255">
        <f t="shared" si="3"/>
        <v>190</v>
      </c>
      <c r="B408" s="255" t="s">
        <v>3979</v>
      </c>
      <c r="C408" s="255" t="s">
        <v>135</v>
      </c>
      <c r="D408" s="255" t="s">
        <v>276</v>
      </c>
      <c r="E408" s="331">
        <v>1.25</v>
      </c>
      <c r="F408" s="255" t="s">
        <v>177</v>
      </c>
      <c r="G408" s="255" t="s">
        <v>1768</v>
      </c>
      <c r="H408" s="332">
        <v>6.4259999999999998E-2</v>
      </c>
      <c r="I408" s="255" t="s">
        <v>272</v>
      </c>
      <c r="J408" s="255">
        <v>17428021</v>
      </c>
      <c r="K408" s="333">
        <v>45240</v>
      </c>
      <c r="L408" s="333"/>
      <c r="M408" s="333"/>
      <c r="N408" s="255"/>
      <c r="O408" s="255"/>
      <c r="P408" s="255"/>
      <c r="Q408" s="255"/>
      <c r="R408" s="401"/>
      <c r="S408" s="333"/>
      <c r="T408" s="255"/>
      <c r="U408" s="332">
        <v>0</v>
      </c>
      <c r="V408" s="255"/>
      <c r="W408" s="255"/>
    </row>
    <row r="409" spans="1:23" ht="22.5" customHeight="1" x14ac:dyDescent="0.25">
      <c r="A409" s="255">
        <f t="shared" si="3"/>
        <v>191</v>
      </c>
      <c r="B409" s="255" t="s">
        <v>3980</v>
      </c>
      <c r="C409" s="255" t="s">
        <v>1554</v>
      </c>
      <c r="D409" s="255" t="s">
        <v>274</v>
      </c>
      <c r="E409" s="331">
        <v>2.9329999999999998</v>
      </c>
      <c r="F409" s="255" t="s">
        <v>177</v>
      </c>
      <c r="G409" s="255" t="s">
        <v>1423</v>
      </c>
      <c r="H409" s="332">
        <v>0.15077966400000001</v>
      </c>
      <c r="I409" s="255" t="s">
        <v>272</v>
      </c>
      <c r="J409" s="255"/>
      <c r="K409" s="255"/>
      <c r="L409" s="255" t="s">
        <v>3981</v>
      </c>
      <c r="M409" s="333">
        <v>45236</v>
      </c>
      <c r="N409" s="255"/>
      <c r="O409" s="255"/>
      <c r="P409" s="255"/>
      <c r="Q409" s="255"/>
      <c r="R409" s="401"/>
      <c r="S409" s="333"/>
      <c r="T409" s="255"/>
      <c r="U409" s="332">
        <v>0</v>
      </c>
      <c r="V409" s="255"/>
      <c r="W409" s="255"/>
    </row>
    <row r="410" spans="1:23" ht="22.5" customHeight="1" x14ac:dyDescent="0.25">
      <c r="A410" s="255">
        <f t="shared" si="3"/>
        <v>192</v>
      </c>
      <c r="B410" s="255" t="s">
        <v>3982</v>
      </c>
      <c r="C410" s="255" t="s">
        <v>3983</v>
      </c>
      <c r="D410" s="255" t="s">
        <v>274</v>
      </c>
      <c r="E410" s="331">
        <v>3.33</v>
      </c>
      <c r="F410" s="255" t="s">
        <v>177</v>
      </c>
      <c r="G410" s="255" t="s">
        <v>1430</v>
      </c>
      <c r="H410" s="332">
        <v>0.17118864</v>
      </c>
      <c r="I410" s="255" t="s">
        <v>272</v>
      </c>
      <c r="J410" s="255"/>
      <c r="K410" s="255"/>
      <c r="L410" s="255" t="s">
        <v>3984</v>
      </c>
      <c r="M410" s="333">
        <v>45245</v>
      </c>
      <c r="N410" s="255"/>
      <c r="O410" s="255"/>
      <c r="P410" s="255"/>
      <c r="Q410" s="255"/>
      <c r="R410" s="401"/>
      <c r="S410" s="333"/>
      <c r="T410" s="255"/>
      <c r="U410" s="332">
        <v>0</v>
      </c>
      <c r="V410" s="255"/>
      <c r="W410" s="255"/>
    </row>
    <row r="411" spans="1:23" ht="22.5" customHeight="1" x14ac:dyDescent="0.25">
      <c r="A411" s="255">
        <f t="shared" si="3"/>
        <v>193</v>
      </c>
      <c r="B411" s="255" t="s">
        <v>1763</v>
      </c>
      <c r="C411" s="255" t="s">
        <v>2567</v>
      </c>
      <c r="D411" s="255" t="s">
        <v>274</v>
      </c>
      <c r="E411" s="255">
        <v>4.3941400000000002</v>
      </c>
      <c r="F411" s="255" t="s">
        <v>177</v>
      </c>
      <c r="G411" s="255" t="s">
        <v>281</v>
      </c>
      <c r="H411" s="332">
        <v>0.22589394912000002</v>
      </c>
      <c r="I411" s="255" t="s">
        <v>272</v>
      </c>
      <c r="J411" s="255"/>
      <c r="K411" s="255"/>
      <c r="L411" s="255" t="s">
        <v>3985</v>
      </c>
      <c r="M411" s="333">
        <v>45252</v>
      </c>
      <c r="N411" s="255"/>
      <c r="O411" s="255"/>
      <c r="P411" s="255"/>
      <c r="Q411" s="255"/>
      <c r="R411" s="401"/>
      <c r="S411" s="333"/>
      <c r="T411" s="255"/>
      <c r="U411" s="332">
        <v>0</v>
      </c>
      <c r="V411" s="255"/>
      <c r="W411" s="255"/>
    </row>
    <row r="412" spans="1:23" ht="22.5" customHeight="1" x14ac:dyDescent="0.25">
      <c r="A412" s="255">
        <f t="shared" si="3"/>
        <v>194</v>
      </c>
      <c r="B412" s="255" t="s">
        <v>4216</v>
      </c>
      <c r="C412" s="255" t="s">
        <v>4217</v>
      </c>
      <c r="D412" s="255" t="s">
        <v>274</v>
      </c>
      <c r="E412" s="255">
        <v>2.5</v>
      </c>
      <c r="F412" s="255">
        <v>10</v>
      </c>
      <c r="G412" s="255" t="s">
        <v>4218</v>
      </c>
      <c r="H412" s="332">
        <v>0.48000000000000009</v>
      </c>
      <c r="I412" s="255" t="s">
        <v>272</v>
      </c>
      <c r="J412" s="255" t="s">
        <v>4219</v>
      </c>
      <c r="K412" s="333">
        <v>45257</v>
      </c>
      <c r="L412" s="255"/>
      <c r="M412" s="255"/>
      <c r="N412" s="333"/>
      <c r="O412" s="255"/>
      <c r="P412" s="255"/>
      <c r="Q412" s="255"/>
      <c r="R412" s="401"/>
      <c r="S412" s="333"/>
      <c r="T412" s="331"/>
      <c r="U412" s="332">
        <v>0</v>
      </c>
      <c r="V412" s="255"/>
      <c r="W412" s="255"/>
    </row>
    <row r="413" spans="1:23" ht="22.5" customHeight="1" x14ac:dyDescent="0.25">
      <c r="A413" s="255">
        <f t="shared" si="3"/>
        <v>195</v>
      </c>
      <c r="B413" s="255" t="s">
        <v>3114</v>
      </c>
      <c r="C413" s="255" t="s">
        <v>4220</v>
      </c>
      <c r="D413" s="255" t="s">
        <v>274</v>
      </c>
      <c r="E413" s="255">
        <v>2.6</v>
      </c>
      <c r="F413" s="255">
        <v>20</v>
      </c>
      <c r="G413" s="255" t="s">
        <v>279</v>
      </c>
      <c r="H413" s="332">
        <v>0.44928000000000001</v>
      </c>
      <c r="I413" s="255" t="s">
        <v>272</v>
      </c>
      <c r="J413" s="255" t="s">
        <v>4221</v>
      </c>
      <c r="K413" s="333">
        <v>45267</v>
      </c>
      <c r="L413" s="255"/>
      <c r="M413" s="255"/>
      <c r="N413" s="333"/>
      <c r="O413" s="255"/>
      <c r="P413" s="255"/>
      <c r="Q413" s="255"/>
      <c r="R413" s="401"/>
      <c r="S413" s="333"/>
      <c r="T413" s="331"/>
      <c r="U413" s="332">
        <v>0</v>
      </c>
      <c r="V413" s="255"/>
      <c r="W413" s="255"/>
    </row>
    <row r="414" spans="1:23" ht="22.5" customHeight="1" x14ac:dyDescent="0.25">
      <c r="A414" s="255">
        <f t="shared" si="3"/>
        <v>196</v>
      </c>
      <c r="B414" s="255" t="s">
        <v>4222</v>
      </c>
      <c r="C414" s="255" t="s">
        <v>4223</v>
      </c>
      <c r="D414" s="255" t="s">
        <v>276</v>
      </c>
      <c r="E414" s="255">
        <v>1.71</v>
      </c>
      <c r="F414" s="255">
        <v>20</v>
      </c>
      <c r="G414" s="255" t="s">
        <v>1430</v>
      </c>
      <c r="H414" s="332">
        <v>0.27820800000000001</v>
      </c>
      <c r="I414" s="255" t="s">
        <v>272</v>
      </c>
      <c r="J414" s="255" t="s">
        <v>4224</v>
      </c>
      <c r="K414" s="333">
        <v>45265</v>
      </c>
      <c r="L414" s="255"/>
      <c r="M414" s="255"/>
      <c r="N414" s="333"/>
      <c r="O414" s="255"/>
      <c r="P414" s="255"/>
      <c r="Q414" s="255"/>
      <c r="R414" s="401"/>
      <c r="S414" s="333"/>
      <c r="T414" s="331"/>
      <c r="U414" s="332">
        <v>0.1</v>
      </c>
      <c r="V414" s="255"/>
      <c r="W414" s="255"/>
    </row>
    <row r="415" spans="1:23" ht="22.5" customHeight="1" x14ac:dyDescent="0.25">
      <c r="A415" s="255">
        <f t="shared" si="3"/>
        <v>197</v>
      </c>
      <c r="B415" s="255" t="s">
        <v>4225</v>
      </c>
      <c r="C415" s="255" t="s">
        <v>4226</v>
      </c>
      <c r="D415" s="255" t="s">
        <v>274</v>
      </c>
      <c r="E415" s="255">
        <v>3.16</v>
      </c>
      <c r="F415" s="255">
        <v>20</v>
      </c>
      <c r="G415" s="255" t="s">
        <v>1650</v>
      </c>
      <c r="H415" s="332">
        <v>0.14860800000000007</v>
      </c>
      <c r="I415" s="255" t="s">
        <v>272</v>
      </c>
      <c r="J415" s="255" t="s">
        <v>4227</v>
      </c>
      <c r="K415" s="333">
        <v>45287</v>
      </c>
      <c r="L415" s="255" t="s">
        <v>4227</v>
      </c>
      <c r="M415" s="333">
        <v>45314</v>
      </c>
      <c r="N415" s="333"/>
      <c r="O415" s="255"/>
      <c r="P415" s="255"/>
      <c r="Q415" s="255"/>
      <c r="R415" s="401"/>
      <c r="S415" s="333"/>
      <c r="T415" s="331"/>
      <c r="U415" s="332">
        <v>2.2999999999999998</v>
      </c>
      <c r="V415" s="255"/>
      <c r="W415" s="255"/>
    </row>
    <row r="416" spans="1:23" ht="22.5" customHeight="1" x14ac:dyDescent="0.25">
      <c r="A416" s="255">
        <f t="shared" si="3"/>
        <v>198</v>
      </c>
      <c r="B416" s="255" t="s">
        <v>4228</v>
      </c>
      <c r="C416" s="255" t="s">
        <v>4229</v>
      </c>
      <c r="D416" s="255" t="s">
        <v>274</v>
      </c>
      <c r="E416" s="255">
        <v>1.4542999999999999</v>
      </c>
      <c r="F416" s="255">
        <v>20</v>
      </c>
      <c r="G416" s="255" t="s">
        <v>1426</v>
      </c>
      <c r="H416" s="332">
        <v>7.4762654400000003E-2</v>
      </c>
      <c r="I416" s="255" t="s">
        <v>272</v>
      </c>
      <c r="J416" s="255"/>
      <c r="K416" s="255"/>
      <c r="L416" s="255" t="s">
        <v>4230</v>
      </c>
      <c r="M416" s="333">
        <v>45259</v>
      </c>
      <c r="N416" s="333"/>
      <c r="O416" s="255"/>
      <c r="P416" s="255"/>
      <c r="Q416" s="255"/>
      <c r="R416" s="401"/>
      <c r="S416" s="333"/>
      <c r="T416" s="331"/>
      <c r="U416" s="332">
        <v>0</v>
      </c>
      <c r="V416" s="255"/>
      <c r="W416" s="255"/>
    </row>
    <row r="417" spans="1:23" ht="22.5" customHeight="1" x14ac:dyDescent="0.25">
      <c r="A417" s="255">
        <f t="shared" si="3"/>
        <v>199</v>
      </c>
      <c r="B417" s="255" t="s">
        <v>2443</v>
      </c>
      <c r="C417" s="255" t="s">
        <v>1526</v>
      </c>
      <c r="D417" s="255" t="s">
        <v>274</v>
      </c>
      <c r="E417" s="255">
        <v>6.2789999999999999</v>
      </c>
      <c r="F417" s="255">
        <v>20</v>
      </c>
      <c r="G417" s="255" t="s">
        <v>1472</v>
      </c>
      <c r="H417" s="332">
        <v>0.32279083200000003</v>
      </c>
      <c r="I417" s="255" t="s">
        <v>272</v>
      </c>
      <c r="J417" s="255"/>
      <c r="K417" s="255"/>
      <c r="L417" s="581" t="s">
        <v>4231</v>
      </c>
      <c r="M417" s="333">
        <v>45274</v>
      </c>
      <c r="N417" s="333"/>
      <c r="O417" s="255"/>
      <c r="P417" s="255" t="s">
        <v>4232</v>
      </c>
      <c r="Q417" s="255"/>
      <c r="R417" s="401"/>
      <c r="S417" s="333"/>
      <c r="T417" s="331"/>
      <c r="U417" s="332">
        <v>0</v>
      </c>
      <c r="V417" s="255"/>
      <c r="W417" s="255"/>
    </row>
    <row r="418" spans="1:23" ht="22.5" customHeight="1" x14ac:dyDescent="0.25">
      <c r="A418" s="255">
        <f t="shared" si="3"/>
        <v>200</v>
      </c>
      <c r="B418" s="255" t="s">
        <v>3404</v>
      </c>
      <c r="C418" s="255" t="s">
        <v>4532</v>
      </c>
      <c r="D418" s="255" t="s">
        <v>276</v>
      </c>
      <c r="E418" s="331">
        <v>1.25</v>
      </c>
      <c r="F418" s="255">
        <v>20</v>
      </c>
      <c r="G418" s="255" t="s">
        <v>1440</v>
      </c>
      <c r="H418" s="332">
        <v>0.21600000000000003</v>
      </c>
      <c r="I418" s="255" t="s">
        <v>4533</v>
      </c>
      <c r="J418" s="255" t="s">
        <v>4534</v>
      </c>
      <c r="K418" s="333">
        <v>45307</v>
      </c>
      <c r="L418" s="581"/>
      <c r="M418" s="333"/>
      <c r="N418" s="255"/>
      <c r="O418" s="255"/>
      <c r="P418" s="255"/>
      <c r="Q418" s="255"/>
      <c r="R418" s="401"/>
      <c r="S418" s="333"/>
      <c r="T418" s="255"/>
      <c r="U418" s="332">
        <v>0</v>
      </c>
      <c r="V418" s="255"/>
      <c r="W418" s="255"/>
    </row>
    <row r="419" spans="1:23" ht="22.5" customHeight="1" x14ac:dyDescent="0.25">
      <c r="A419" s="255">
        <f t="shared" si="3"/>
        <v>201</v>
      </c>
      <c r="B419" s="255" t="s">
        <v>4535</v>
      </c>
      <c r="C419" s="255" t="s">
        <v>4536</v>
      </c>
      <c r="D419" s="255" t="s">
        <v>274</v>
      </c>
      <c r="E419" s="331">
        <v>2</v>
      </c>
      <c r="F419" s="255">
        <v>20</v>
      </c>
      <c r="G419" s="255" t="s">
        <v>1430</v>
      </c>
      <c r="H419" s="332">
        <v>0.38400000000000006</v>
      </c>
      <c r="I419" s="255" t="s">
        <v>4533</v>
      </c>
      <c r="J419" s="255" t="s">
        <v>4537</v>
      </c>
      <c r="K419" s="333">
        <v>45313</v>
      </c>
      <c r="L419" s="581"/>
      <c r="M419" s="333"/>
      <c r="N419" s="255"/>
      <c r="O419" s="255"/>
      <c r="P419" s="255"/>
      <c r="Q419" s="255"/>
      <c r="R419" s="401"/>
      <c r="S419" s="333"/>
      <c r="T419" s="255"/>
      <c r="U419" s="332">
        <v>0</v>
      </c>
      <c r="V419" s="255"/>
      <c r="W419" s="255"/>
    </row>
    <row r="420" spans="1:23" ht="22.5" customHeight="1" x14ac:dyDescent="0.25">
      <c r="A420" s="255">
        <f t="shared" si="3"/>
        <v>202</v>
      </c>
      <c r="B420" s="255" t="s">
        <v>4535</v>
      </c>
      <c r="C420" s="255" t="s">
        <v>4538</v>
      </c>
      <c r="D420" s="255" t="s">
        <v>274</v>
      </c>
      <c r="E420" s="331">
        <v>2</v>
      </c>
      <c r="F420" s="255">
        <v>20</v>
      </c>
      <c r="G420" s="255" t="s">
        <v>1430</v>
      </c>
      <c r="H420" s="332">
        <v>0.38400000000000006</v>
      </c>
      <c r="I420" s="255" t="s">
        <v>4533</v>
      </c>
      <c r="J420" s="255" t="s">
        <v>4539</v>
      </c>
      <c r="K420" s="333">
        <v>45313</v>
      </c>
      <c r="L420" s="581"/>
      <c r="M420" s="333"/>
      <c r="N420" s="255"/>
      <c r="O420" s="255"/>
      <c r="P420" s="255"/>
      <c r="Q420" s="255"/>
      <c r="R420" s="401"/>
      <c r="S420" s="333"/>
      <c r="T420" s="255"/>
      <c r="U420" s="332">
        <v>0</v>
      </c>
      <c r="V420" s="255"/>
      <c r="W420" s="255"/>
    </row>
    <row r="421" spans="1:23" ht="22.5" customHeight="1" x14ac:dyDescent="0.25">
      <c r="A421" s="255">
        <f t="shared" si="3"/>
        <v>203</v>
      </c>
      <c r="B421" s="255" t="s">
        <v>4540</v>
      </c>
      <c r="C421" s="255" t="s">
        <v>4541</v>
      </c>
      <c r="D421" s="255" t="s">
        <v>274</v>
      </c>
      <c r="E421" s="331">
        <v>7.5</v>
      </c>
      <c r="F421" s="255">
        <v>20</v>
      </c>
      <c r="G421" s="255" t="s">
        <v>1486</v>
      </c>
      <c r="H421" s="332">
        <v>1.4400000000000002</v>
      </c>
      <c r="I421" s="255" t="s">
        <v>4533</v>
      </c>
      <c r="J421" s="255" t="s">
        <v>4542</v>
      </c>
      <c r="K421" s="333">
        <v>45313</v>
      </c>
      <c r="L421" s="255" t="s">
        <v>4542</v>
      </c>
      <c r="M421" s="333">
        <v>45327</v>
      </c>
      <c r="N421" s="255"/>
      <c r="O421" s="255"/>
      <c r="P421" s="255"/>
      <c r="Q421" s="255"/>
      <c r="R421" s="401"/>
      <c r="S421" s="333"/>
      <c r="T421" s="255"/>
      <c r="U421" s="332">
        <v>0</v>
      </c>
      <c r="V421" s="255"/>
      <c r="W421" s="255"/>
    </row>
    <row r="422" spans="1:23" ht="22.5" customHeight="1" x14ac:dyDescent="0.25">
      <c r="A422" s="255">
        <f t="shared" si="3"/>
        <v>204</v>
      </c>
      <c r="B422" s="255" t="s">
        <v>1921</v>
      </c>
      <c r="C422" s="255" t="s">
        <v>4543</v>
      </c>
      <c r="D422" s="255" t="s">
        <v>274</v>
      </c>
      <c r="E422" s="331">
        <v>1.484</v>
      </c>
      <c r="F422" s="255">
        <v>20</v>
      </c>
      <c r="G422" s="255" t="s">
        <v>1544</v>
      </c>
      <c r="H422" s="332">
        <v>0.23604480000000003</v>
      </c>
      <c r="I422" s="255" t="s">
        <v>4533</v>
      </c>
      <c r="J422" s="255" t="s">
        <v>4544</v>
      </c>
      <c r="K422" s="333">
        <v>45322</v>
      </c>
      <c r="L422" s="581"/>
      <c r="M422" s="333"/>
      <c r="N422" s="255"/>
      <c r="O422" s="255"/>
      <c r="P422" s="255"/>
      <c r="Q422" s="255"/>
      <c r="R422" s="401"/>
      <c r="S422" s="333"/>
      <c r="T422" s="255"/>
      <c r="U422" s="332">
        <v>0.11799999999999999</v>
      </c>
      <c r="V422" s="255"/>
      <c r="W422" s="255"/>
    </row>
    <row r="423" spans="1:23" ht="22.5" customHeight="1" x14ac:dyDescent="0.25">
      <c r="A423" s="255">
        <f t="shared" si="3"/>
        <v>205</v>
      </c>
      <c r="B423" s="255" t="s">
        <v>1610</v>
      </c>
      <c r="C423" s="255" t="s">
        <v>1208</v>
      </c>
      <c r="D423" s="255" t="s">
        <v>274</v>
      </c>
      <c r="E423" s="331">
        <v>2.2651500000000002</v>
      </c>
      <c r="F423" s="255">
        <v>20</v>
      </c>
      <c r="G423" s="255" t="s">
        <v>281</v>
      </c>
      <c r="H423" s="332">
        <v>0.11644683120000002</v>
      </c>
      <c r="I423" s="255" t="s">
        <v>4209</v>
      </c>
      <c r="J423" s="255"/>
      <c r="K423" s="255"/>
      <c r="L423" s="255" t="s">
        <v>4545</v>
      </c>
      <c r="M423" s="333">
        <v>45320</v>
      </c>
      <c r="N423" s="255"/>
      <c r="O423" s="255"/>
      <c r="P423" s="255"/>
      <c r="Q423" s="255"/>
      <c r="R423" s="401"/>
      <c r="S423" s="333"/>
      <c r="T423" s="255"/>
      <c r="U423" s="332">
        <v>0</v>
      </c>
      <c r="V423" s="255"/>
      <c r="W423" s="255"/>
    </row>
    <row r="424" spans="1:23" ht="22.5" customHeight="1" x14ac:dyDescent="0.25">
      <c r="A424" s="255">
        <f t="shared" si="3"/>
        <v>206</v>
      </c>
      <c r="B424" s="255" t="s">
        <v>1610</v>
      </c>
      <c r="C424" s="255" t="s">
        <v>1208</v>
      </c>
      <c r="D424" s="255" t="s">
        <v>274</v>
      </c>
      <c r="E424" s="331">
        <v>1.9995999999999998</v>
      </c>
      <c r="F424" s="255">
        <v>20</v>
      </c>
      <c r="G424" s="255" t="s">
        <v>281</v>
      </c>
      <c r="H424" s="332">
        <v>0.1027954368</v>
      </c>
      <c r="I424" s="255" t="s">
        <v>4209</v>
      </c>
      <c r="J424" s="255"/>
      <c r="K424" s="255"/>
      <c r="L424" s="255" t="s">
        <v>4546</v>
      </c>
      <c r="M424" s="333">
        <v>45320</v>
      </c>
      <c r="N424" s="255"/>
      <c r="O424" s="255"/>
      <c r="P424" s="255"/>
      <c r="Q424" s="255"/>
      <c r="R424" s="401"/>
      <c r="S424" s="333"/>
      <c r="T424" s="255"/>
      <c r="U424" s="332">
        <v>0</v>
      </c>
      <c r="V424" s="255"/>
      <c r="W424" s="255"/>
    </row>
    <row r="425" spans="1:23" ht="22.5" customHeight="1" x14ac:dyDescent="0.25">
      <c r="A425" s="255">
        <f t="shared" si="3"/>
        <v>207</v>
      </c>
      <c r="B425" s="255" t="s">
        <v>4547</v>
      </c>
      <c r="C425" s="255" t="s">
        <v>4548</v>
      </c>
      <c r="D425" s="255" t="s">
        <v>274</v>
      </c>
      <c r="E425" s="331">
        <v>1.1779999999999999</v>
      </c>
      <c r="F425" s="255" t="s">
        <v>177</v>
      </c>
      <c r="G425" s="255" t="s">
        <v>1423</v>
      </c>
      <c r="H425" s="332">
        <v>0.22617600000000002</v>
      </c>
      <c r="I425" s="255" t="s">
        <v>4209</v>
      </c>
      <c r="J425" s="255" t="s">
        <v>4549</v>
      </c>
      <c r="K425" s="333">
        <v>45327</v>
      </c>
      <c r="L425" s="255"/>
      <c r="M425" s="255"/>
      <c r="N425" s="255"/>
      <c r="O425" s="255"/>
      <c r="P425" s="255"/>
      <c r="Q425" s="255"/>
      <c r="R425" s="401"/>
      <c r="S425" s="333"/>
      <c r="T425" s="255"/>
      <c r="U425" s="332">
        <v>0</v>
      </c>
      <c r="V425" s="255"/>
      <c r="W425" s="255"/>
    </row>
    <row r="426" spans="1:23" ht="22.5" customHeight="1" x14ac:dyDescent="0.25">
      <c r="A426" s="255">
        <f t="shared" si="3"/>
        <v>208</v>
      </c>
      <c r="B426" s="255" t="s">
        <v>4550</v>
      </c>
      <c r="C426" s="255" t="s">
        <v>4551</v>
      </c>
      <c r="D426" s="255" t="s">
        <v>274</v>
      </c>
      <c r="E426" s="331">
        <v>1.75</v>
      </c>
      <c r="F426" s="255" t="s">
        <v>183</v>
      </c>
      <c r="G426" s="255" t="s">
        <v>4552</v>
      </c>
      <c r="H426" s="332">
        <v>0.24960000000000004</v>
      </c>
      <c r="I426" s="255" t="s">
        <v>4209</v>
      </c>
      <c r="J426" s="255" t="s">
        <v>4553</v>
      </c>
      <c r="K426" s="333">
        <v>45335</v>
      </c>
      <c r="L426" s="255"/>
      <c r="M426" s="255"/>
      <c r="N426" s="255"/>
      <c r="O426" s="255"/>
      <c r="P426" s="255"/>
      <c r="Q426" s="255"/>
      <c r="R426" s="401"/>
      <c r="S426" s="333"/>
      <c r="T426" s="255"/>
      <c r="U426" s="332">
        <v>0.45</v>
      </c>
      <c r="V426" s="255"/>
      <c r="W426" s="255"/>
    </row>
    <row r="427" spans="1:23" ht="22.5" customHeight="1" x14ac:dyDescent="0.25">
      <c r="A427" s="255">
        <f t="shared" si="3"/>
        <v>209</v>
      </c>
      <c r="B427" s="255" t="s">
        <v>4554</v>
      </c>
      <c r="C427" s="255" t="s">
        <v>4555</v>
      </c>
      <c r="D427" s="255" t="s">
        <v>276</v>
      </c>
      <c r="E427" s="331">
        <v>3.5</v>
      </c>
      <c r="F427" s="255" t="s">
        <v>177</v>
      </c>
      <c r="G427" s="255" t="s">
        <v>1650</v>
      </c>
      <c r="H427" s="332">
        <v>0.67200000000000015</v>
      </c>
      <c r="I427" s="255" t="s">
        <v>4209</v>
      </c>
      <c r="J427" s="255" t="s">
        <v>4556</v>
      </c>
      <c r="K427" s="333">
        <v>45337</v>
      </c>
      <c r="L427" s="255"/>
      <c r="M427" s="255"/>
      <c r="N427" s="255"/>
      <c r="O427" s="255"/>
      <c r="P427" s="255"/>
      <c r="Q427" s="255"/>
      <c r="R427" s="401"/>
      <c r="S427" s="333"/>
      <c r="T427" s="255"/>
      <c r="U427" s="332">
        <v>0</v>
      </c>
      <c r="V427" s="255"/>
      <c r="W427" s="255"/>
    </row>
    <row r="428" spans="1:23" ht="22.5" customHeight="1" x14ac:dyDescent="0.25">
      <c r="A428" s="255">
        <f t="shared" si="3"/>
        <v>210</v>
      </c>
      <c r="B428" s="255" t="s">
        <v>4557</v>
      </c>
      <c r="C428" s="255" t="s">
        <v>4558</v>
      </c>
      <c r="D428" s="255" t="s">
        <v>274</v>
      </c>
      <c r="E428" s="331">
        <v>1.84</v>
      </c>
      <c r="F428" s="255">
        <v>20</v>
      </c>
      <c r="G428" s="255" t="s">
        <v>1427</v>
      </c>
      <c r="H428" s="332">
        <v>0.35328000000000009</v>
      </c>
      <c r="I428" s="255" t="s">
        <v>4209</v>
      </c>
      <c r="J428" s="255" t="s">
        <v>4559</v>
      </c>
      <c r="K428" s="333">
        <v>45341</v>
      </c>
      <c r="L428" s="255"/>
      <c r="M428" s="255"/>
      <c r="N428" s="255"/>
      <c r="O428" s="255"/>
      <c r="P428" s="255"/>
      <c r="Q428" s="255"/>
      <c r="R428" s="401"/>
      <c r="S428" s="333"/>
      <c r="T428" s="255"/>
      <c r="U428" s="332">
        <v>0</v>
      </c>
      <c r="V428" s="255"/>
      <c r="W428" s="255"/>
    </row>
    <row r="429" spans="1:23" ht="22.5" customHeight="1" x14ac:dyDescent="0.25">
      <c r="A429" s="255">
        <f t="shared" si="3"/>
        <v>211</v>
      </c>
      <c r="B429" s="255" t="s">
        <v>4820</v>
      </c>
      <c r="C429" s="255" t="s">
        <v>4821</v>
      </c>
      <c r="D429" s="255" t="s">
        <v>276</v>
      </c>
      <c r="E429" s="649">
        <v>1.5</v>
      </c>
      <c r="F429" s="255" t="s">
        <v>177</v>
      </c>
      <c r="G429" s="255" t="s">
        <v>1614</v>
      </c>
      <c r="H429" s="332">
        <v>0.25919999999999999</v>
      </c>
      <c r="I429" s="255" t="s">
        <v>4209</v>
      </c>
      <c r="J429" s="255" t="s">
        <v>4822</v>
      </c>
      <c r="K429" s="333">
        <v>45355</v>
      </c>
      <c r="L429" s="255"/>
      <c r="M429" s="255"/>
      <c r="N429" s="255"/>
      <c r="O429" s="255"/>
      <c r="P429" s="255"/>
      <c r="Q429" s="255"/>
      <c r="R429" s="401"/>
      <c r="S429" s="333"/>
      <c r="T429" s="255"/>
      <c r="U429" s="332">
        <v>0</v>
      </c>
      <c r="V429" s="255"/>
      <c r="W429" s="255"/>
    </row>
    <row r="430" spans="1:23" ht="22.5" customHeight="1" x14ac:dyDescent="0.25">
      <c r="A430" s="255">
        <f t="shared" si="3"/>
        <v>212</v>
      </c>
      <c r="B430" s="255" t="s">
        <v>4823</v>
      </c>
      <c r="C430" s="255" t="s">
        <v>1927</v>
      </c>
      <c r="D430" s="255" t="s">
        <v>276</v>
      </c>
      <c r="E430" s="649">
        <v>1.56</v>
      </c>
      <c r="F430" s="255" t="s">
        <v>177</v>
      </c>
      <c r="G430" s="255" t="s">
        <v>1683</v>
      </c>
      <c r="H430" s="332">
        <v>0.21427200000000002</v>
      </c>
      <c r="I430" s="255" t="s">
        <v>4209</v>
      </c>
      <c r="J430" s="255" t="s">
        <v>4824</v>
      </c>
      <c r="K430" s="333">
        <v>45363</v>
      </c>
      <c r="L430" s="255"/>
      <c r="M430" s="255"/>
      <c r="N430" s="255"/>
      <c r="O430" s="255"/>
      <c r="P430" s="255"/>
      <c r="Q430" s="255"/>
      <c r="R430" s="401"/>
      <c r="S430" s="333"/>
      <c r="T430" s="255"/>
      <c r="U430" s="332">
        <v>0.32</v>
      </c>
      <c r="V430" s="255"/>
      <c r="W430" s="255"/>
    </row>
    <row r="431" spans="1:23" ht="22.5" customHeight="1" x14ac:dyDescent="0.25">
      <c r="A431" s="255">
        <f t="shared" si="3"/>
        <v>213</v>
      </c>
      <c r="B431" s="255" t="s">
        <v>4825</v>
      </c>
      <c r="C431" s="255" t="s">
        <v>964</v>
      </c>
      <c r="D431" s="255" t="s">
        <v>276</v>
      </c>
      <c r="E431" s="649">
        <v>1</v>
      </c>
      <c r="F431" s="255" t="s">
        <v>177</v>
      </c>
      <c r="G431" s="255" t="s">
        <v>2035</v>
      </c>
      <c r="H431" s="332">
        <v>8.8128000000000012E-2</v>
      </c>
      <c r="I431" s="255" t="s">
        <v>4209</v>
      </c>
      <c r="J431" s="255" t="s">
        <v>4826</v>
      </c>
      <c r="K431" s="333">
        <v>45380</v>
      </c>
      <c r="L431" s="255"/>
      <c r="M431" s="255"/>
      <c r="N431" s="255"/>
      <c r="O431" s="255"/>
      <c r="P431" s="255"/>
      <c r="Q431" s="255"/>
      <c r="R431" s="401"/>
      <c r="S431" s="333"/>
      <c r="T431" s="255"/>
      <c r="U431" s="332">
        <v>0.49</v>
      </c>
      <c r="V431" s="255"/>
      <c r="W431" s="255"/>
    </row>
    <row r="432" spans="1:23" ht="22.5" customHeight="1" x14ac:dyDescent="0.25">
      <c r="A432" s="255">
        <f t="shared" si="3"/>
        <v>214</v>
      </c>
      <c r="B432" s="255" t="s">
        <v>4827</v>
      </c>
      <c r="C432" s="255" t="s">
        <v>964</v>
      </c>
      <c r="D432" s="255" t="s">
        <v>276</v>
      </c>
      <c r="E432" s="649">
        <v>1.3</v>
      </c>
      <c r="F432" s="255" t="s">
        <v>177</v>
      </c>
      <c r="G432" s="255" t="s">
        <v>1650</v>
      </c>
      <c r="H432" s="332">
        <v>0.10195200000000001</v>
      </c>
      <c r="I432" s="255" t="s">
        <v>4209</v>
      </c>
      <c r="J432" s="255" t="s">
        <v>4828</v>
      </c>
      <c r="K432" s="333">
        <v>45386</v>
      </c>
      <c r="L432" s="255"/>
      <c r="M432" s="255"/>
      <c r="N432" s="255"/>
      <c r="O432" s="255"/>
      <c r="P432" s="255"/>
      <c r="Q432" s="255"/>
      <c r="R432" s="401"/>
      <c r="S432" s="333"/>
      <c r="T432" s="255"/>
      <c r="U432" s="332">
        <v>0.71</v>
      </c>
      <c r="V432" s="255"/>
      <c r="W432" s="255"/>
    </row>
    <row r="433" spans="1:23" ht="22.5" customHeight="1" x14ac:dyDescent="0.25">
      <c r="A433" s="255">
        <f t="shared" si="3"/>
        <v>215</v>
      </c>
      <c r="B433" s="255" t="s">
        <v>4829</v>
      </c>
      <c r="C433" s="255" t="s">
        <v>2506</v>
      </c>
      <c r="D433" s="255" t="s">
        <v>274</v>
      </c>
      <c r="E433" s="649">
        <v>1.2070000000000001</v>
      </c>
      <c r="F433" s="255" t="s">
        <v>183</v>
      </c>
      <c r="G433" s="255" t="s">
        <v>4830</v>
      </c>
      <c r="H433" s="332">
        <v>0.20856960000000002</v>
      </c>
      <c r="I433" s="255" t="s">
        <v>4209</v>
      </c>
      <c r="J433" s="255" t="s">
        <v>4831</v>
      </c>
      <c r="K433" s="333">
        <v>45386</v>
      </c>
      <c r="L433" s="255"/>
      <c r="M433" s="255"/>
      <c r="N433" s="255"/>
      <c r="O433" s="255"/>
      <c r="P433" s="255"/>
      <c r="Q433" s="255"/>
      <c r="R433" s="401"/>
      <c r="S433" s="333"/>
      <c r="T433" s="255"/>
      <c r="U433" s="332">
        <v>0</v>
      </c>
      <c r="V433" s="255"/>
      <c r="W433" s="255"/>
    </row>
    <row r="434" spans="1:23" ht="22.5" customHeight="1" x14ac:dyDescent="0.25">
      <c r="A434" s="255">
        <f t="shared" si="3"/>
        <v>216</v>
      </c>
      <c r="B434" s="255" t="s">
        <v>4832</v>
      </c>
      <c r="C434" s="255" t="s">
        <v>4833</v>
      </c>
      <c r="D434" s="255" t="s">
        <v>274</v>
      </c>
      <c r="E434" s="255">
        <v>1.21225</v>
      </c>
      <c r="F434" s="255">
        <v>20</v>
      </c>
      <c r="G434" s="255" t="s">
        <v>1472</v>
      </c>
      <c r="H434" s="332">
        <v>6.2319348000000004E-2</v>
      </c>
      <c r="I434" s="255" t="s">
        <v>4209</v>
      </c>
      <c r="J434" s="255"/>
      <c r="K434" s="255"/>
      <c r="L434" s="255" t="s">
        <v>4834</v>
      </c>
      <c r="M434" s="333">
        <v>45357</v>
      </c>
      <c r="N434" s="255"/>
      <c r="O434" s="255"/>
      <c r="P434" s="255"/>
      <c r="Q434" s="255"/>
      <c r="R434" s="401"/>
      <c r="S434" s="333"/>
      <c r="T434" s="255"/>
      <c r="U434" s="332">
        <v>0</v>
      </c>
      <c r="V434" s="255"/>
      <c r="W434" s="255"/>
    </row>
    <row r="435" spans="1:23" ht="22.5" customHeight="1" x14ac:dyDescent="0.25">
      <c r="A435" s="255">
        <f t="shared" si="3"/>
        <v>217</v>
      </c>
      <c r="B435" s="255" t="s">
        <v>4835</v>
      </c>
      <c r="C435" s="255" t="s">
        <v>1558</v>
      </c>
      <c r="D435" s="255" t="s">
        <v>274</v>
      </c>
      <c r="E435" s="649">
        <v>2.2898000000000001</v>
      </c>
      <c r="F435" s="255">
        <v>20</v>
      </c>
      <c r="G435" s="255" t="s">
        <v>281</v>
      </c>
      <c r="H435" s="332">
        <v>0.11771403840000001</v>
      </c>
      <c r="I435" s="255" t="s">
        <v>4209</v>
      </c>
      <c r="J435" s="255"/>
      <c r="K435" s="255"/>
      <c r="L435" s="255" t="s">
        <v>4836</v>
      </c>
      <c r="M435" s="333">
        <v>45370</v>
      </c>
      <c r="N435" s="255"/>
      <c r="O435" s="255"/>
      <c r="P435" s="255"/>
      <c r="Q435" s="255"/>
      <c r="R435" s="401"/>
      <c r="S435" s="333"/>
      <c r="T435" s="255"/>
      <c r="U435" s="332">
        <v>0</v>
      </c>
      <c r="V435" s="255"/>
      <c r="W435" s="255"/>
    </row>
    <row r="436" spans="1:23" ht="22.5" customHeight="1" x14ac:dyDescent="0.25">
      <c r="A436" s="255">
        <f t="shared" si="3"/>
        <v>218</v>
      </c>
      <c r="B436" s="255" t="s">
        <v>4837</v>
      </c>
      <c r="C436" s="255" t="s">
        <v>2069</v>
      </c>
      <c r="D436" s="255" t="s">
        <v>274</v>
      </c>
      <c r="E436" s="649">
        <v>1.1140000000000001</v>
      </c>
      <c r="F436" s="255">
        <v>10</v>
      </c>
      <c r="G436" s="255" t="s">
        <v>1527</v>
      </c>
      <c r="H436" s="332">
        <v>5.7268512000000008E-2</v>
      </c>
      <c r="I436" s="255" t="s">
        <v>4209</v>
      </c>
      <c r="J436" s="255"/>
      <c r="K436" s="255"/>
      <c r="L436" s="255" t="s">
        <v>4838</v>
      </c>
      <c r="M436" s="333">
        <v>45369</v>
      </c>
      <c r="N436" s="255"/>
      <c r="O436" s="255"/>
      <c r="P436" s="255"/>
      <c r="Q436" s="255"/>
      <c r="R436" s="401"/>
      <c r="S436" s="333"/>
      <c r="T436" s="255"/>
      <c r="U436" s="332">
        <v>0</v>
      </c>
      <c r="V436" s="255"/>
      <c r="W436" s="255"/>
    </row>
    <row r="437" spans="1:23" ht="22.5" customHeight="1" x14ac:dyDescent="0.25">
      <c r="A437" s="255">
        <f t="shared" si="3"/>
        <v>219</v>
      </c>
      <c r="B437" s="255" t="s">
        <v>4820</v>
      </c>
      <c r="C437" s="255" t="s">
        <v>4821</v>
      </c>
      <c r="D437" s="255" t="s">
        <v>276</v>
      </c>
      <c r="E437" s="649">
        <v>1.5</v>
      </c>
      <c r="F437" s="255">
        <v>20</v>
      </c>
      <c r="G437" s="255" t="s">
        <v>1614</v>
      </c>
      <c r="H437" s="332">
        <v>0.25919999999999999</v>
      </c>
      <c r="I437" s="255" t="s">
        <v>4209</v>
      </c>
      <c r="J437" s="255">
        <v>18677337</v>
      </c>
      <c r="K437" s="333">
        <v>45401</v>
      </c>
      <c r="L437" s="255">
        <v>18677337</v>
      </c>
      <c r="M437" s="333">
        <v>45401</v>
      </c>
      <c r="N437" s="255"/>
      <c r="O437" s="255"/>
      <c r="P437" s="255"/>
      <c r="Q437" s="255"/>
      <c r="R437" s="401"/>
      <c r="S437" s="333"/>
      <c r="T437" s="255"/>
      <c r="U437" s="332">
        <v>0</v>
      </c>
      <c r="V437" s="255"/>
      <c r="W437" s="255"/>
    </row>
    <row r="438" spans="1:23" ht="22.5" customHeight="1" x14ac:dyDescent="0.25">
      <c r="A438" s="255">
        <f t="shared" si="3"/>
        <v>220</v>
      </c>
      <c r="B438" s="255" t="s">
        <v>5469</v>
      </c>
      <c r="C438" s="255" t="s">
        <v>5470</v>
      </c>
      <c r="D438" s="255" t="s">
        <v>270</v>
      </c>
      <c r="E438" s="649">
        <v>1.8120000000000001</v>
      </c>
      <c r="F438" s="255">
        <v>20</v>
      </c>
      <c r="G438" s="255" t="s">
        <v>5471</v>
      </c>
      <c r="H438" s="332">
        <v>0.31311360000000005</v>
      </c>
      <c r="I438" s="255" t="s">
        <v>4209</v>
      </c>
      <c r="J438" s="255" t="s">
        <v>5472</v>
      </c>
      <c r="K438" s="333">
        <v>45400</v>
      </c>
      <c r="L438" s="255"/>
      <c r="M438" s="255"/>
      <c r="N438" s="255"/>
      <c r="O438" s="255"/>
      <c r="P438" s="255"/>
      <c r="Q438" s="255"/>
      <c r="R438" s="401"/>
      <c r="S438" s="333"/>
      <c r="T438" s="255"/>
      <c r="U438" s="332">
        <v>0</v>
      </c>
      <c r="V438" s="255"/>
      <c r="W438" s="255"/>
    </row>
    <row r="439" spans="1:23" ht="22.5" customHeight="1" x14ac:dyDescent="0.25">
      <c r="A439" s="255">
        <f t="shared" ref="A439:A502" si="4">A438+1</f>
        <v>221</v>
      </c>
      <c r="B439" s="255" t="s">
        <v>5473</v>
      </c>
      <c r="C439" s="255" t="s">
        <v>5474</v>
      </c>
      <c r="D439" s="255" t="s">
        <v>276</v>
      </c>
      <c r="E439" s="649">
        <v>2.38</v>
      </c>
      <c r="F439" s="255">
        <v>20</v>
      </c>
      <c r="G439" s="255" t="s">
        <v>1650</v>
      </c>
      <c r="H439" s="332">
        <v>6.9119999999999987E-2</v>
      </c>
      <c r="I439" s="255" t="s">
        <v>4209</v>
      </c>
      <c r="J439" s="255" t="s">
        <v>5475</v>
      </c>
      <c r="K439" s="333">
        <v>45406</v>
      </c>
      <c r="L439" s="255"/>
      <c r="M439" s="255"/>
      <c r="N439" s="255"/>
      <c r="O439" s="255"/>
      <c r="P439" s="255"/>
      <c r="Q439" s="255"/>
      <c r="R439" s="401"/>
      <c r="S439" s="333"/>
      <c r="T439" s="255"/>
      <c r="U439" s="332">
        <v>1.98</v>
      </c>
      <c r="V439" s="255"/>
      <c r="W439" s="255"/>
    </row>
    <row r="440" spans="1:23" ht="22.5" customHeight="1" x14ac:dyDescent="0.25">
      <c r="A440" s="255">
        <f t="shared" si="4"/>
        <v>222</v>
      </c>
      <c r="B440" s="255" t="s">
        <v>3114</v>
      </c>
      <c r="C440" s="255" t="s">
        <v>4516</v>
      </c>
      <c r="D440" s="255" t="s">
        <v>274</v>
      </c>
      <c r="E440" s="649">
        <v>2.8</v>
      </c>
      <c r="F440" s="255">
        <v>20</v>
      </c>
      <c r="G440" s="255" t="s">
        <v>1490</v>
      </c>
      <c r="H440" s="332">
        <v>3.4559999999999959E-2</v>
      </c>
      <c r="I440" s="255" t="s">
        <v>4209</v>
      </c>
      <c r="J440" s="255" t="s">
        <v>5476</v>
      </c>
      <c r="K440" s="333">
        <v>45405</v>
      </c>
      <c r="L440" s="255"/>
      <c r="M440" s="255"/>
      <c r="N440" s="255"/>
      <c r="O440" s="255"/>
      <c r="P440" s="255"/>
      <c r="Q440" s="255"/>
      <c r="R440" s="401"/>
      <c r="S440" s="333"/>
      <c r="T440" s="255"/>
      <c r="U440" s="332">
        <v>2.6</v>
      </c>
      <c r="V440" s="255"/>
      <c r="W440" s="255"/>
    </row>
    <row r="441" spans="1:23" ht="22.5" customHeight="1" x14ac:dyDescent="0.25">
      <c r="A441" s="255">
        <f t="shared" si="4"/>
        <v>223</v>
      </c>
      <c r="B441" s="255" t="s">
        <v>5477</v>
      </c>
      <c r="C441" s="255" t="s">
        <v>5478</v>
      </c>
      <c r="D441" s="255" t="s">
        <v>274</v>
      </c>
      <c r="E441" s="649">
        <v>1.0129999999999999</v>
      </c>
      <c r="F441" s="255">
        <v>20</v>
      </c>
      <c r="G441" s="255" t="s">
        <v>5479</v>
      </c>
      <c r="H441" s="332">
        <v>0.11975039999999998</v>
      </c>
      <c r="I441" s="255" t="s">
        <v>4209</v>
      </c>
      <c r="J441" s="255" t="s">
        <v>5480</v>
      </c>
      <c r="K441" s="333">
        <v>45406</v>
      </c>
      <c r="L441" s="255"/>
      <c r="M441" s="255"/>
      <c r="N441" s="255"/>
      <c r="O441" s="255"/>
      <c r="P441" s="255"/>
      <c r="Q441" s="255"/>
      <c r="R441" s="401"/>
      <c r="S441" s="333"/>
      <c r="T441" s="255"/>
      <c r="U441" s="332">
        <v>0.32</v>
      </c>
      <c r="V441" s="255"/>
      <c r="W441" s="255"/>
    </row>
    <row r="442" spans="1:23" ht="22.5" customHeight="1" x14ac:dyDescent="0.25">
      <c r="A442" s="255">
        <f t="shared" si="4"/>
        <v>224</v>
      </c>
      <c r="B442" s="255" t="s">
        <v>5481</v>
      </c>
      <c r="C442" s="255" t="s">
        <v>5482</v>
      </c>
      <c r="D442" s="255" t="s">
        <v>276</v>
      </c>
      <c r="E442" s="649">
        <v>1.6</v>
      </c>
      <c r="F442" s="255">
        <v>20</v>
      </c>
      <c r="G442" s="255" t="s">
        <v>1440</v>
      </c>
      <c r="H442" s="332">
        <v>0.27648</v>
      </c>
      <c r="I442" s="255" t="s">
        <v>4209</v>
      </c>
      <c r="J442" s="255" t="s">
        <v>5483</v>
      </c>
      <c r="K442" s="333">
        <v>45428</v>
      </c>
      <c r="L442" s="255"/>
      <c r="M442" s="255"/>
      <c r="N442" s="255"/>
      <c r="O442" s="255"/>
      <c r="P442" s="255"/>
      <c r="Q442" s="255"/>
      <c r="R442" s="401"/>
      <c r="S442" s="333"/>
      <c r="T442" s="255"/>
      <c r="U442" s="332">
        <v>0</v>
      </c>
      <c r="V442" s="255"/>
      <c r="W442" s="255"/>
    </row>
    <row r="443" spans="1:23" ht="22.5" customHeight="1" x14ac:dyDescent="0.25">
      <c r="A443" s="255">
        <f t="shared" si="4"/>
        <v>225</v>
      </c>
      <c r="B443" s="255" t="s">
        <v>4535</v>
      </c>
      <c r="C443" s="255" t="s">
        <v>5484</v>
      </c>
      <c r="D443" s="255" t="s">
        <v>274</v>
      </c>
      <c r="E443" s="649">
        <v>2</v>
      </c>
      <c r="F443" s="255">
        <v>20</v>
      </c>
      <c r="G443" s="255" t="s">
        <v>5479</v>
      </c>
      <c r="H443" s="332">
        <v>0.34560000000000002</v>
      </c>
      <c r="I443" s="255" t="s">
        <v>4209</v>
      </c>
      <c r="J443" s="255" t="s">
        <v>5485</v>
      </c>
      <c r="K443" s="333">
        <v>45425</v>
      </c>
      <c r="L443" s="255"/>
      <c r="M443" s="255"/>
      <c r="N443" s="255"/>
      <c r="O443" s="255"/>
      <c r="P443" s="255"/>
      <c r="Q443" s="255"/>
      <c r="R443" s="401"/>
      <c r="S443" s="333"/>
      <c r="T443" s="255"/>
      <c r="U443" s="332">
        <v>0</v>
      </c>
      <c r="V443" s="255"/>
      <c r="W443" s="255"/>
    </row>
    <row r="444" spans="1:23" ht="22.5" customHeight="1" x14ac:dyDescent="0.25">
      <c r="A444" s="255">
        <f t="shared" si="4"/>
        <v>226</v>
      </c>
      <c r="B444" s="255" t="s">
        <v>5486</v>
      </c>
      <c r="C444" s="255" t="s">
        <v>5487</v>
      </c>
      <c r="D444" s="255" t="s">
        <v>274</v>
      </c>
      <c r="E444" s="331">
        <v>1.669</v>
      </c>
      <c r="F444" s="255">
        <v>20</v>
      </c>
      <c r="G444" s="255" t="s">
        <v>1472</v>
      </c>
      <c r="H444" s="332">
        <v>8.5799952000000013E-2</v>
      </c>
      <c r="I444" s="255" t="s">
        <v>4209</v>
      </c>
      <c r="J444" s="255"/>
      <c r="K444" s="255"/>
      <c r="L444" s="255" t="s">
        <v>5488</v>
      </c>
      <c r="M444" s="333">
        <v>45401</v>
      </c>
      <c r="N444" s="255"/>
      <c r="O444" s="255"/>
      <c r="P444" s="255" t="s">
        <v>5489</v>
      </c>
      <c r="Q444" s="255"/>
      <c r="R444" s="401"/>
      <c r="S444" s="333"/>
      <c r="T444" s="255"/>
      <c r="U444" s="332">
        <v>0</v>
      </c>
      <c r="V444" s="255"/>
      <c r="W444" s="255"/>
    </row>
    <row r="445" spans="1:23" ht="22.5" customHeight="1" x14ac:dyDescent="0.25">
      <c r="A445" s="255">
        <f t="shared" si="4"/>
        <v>227</v>
      </c>
      <c r="B445" s="255" t="s">
        <v>2443</v>
      </c>
      <c r="C445" s="255" t="s">
        <v>1526</v>
      </c>
      <c r="D445" s="255" t="s">
        <v>274</v>
      </c>
      <c r="E445" s="331">
        <v>6.4790599999999996</v>
      </c>
      <c r="F445" s="255">
        <v>20</v>
      </c>
      <c r="G445" s="255" t="s">
        <v>1472</v>
      </c>
      <c r="H445" s="332">
        <v>0.33307551648</v>
      </c>
      <c r="I445" s="255" t="s">
        <v>4209</v>
      </c>
      <c r="J445" s="255"/>
      <c r="K445" s="255"/>
      <c r="L445" s="255" t="s">
        <v>5490</v>
      </c>
      <c r="M445" s="333">
        <v>45399</v>
      </c>
      <c r="N445" s="255"/>
      <c r="O445" s="255"/>
      <c r="P445" s="255" t="s">
        <v>5491</v>
      </c>
      <c r="Q445" s="255"/>
      <c r="R445" s="401"/>
      <c r="S445" s="333"/>
      <c r="T445" s="255"/>
      <c r="U445" s="332">
        <v>0</v>
      </c>
      <c r="V445" s="255"/>
      <c r="W445" s="255"/>
    </row>
    <row r="446" spans="1:23" ht="22.5" customHeight="1" x14ac:dyDescent="0.25">
      <c r="A446" s="255">
        <f t="shared" si="4"/>
        <v>228</v>
      </c>
      <c r="B446" s="255" t="s">
        <v>1610</v>
      </c>
      <c r="C446" s="255" t="s">
        <v>1208</v>
      </c>
      <c r="D446" s="255" t="s">
        <v>274</v>
      </c>
      <c r="E446" s="331">
        <v>2.2651500000000002</v>
      </c>
      <c r="F446" s="255">
        <v>20</v>
      </c>
      <c r="G446" s="255" t="s">
        <v>281</v>
      </c>
      <c r="H446" s="332">
        <v>0.11644683120000002</v>
      </c>
      <c r="I446" s="255" t="s">
        <v>4209</v>
      </c>
      <c r="J446" s="255"/>
      <c r="K446" s="255"/>
      <c r="L446" s="255" t="s">
        <v>5492</v>
      </c>
      <c r="M446" s="333">
        <v>45412</v>
      </c>
      <c r="N446" s="255"/>
      <c r="O446" s="255"/>
      <c r="P446" s="255"/>
      <c r="Q446" s="255"/>
      <c r="R446" s="401"/>
      <c r="S446" s="333"/>
      <c r="T446" s="255"/>
      <c r="U446" s="332">
        <v>0</v>
      </c>
      <c r="V446" s="255"/>
      <c r="W446" s="255"/>
    </row>
    <row r="447" spans="1:23" ht="22.5" customHeight="1" x14ac:dyDescent="0.25">
      <c r="A447" s="255">
        <f t="shared" si="4"/>
        <v>229</v>
      </c>
      <c r="B447" s="255" t="s">
        <v>5493</v>
      </c>
      <c r="C447" s="255" t="s">
        <v>5494</v>
      </c>
      <c r="D447" s="255" t="s">
        <v>274</v>
      </c>
      <c r="E447" s="331">
        <v>1.3109999999999999</v>
      </c>
      <c r="F447" s="255">
        <v>20</v>
      </c>
      <c r="G447" s="255" t="s">
        <v>1430</v>
      </c>
      <c r="H447" s="332">
        <v>6.7395888000000001E-2</v>
      </c>
      <c r="I447" s="255" t="s">
        <v>4209</v>
      </c>
      <c r="J447" s="255"/>
      <c r="K447" s="255"/>
      <c r="L447" s="255" t="s">
        <v>5495</v>
      </c>
      <c r="M447" s="333">
        <v>45428</v>
      </c>
      <c r="N447" s="255"/>
      <c r="O447" s="255"/>
      <c r="P447" s="255"/>
      <c r="Q447" s="255"/>
      <c r="R447" s="401"/>
      <c r="S447" s="333"/>
      <c r="T447" s="255"/>
      <c r="U447" s="332">
        <v>0</v>
      </c>
      <c r="V447" s="255"/>
      <c r="W447" s="255"/>
    </row>
    <row r="448" spans="1:23" ht="22.5" customHeight="1" x14ac:dyDescent="0.25">
      <c r="A448" s="255">
        <f t="shared" si="4"/>
        <v>230</v>
      </c>
      <c r="B448" s="255" t="s">
        <v>5496</v>
      </c>
      <c r="C448" s="255" t="s">
        <v>5497</v>
      </c>
      <c r="D448" s="255" t="s">
        <v>276</v>
      </c>
      <c r="E448" s="649">
        <v>6</v>
      </c>
      <c r="F448" s="255">
        <v>20</v>
      </c>
      <c r="G448" s="255" t="s">
        <v>1614</v>
      </c>
      <c r="H448" s="332">
        <v>1.1520000000000001</v>
      </c>
      <c r="I448" s="255" t="s">
        <v>4209</v>
      </c>
      <c r="J448" s="255">
        <v>19554336</v>
      </c>
      <c r="K448" s="333">
        <v>45439</v>
      </c>
      <c r="L448" s="255"/>
      <c r="M448" s="255"/>
      <c r="N448" s="255"/>
      <c r="O448" s="333"/>
      <c r="P448" s="255" t="s">
        <v>5498</v>
      </c>
      <c r="Q448" s="255"/>
      <c r="R448" s="401"/>
      <c r="S448" s="333"/>
      <c r="T448" s="255"/>
      <c r="U448" s="332">
        <v>0</v>
      </c>
      <c r="V448" s="255"/>
      <c r="W448" s="255"/>
    </row>
    <row r="449" spans="1:23" ht="22.5" customHeight="1" x14ac:dyDescent="0.25">
      <c r="A449" s="255">
        <f t="shared" si="4"/>
        <v>231</v>
      </c>
      <c r="B449" s="255" t="s">
        <v>5499</v>
      </c>
      <c r="C449" s="255" t="s">
        <v>5482</v>
      </c>
      <c r="D449" s="255" t="s">
        <v>276</v>
      </c>
      <c r="E449" s="649">
        <v>1.6</v>
      </c>
      <c r="F449" s="255">
        <v>20</v>
      </c>
      <c r="G449" s="255" t="s">
        <v>1683</v>
      </c>
      <c r="H449" s="332">
        <v>0.27648</v>
      </c>
      <c r="I449" s="255" t="s">
        <v>4209</v>
      </c>
      <c r="J449" s="255" t="s">
        <v>5500</v>
      </c>
      <c r="K449" s="333">
        <v>45440</v>
      </c>
      <c r="L449" s="255"/>
      <c r="M449" s="255"/>
      <c r="N449" s="255"/>
      <c r="O449" s="333"/>
      <c r="P449" s="255"/>
      <c r="Q449" s="255"/>
      <c r="R449" s="401"/>
      <c r="S449" s="333"/>
      <c r="T449" s="255"/>
      <c r="U449" s="332">
        <v>0</v>
      </c>
      <c r="V449" s="255"/>
      <c r="W449" s="255"/>
    </row>
    <row r="450" spans="1:23" ht="22.5" customHeight="1" x14ac:dyDescent="0.25">
      <c r="A450" s="255">
        <f t="shared" si="4"/>
        <v>232</v>
      </c>
      <c r="B450" s="255" t="s">
        <v>2218</v>
      </c>
      <c r="C450" s="255" t="s">
        <v>5501</v>
      </c>
      <c r="D450" s="255" t="s">
        <v>274</v>
      </c>
      <c r="E450" s="649">
        <v>8.630840000000001</v>
      </c>
      <c r="F450" s="255">
        <v>20</v>
      </c>
      <c r="G450" s="255" t="s">
        <v>2348</v>
      </c>
      <c r="H450" s="332">
        <v>0.67200000000000026</v>
      </c>
      <c r="I450" s="255" t="s">
        <v>4209</v>
      </c>
      <c r="J450" s="255" t="s">
        <v>5502</v>
      </c>
      <c r="K450" s="333">
        <v>45460</v>
      </c>
      <c r="L450" s="255"/>
      <c r="M450" s="255"/>
      <c r="N450" s="255"/>
      <c r="O450" s="333"/>
      <c r="P450" s="255"/>
      <c r="Q450" s="255"/>
      <c r="R450" s="401"/>
      <c r="S450" s="333"/>
      <c r="T450" s="255"/>
      <c r="U450" s="332">
        <v>5.1308400000000001</v>
      </c>
      <c r="V450" s="255"/>
      <c r="W450" s="255"/>
    </row>
    <row r="451" spans="1:23" ht="22.5" customHeight="1" x14ac:dyDescent="0.25">
      <c r="A451" s="255">
        <f t="shared" si="4"/>
        <v>233</v>
      </c>
      <c r="B451" s="255" t="s">
        <v>5503</v>
      </c>
      <c r="C451" s="255" t="s">
        <v>5504</v>
      </c>
      <c r="D451" s="255" t="s">
        <v>276</v>
      </c>
      <c r="E451" s="649">
        <v>2.7</v>
      </c>
      <c r="F451" s="255">
        <v>20</v>
      </c>
      <c r="G451" s="255" t="s">
        <v>2035</v>
      </c>
      <c r="H451" s="332">
        <v>0.46656000000000003</v>
      </c>
      <c r="I451" s="255" t="s">
        <v>4209</v>
      </c>
      <c r="J451" s="255" t="s">
        <v>5505</v>
      </c>
      <c r="K451" s="333">
        <v>45462</v>
      </c>
      <c r="L451" s="255"/>
      <c r="M451" s="255"/>
      <c r="N451" s="255"/>
      <c r="O451" s="333"/>
      <c r="P451" s="255"/>
      <c r="Q451" s="255"/>
      <c r="R451" s="401"/>
      <c r="S451" s="333"/>
      <c r="T451" s="255"/>
      <c r="U451" s="332">
        <v>0</v>
      </c>
      <c r="V451" s="255"/>
      <c r="W451" s="255"/>
    </row>
    <row r="452" spans="1:23" ht="22.5" customHeight="1" x14ac:dyDescent="0.25">
      <c r="A452" s="255">
        <f t="shared" si="4"/>
        <v>234</v>
      </c>
      <c r="B452" s="255" t="s">
        <v>5506</v>
      </c>
      <c r="C452" s="255" t="s">
        <v>5507</v>
      </c>
      <c r="D452" s="255" t="s">
        <v>276</v>
      </c>
      <c r="E452" s="649">
        <v>1.47</v>
      </c>
      <c r="F452" s="255">
        <v>20</v>
      </c>
      <c r="G452" s="255" t="s">
        <v>2035</v>
      </c>
      <c r="H452" s="332">
        <v>8.4671999999999997E-2</v>
      </c>
      <c r="I452" s="255" t="s">
        <v>4209</v>
      </c>
      <c r="J452" s="255" t="s">
        <v>5508</v>
      </c>
      <c r="K452" s="333">
        <v>45457</v>
      </c>
      <c r="L452" s="255"/>
      <c r="M452" s="255"/>
      <c r="N452" s="255"/>
      <c r="O452" s="333"/>
      <c r="P452" s="255"/>
      <c r="Q452" s="255"/>
      <c r="R452" s="401"/>
      <c r="S452" s="333"/>
      <c r="T452" s="255"/>
      <c r="U452" s="332">
        <v>0.98</v>
      </c>
      <c r="V452" s="255"/>
      <c r="W452" s="255"/>
    </row>
    <row r="453" spans="1:23" ht="22.5" customHeight="1" x14ac:dyDescent="0.25">
      <c r="A453" s="255">
        <f t="shared" si="4"/>
        <v>235</v>
      </c>
      <c r="B453" s="255" t="s">
        <v>2766</v>
      </c>
      <c r="C453" s="255" t="s">
        <v>5509</v>
      </c>
      <c r="D453" s="255" t="s">
        <v>274</v>
      </c>
      <c r="E453" s="649">
        <v>2.0409999999999999</v>
      </c>
      <c r="F453" s="255">
        <v>20</v>
      </c>
      <c r="G453" s="255" t="s">
        <v>5510</v>
      </c>
      <c r="H453" s="332">
        <v>0.10492372800000001</v>
      </c>
      <c r="I453" s="255" t="s">
        <v>4209</v>
      </c>
      <c r="J453" s="255" t="s">
        <v>5511</v>
      </c>
      <c r="K453" s="333">
        <v>45453</v>
      </c>
      <c r="L453" s="255"/>
      <c r="M453" s="255"/>
      <c r="N453" s="255"/>
      <c r="O453" s="333"/>
      <c r="P453" s="255"/>
      <c r="Q453" s="255"/>
      <c r="R453" s="401"/>
      <c r="S453" s="333"/>
      <c r="T453" s="255"/>
      <c r="U453" s="332">
        <v>0</v>
      </c>
      <c r="V453" s="255"/>
      <c r="W453" s="255"/>
    </row>
    <row r="454" spans="1:23" ht="22.5" customHeight="1" x14ac:dyDescent="0.25">
      <c r="A454" s="255">
        <f t="shared" si="4"/>
        <v>236</v>
      </c>
      <c r="B454" s="255" t="s">
        <v>5512</v>
      </c>
      <c r="C454" s="255" t="s">
        <v>5513</v>
      </c>
      <c r="D454" s="255" t="s">
        <v>276</v>
      </c>
      <c r="E454" s="649">
        <v>1.7</v>
      </c>
      <c r="F454" s="255">
        <v>20</v>
      </c>
      <c r="G454" s="255" t="s">
        <v>1650</v>
      </c>
      <c r="H454" s="332">
        <v>0.29376000000000002</v>
      </c>
      <c r="I454" s="255" t="s">
        <v>4209</v>
      </c>
      <c r="J454" s="255" t="s">
        <v>5514</v>
      </c>
      <c r="K454" s="333">
        <v>45463</v>
      </c>
      <c r="L454" s="255"/>
      <c r="M454" s="255"/>
      <c r="N454" s="255"/>
      <c r="O454" s="333"/>
      <c r="P454" s="255"/>
      <c r="Q454" s="255"/>
      <c r="R454" s="401"/>
      <c r="S454" s="333"/>
      <c r="T454" s="255"/>
      <c r="U454" s="332">
        <v>0</v>
      </c>
      <c r="V454" s="255"/>
      <c r="W454" s="255"/>
    </row>
    <row r="455" spans="1:23" ht="22.5" customHeight="1" x14ac:dyDescent="0.25">
      <c r="A455" s="255">
        <f t="shared" si="4"/>
        <v>237</v>
      </c>
      <c r="B455" s="255" t="s">
        <v>5515</v>
      </c>
      <c r="C455" s="255" t="s">
        <v>1558</v>
      </c>
      <c r="D455" s="255" t="s">
        <v>274</v>
      </c>
      <c r="E455" s="331">
        <v>1.5095000000000001</v>
      </c>
      <c r="F455" s="255">
        <v>20</v>
      </c>
      <c r="G455" s="255" t="s">
        <v>1497</v>
      </c>
      <c r="H455" s="332">
        <v>7.7600376000000013E-2</v>
      </c>
      <c r="I455" s="255" t="s">
        <v>4209</v>
      </c>
      <c r="J455" s="255"/>
      <c r="K455" s="255"/>
      <c r="L455" s="255" t="s">
        <v>5516</v>
      </c>
      <c r="M455" s="333">
        <v>45433</v>
      </c>
      <c r="N455" s="255"/>
      <c r="O455" s="255"/>
      <c r="P455" s="255"/>
      <c r="Q455" s="255"/>
      <c r="R455" s="401"/>
      <c r="S455" s="333"/>
      <c r="T455" s="255"/>
      <c r="U455" s="332">
        <v>0</v>
      </c>
      <c r="V455" s="255"/>
      <c r="W455" s="255"/>
    </row>
    <row r="456" spans="1:23" ht="22.5" customHeight="1" x14ac:dyDescent="0.25">
      <c r="A456" s="255">
        <f t="shared" si="4"/>
        <v>238</v>
      </c>
      <c r="B456" s="255" t="s">
        <v>5517</v>
      </c>
      <c r="C456" s="255" t="s">
        <v>5518</v>
      </c>
      <c r="D456" s="255" t="s">
        <v>274</v>
      </c>
      <c r="E456" s="331">
        <v>1.9139999999999999</v>
      </c>
      <c r="F456" s="255">
        <v>20</v>
      </c>
      <c r="G456" s="255" t="s">
        <v>281</v>
      </c>
      <c r="H456" s="332">
        <v>9.8394912000000001E-2</v>
      </c>
      <c r="I456" s="255" t="s">
        <v>4209</v>
      </c>
      <c r="J456" s="255"/>
      <c r="K456" s="255"/>
      <c r="L456" s="255" t="s">
        <v>5519</v>
      </c>
      <c r="M456" s="333">
        <v>45439</v>
      </c>
      <c r="N456" s="255"/>
      <c r="O456" s="255"/>
      <c r="P456" s="255"/>
      <c r="Q456" s="255"/>
      <c r="R456" s="401"/>
      <c r="S456" s="333"/>
      <c r="T456" s="255"/>
      <c r="U456" s="332">
        <v>0</v>
      </c>
      <c r="V456" s="255"/>
      <c r="W456" s="255"/>
    </row>
    <row r="457" spans="1:23" ht="22.5" customHeight="1" x14ac:dyDescent="0.25">
      <c r="A457" s="255">
        <f t="shared" si="4"/>
        <v>239</v>
      </c>
      <c r="B457" s="255" t="s">
        <v>5520</v>
      </c>
      <c r="C457" s="255" t="s">
        <v>5521</v>
      </c>
      <c r="D457" s="255" t="s">
        <v>276</v>
      </c>
      <c r="E457" s="331">
        <v>1.0640000000000001</v>
      </c>
      <c r="F457" s="255">
        <v>20</v>
      </c>
      <c r="G457" s="255" t="s">
        <v>1632</v>
      </c>
      <c r="H457" s="332">
        <v>5.4698112000000007E-2</v>
      </c>
      <c r="I457" s="255" t="s">
        <v>4209</v>
      </c>
      <c r="J457" s="255"/>
      <c r="K457" s="255"/>
      <c r="L457" s="255">
        <v>19765250</v>
      </c>
      <c r="M457" s="333">
        <v>45454</v>
      </c>
      <c r="N457" s="255"/>
      <c r="O457" s="255"/>
      <c r="P457" s="255"/>
      <c r="Q457" s="255"/>
      <c r="R457" s="401"/>
      <c r="S457" s="333"/>
      <c r="T457" s="255"/>
      <c r="U457" s="332">
        <v>0</v>
      </c>
      <c r="V457" s="255"/>
      <c r="W457" s="255"/>
    </row>
    <row r="458" spans="1:23" ht="22.5" customHeight="1" x14ac:dyDescent="0.25">
      <c r="A458" s="255">
        <f t="shared" si="4"/>
        <v>240</v>
      </c>
      <c r="B458" s="255" t="s">
        <v>5522</v>
      </c>
      <c r="C458" s="255" t="s">
        <v>1554</v>
      </c>
      <c r="D458" s="255" t="s">
        <v>274</v>
      </c>
      <c r="E458" s="331">
        <v>1.3580300000000001</v>
      </c>
      <c r="F458" s="255">
        <v>20</v>
      </c>
      <c r="G458" s="255" t="s">
        <v>1472</v>
      </c>
      <c r="H458" s="332">
        <v>6.9813606240000006E-2</v>
      </c>
      <c r="I458" s="255" t="s">
        <v>4209</v>
      </c>
      <c r="J458" s="255"/>
      <c r="K458" s="255"/>
      <c r="L458" s="255" t="s">
        <v>5523</v>
      </c>
      <c r="M458" s="333">
        <v>45449</v>
      </c>
      <c r="N458" s="255"/>
      <c r="O458" s="255"/>
      <c r="P458" s="255" t="s">
        <v>5489</v>
      </c>
      <c r="Q458" s="255"/>
      <c r="R458" s="401"/>
      <c r="S458" s="333"/>
      <c r="T458" s="255"/>
      <c r="U458" s="332">
        <v>0</v>
      </c>
      <c r="V458" s="255"/>
      <c r="W458" s="255"/>
    </row>
    <row r="459" spans="1:23" ht="22.5" customHeight="1" x14ac:dyDescent="0.25">
      <c r="A459" s="255">
        <f t="shared" si="4"/>
        <v>241</v>
      </c>
      <c r="B459" s="255" t="s">
        <v>5524</v>
      </c>
      <c r="C459" s="255" t="s">
        <v>5525</v>
      </c>
      <c r="D459" s="255" t="s">
        <v>276</v>
      </c>
      <c r="E459" s="649">
        <v>1.3</v>
      </c>
      <c r="F459" s="255" t="s">
        <v>183</v>
      </c>
      <c r="G459" s="255" t="s">
        <v>1661</v>
      </c>
      <c r="H459" s="332">
        <v>0.22464000000000001</v>
      </c>
      <c r="I459" s="255" t="s">
        <v>4209</v>
      </c>
      <c r="J459" s="255" t="s">
        <v>5526</v>
      </c>
      <c r="K459" s="333">
        <v>45481</v>
      </c>
      <c r="L459" s="255"/>
      <c r="M459" s="255"/>
      <c r="N459" s="255"/>
      <c r="O459" s="255"/>
      <c r="P459" s="255"/>
      <c r="Q459" s="255"/>
      <c r="R459" s="401"/>
      <c r="S459" s="333"/>
      <c r="T459" s="255"/>
      <c r="U459" s="332">
        <v>0</v>
      </c>
      <c r="V459" s="255"/>
      <c r="W459" s="332"/>
    </row>
    <row r="460" spans="1:23" ht="22.5" customHeight="1" x14ac:dyDescent="0.25">
      <c r="A460" s="255">
        <f t="shared" si="4"/>
        <v>242</v>
      </c>
      <c r="B460" s="255" t="s">
        <v>5527</v>
      </c>
      <c r="C460" s="255" t="s">
        <v>5528</v>
      </c>
      <c r="D460" s="255" t="s">
        <v>276</v>
      </c>
      <c r="E460" s="649">
        <v>1.8</v>
      </c>
      <c r="F460" s="255" t="s">
        <v>177</v>
      </c>
      <c r="G460" s="255" t="s">
        <v>1650</v>
      </c>
      <c r="H460" s="332">
        <v>0.10540800000000002</v>
      </c>
      <c r="I460" s="255" t="s">
        <v>4209</v>
      </c>
      <c r="J460" s="255" t="s">
        <v>5529</v>
      </c>
      <c r="K460" s="333">
        <v>45484</v>
      </c>
      <c r="L460" s="255"/>
      <c r="M460" s="255"/>
      <c r="N460" s="255"/>
      <c r="O460" s="255"/>
      <c r="P460" s="255"/>
      <c r="Q460" s="255"/>
      <c r="R460" s="401"/>
      <c r="S460" s="333"/>
      <c r="T460" s="255"/>
      <c r="U460" s="332">
        <v>1.19</v>
      </c>
      <c r="V460" s="255"/>
      <c r="W460" s="332"/>
    </row>
    <row r="461" spans="1:23" ht="22.5" customHeight="1" x14ac:dyDescent="0.25">
      <c r="A461" s="255">
        <f t="shared" si="4"/>
        <v>243</v>
      </c>
      <c r="B461" s="255" t="s">
        <v>5530</v>
      </c>
      <c r="C461" s="255" t="s">
        <v>5531</v>
      </c>
      <c r="D461" s="255" t="s">
        <v>274</v>
      </c>
      <c r="E461" s="649">
        <v>1.0409999999999999</v>
      </c>
      <c r="F461" s="255" t="s">
        <v>177</v>
      </c>
      <c r="G461" s="255" t="s">
        <v>1430</v>
      </c>
      <c r="H461" s="332">
        <v>1.0281599999999998E-2</v>
      </c>
      <c r="I461" s="255" t="s">
        <v>4209</v>
      </c>
      <c r="J461" s="255" t="s">
        <v>5532</v>
      </c>
      <c r="K461" s="333">
        <v>45496</v>
      </c>
      <c r="L461" s="255"/>
      <c r="M461" s="255"/>
      <c r="N461" s="255"/>
      <c r="O461" s="255"/>
      <c r="P461" s="255"/>
      <c r="Q461" s="255"/>
      <c r="R461" s="401"/>
      <c r="S461" s="333"/>
      <c r="T461" s="255"/>
      <c r="U461" s="332">
        <v>0.84099999999999997</v>
      </c>
      <c r="V461" s="255"/>
      <c r="W461" s="332"/>
    </row>
    <row r="462" spans="1:23" ht="22.5" customHeight="1" x14ac:dyDescent="0.25">
      <c r="A462" s="255">
        <f t="shared" si="4"/>
        <v>244</v>
      </c>
      <c r="B462" s="255" t="s">
        <v>1934</v>
      </c>
      <c r="C462" s="255" t="s">
        <v>5533</v>
      </c>
      <c r="D462" s="255" t="s">
        <v>274</v>
      </c>
      <c r="E462" s="649">
        <v>1.9837</v>
      </c>
      <c r="F462" s="255">
        <v>20</v>
      </c>
      <c r="G462" s="255" t="s">
        <v>279</v>
      </c>
      <c r="H462" s="332">
        <v>0.10197804960000001</v>
      </c>
      <c r="I462" s="255" t="s">
        <v>4209</v>
      </c>
      <c r="J462" s="255"/>
      <c r="K462" s="255"/>
      <c r="L462" s="255" t="s">
        <v>5534</v>
      </c>
      <c r="M462" s="333">
        <v>45474</v>
      </c>
      <c r="N462" s="255"/>
      <c r="O462" s="255"/>
      <c r="P462" s="255"/>
      <c r="Q462" s="255"/>
      <c r="R462" s="401"/>
      <c r="S462" s="333"/>
      <c r="T462" s="255"/>
      <c r="U462" s="332">
        <v>0</v>
      </c>
      <c r="V462" s="255"/>
      <c r="W462" s="332"/>
    </row>
    <row r="463" spans="1:23" ht="22.5" customHeight="1" x14ac:dyDescent="0.25">
      <c r="A463" s="255">
        <f t="shared" si="4"/>
        <v>245</v>
      </c>
      <c r="B463" s="255" t="s">
        <v>5639</v>
      </c>
      <c r="C463" s="255" t="s">
        <v>5640</v>
      </c>
      <c r="D463" s="255" t="s">
        <v>276</v>
      </c>
      <c r="E463" s="649">
        <v>2.56</v>
      </c>
      <c r="F463" s="255" t="s">
        <v>177</v>
      </c>
      <c r="G463" s="255" t="s">
        <v>1772</v>
      </c>
      <c r="H463" s="332">
        <v>0.44236800000000004</v>
      </c>
      <c r="I463" s="255" t="s">
        <v>4209</v>
      </c>
      <c r="J463" s="255" t="s">
        <v>5641</v>
      </c>
      <c r="K463" s="333">
        <v>45504</v>
      </c>
      <c r="L463" s="255"/>
      <c r="M463" s="255"/>
      <c r="N463" s="255"/>
      <c r="O463" s="255"/>
      <c r="P463" s="255"/>
      <c r="Q463" s="255"/>
      <c r="R463" s="255"/>
      <c r="S463" s="255"/>
      <c r="T463" s="255"/>
      <c r="U463" s="332">
        <v>0</v>
      </c>
      <c r="V463" s="255"/>
      <c r="W463" s="255"/>
    </row>
    <row r="464" spans="1:23" ht="22.5" customHeight="1" x14ac:dyDescent="0.25">
      <c r="A464" s="255">
        <f t="shared" si="4"/>
        <v>246</v>
      </c>
      <c r="B464" s="255" t="s">
        <v>5642</v>
      </c>
      <c r="C464" s="255" t="s">
        <v>5643</v>
      </c>
      <c r="D464" s="255" t="s">
        <v>276</v>
      </c>
      <c r="E464" s="649">
        <v>2.2000000000000002</v>
      </c>
      <c r="F464" s="255" t="s">
        <v>222</v>
      </c>
      <c r="G464" s="255" t="s">
        <v>1772</v>
      </c>
      <c r="H464" s="332">
        <v>0.38016000000000005</v>
      </c>
      <c r="I464" s="255" t="s">
        <v>4209</v>
      </c>
      <c r="J464" s="255" t="s">
        <v>5644</v>
      </c>
      <c r="K464" s="333">
        <v>45505</v>
      </c>
      <c r="L464" s="255"/>
      <c r="M464" s="255"/>
      <c r="N464" s="255"/>
      <c r="O464" s="255"/>
      <c r="P464" s="255"/>
      <c r="Q464" s="255"/>
      <c r="R464" s="255"/>
      <c r="S464" s="255"/>
      <c r="T464" s="255"/>
      <c r="U464" s="332">
        <v>0</v>
      </c>
      <c r="V464" s="255"/>
      <c r="W464" s="255"/>
    </row>
    <row r="465" spans="1:23" ht="22.5" customHeight="1" x14ac:dyDescent="0.25">
      <c r="A465" s="255">
        <f t="shared" si="4"/>
        <v>247</v>
      </c>
      <c r="B465" s="255" t="s">
        <v>5645</v>
      </c>
      <c r="C465" s="255" t="s">
        <v>5646</v>
      </c>
      <c r="D465" s="255" t="s">
        <v>276</v>
      </c>
      <c r="E465" s="649">
        <v>1.5940000000000001</v>
      </c>
      <c r="F465" s="255" t="s">
        <v>183</v>
      </c>
      <c r="G465" s="255" t="s">
        <v>1916</v>
      </c>
      <c r="H465" s="332">
        <v>0.10374912000000001</v>
      </c>
      <c r="I465" s="255" t="s">
        <v>4209</v>
      </c>
      <c r="J465" s="255" t="s">
        <v>5647</v>
      </c>
      <c r="K465" s="333">
        <v>45511</v>
      </c>
      <c r="L465" s="255"/>
      <c r="M465" s="255"/>
      <c r="N465" s="255"/>
      <c r="O465" s="255"/>
      <c r="P465" s="255"/>
      <c r="Q465" s="255"/>
      <c r="R465" s="255"/>
      <c r="S465" s="255"/>
      <c r="T465" s="255"/>
      <c r="U465" s="332">
        <v>0.99360000000000004</v>
      </c>
      <c r="V465" s="255"/>
      <c r="W465" s="255"/>
    </row>
    <row r="466" spans="1:23" ht="22.5" customHeight="1" x14ac:dyDescent="0.25">
      <c r="A466" s="255">
        <f t="shared" si="4"/>
        <v>248</v>
      </c>
      <c r="B466" s="255" t="s">
        <v>5648</v>
      </c>
      <c r="C466" s="255" t="s">
        <v>5649</v>
      </c>
      <c r="D466" s="255" t="s">
        <v>274</v>
      </c>
      <c r="E466" s="649">
        <v>1.1000000000000001</v>
      </c>
      <c r="F466" s="255" t="s">
        <v>177</v>
      </c>
      <c r="G466" s="255" t="s">
        <v>1426</v>
      </c>
      <c r="H466" s="332">
        <v>0.19008000000000003</v>
      </c>
      <c r="I466" s="255" t="s">
        <v>4209</v>
      </c>
      <c r="J466" s="255" t="s">
        <v>5650</v>
      </c>
      <c r="K466" s="333">
        <v>45513</v>
      </c>
      <c r="L466" s="255"/>
      <c r="M466" s="255"/>
      <c r="N466" s="255"/>
      <c r="O466" s="255"/>
      <c r="P466" s="255"/>
      <c r="Q466" s="255"/>
      <c r="R466" s="255"/>
      <c r="S466" s="255"/>
      <c r="T466" s="255"/>
      <c r="U466" s="332">
        <v>0</v>
      </c>
      <c r="V466" s="255"/>
      <c r="W466" s="255"/>
    </row>
    <row r="467" spans="1:23" ht="22.5" customHeight="1" x14ac:dyDescent="0.25">
      <c r="A467" s="255">
        <f t="shared" si="4"/>
        <v>249</v>
      </c>
      <c r="B467" s="255" t="s">
        <v>3417</v>
      </c>
      <c r="C467" s="255" t="s">
        <v>3418</v>
      </c>
      <c r="D467" s="255" t="s">
        <v>274</v>
      </c>
      <c r="E467" s="649">
        <v>3.2759999999999998</v>
      </c>
      <c r="F467" s="255" t="s">
        <v>177</v>
      </c>
      <c r="G467" s="255" t="s">
        <v>1423</v>
      </c>
      <c r="H467" s="332">
        <v>0.16841260799999999</v>
      </c>
      <c r="I467" s="255" t="s">
        <v>4209</v>
      </c>
      <c r="J467" s="255" t="s">
        <v>5651</v>
      </c>
      <c r="K467" s="333">
        <v>45516</v>
      </c>
      <c r="L467" s="255"/>
      <c r="M467" s="255"/>
      <c r="N467" s="255"/>
      <c r="O467" s="255"/>
      <c r="P467" s="255"/>
      <c r="Q467" s="255"/>
      <c r="R467" s="255"/>
      <c r="S467" s="255"/>
      <c r="T467" s="255"/>
      <c r="U467" s="332">
        <v>0</v>
      </c>
      <c r="V467" s="255"/>
      <c r="W467" s="255"/>
    </row>
    <row r="468" spans="1:23" ht="22.5" customHeight="1" x14ac:dyDescent="0.25">
      <c r="A468" s="255">
        <f t="shared" si="4"/>
        <v>250</v>
      </c>
      <c r="B468" s="255" t="s">
        <v>5652</v>
      </c>
      <c r="C468" s="255" t="s">
        <v>5653</v>
      </c>
      <c r="D468" s="255" t="s">
        <v>276</v>
      </c>
      <c r="E468" s="649">
        <v>1.1499999999999999</v>
      </c>
      <c r="F468" s="255" t="s">
        <v>177</v>
      </c>
      <c r="G468" s="255" t="s">
        <v>2035</v>
      </c>
      <c r="H468" s="332">
        <v>0.19872000000000001</v>
      </c>
      <c r="I468" s="255" t="s">
        <v>4209</v>
      </c>
      <c r="J468" s="255" t="s">
        <v>5654</v>
      </c>
      <c r="K468" s="333">
        <v>45517</v>
      </c>
      <c r="L468" s="255"/>
      <c r="M468" s="255"/>
      <c r="N468" s="255"/>
      <c r="O468" s="255"/>
      <c r="P468" s="255"/>
      <c r="Q468" s="255"/>
      <c r="R468" s="255"/>
      <c r="S468" s="255"/>
      <c r="T468" s="255"/>
      <c r="U468" s="332">
        <v>0</v>
      </c>
      <c r="V468" s="255"/>
      <c r="W468" s="255"/>
    </row>
    <row r="469" spans="1:23" ht="22.5" customHeight="1" x14ac:dyDescent="0.25">
      <c r="A469" s="255">
        <f t="shared" si="4"/>
        <v>251</v>
      </c>
      <c r="B469" s="255" t="s">
        <v>5655</v>
      </c>
      <c r="C469" s="255" t="s">
        <v>824</v>
      </c>
      <c r="D469" s="255" t="s">
        <v>276</v>
      </c>
      <c r="E469" s="649">
        <v>1.667</v>
      </c>
      <c r="F469" s="255" t="s">
        <v>177</v>
      </c>
      <c r="G469" s="255" t="s">
        <v>280</v>
      </c>
      <c r="H469" s="332">
        <v>4.0303872000000004E-2</v>
      </c>
      <c r="I469" s="255" t="s">
        <v>4209</v>
      </c>
      <c r="J469" s="255" t="s">
        <v>5656</v>
      </c>
      <c r="K469" s="333">
        <v>45517</v>
      </c>
      <c r="L469" s="255"/>
      <c r="M469" s="255"/>
      <c r="N469" s="255"/>
      <c r="O469" s="255"/>
      <c r="P469" s="255"/>
      <c r="Q469" s="255"/>
      <c r="R469" s="255"/>
      <c r="S469" s="255"/>
      <c r="T469" s="255"/>
      <c r="U469" s="332">
        <v>0.88300000000000001</v>
      </c>
      <c r="V469" s="255"/>
      <c r="W469" s="255"/>
    </row>
    <row r="470" spans="1:23" ht="22.5" customHeight="1" x14ac:dyDescent="0.25">
      <c r="A470" s="255">
        <f t="shared" si="4"/>
        <v>252</v>
      </c>
      <c r="B470" s="255" t="s">
        <v>5657</v>
      </c>
      <c r="C470" s="255" t="s">
        <v>1208</v>
      </c>
      <c r="D470" s="255" t="s">
        <v>276</v>
      </c>
      <c r="E470" s="649">
        <v>2.1105</v>
      </c>
      <c r="F470" s="255" t="s">
        <v>177</v>
      </c>
      <c r="G470" s="255" t="s">
        <v>1472</v>
      </c>
      <c r="H470" s="332">
        <v>0.10849658400000001</v>
      </c>
      <c r="I470" s="255" t="s">
        <v>4209</v>
      </c>
      <c r="J470" s="255"/>
      <c r="K470" s="255"/>
      <c r="L470" s="255" t="s">
        <v>5658</v>
      </c>
      <c r="M470" s="333">
        <v>45518</v>
      </c>
      <c r="N470" s="255"/>
      <c r="O470" s="255"/>
      <c r="P470" s="255" t="s">
        <v>5659</v>
      </c>
      <c r="Q470" s="255"/>
      <c r="R470" s="255"/>
      <c r="S470" s="255"/>
      <c r="T470" s="255"/>
      <c r="U470" s="332">
        <v>0</v>
      </c>
      <c r="V470" s="255"/>
      <c r="W470" s="255"/>
    </row>
    <row r="471" spans="1:23" ht="22.5" customHeight="1" x14ac:dyDescent="0.25">
      <c r="A471" s="255">
        <f t="shared" si="4"/>
        <v>253</v>
      </c>
      <c r="B471" s="255" t="s">
        <v>5660</v>
      </c>
      <c r="C471" s="255" t="s">
        <v>5661</v>
      </c>
      <c r="D471" s="255" t="s">
        <v>276</v>
      </c>
      <c r="E471" s="649">
        <v>1.3211600000000001</v>
      </c>
      <c r="F471" s="255" t="s">
        <v>177</v>
      </c>
      <c r="G471" s="255" t="s">
        <v>1472</v>
      </c>
      <c r="H471" s="332">
        <v>6.7918193280000011E-2</v>
      </c>
      <c r="I471" s="255" t="s">
        <v>4209</v>
      </c>
      <c r="J471" s="255"/>
      <c r="K471" s="255"/>
      <c r="L471" s="255" t="s">
        <v>5662</v>
      </c>
      <c r="M471" s="333">
        <v>45516</v>
      </c>
      <c r="N471" s="255"/>
      <c r="O471" s="255"/>
      <c r="P471" s="255" t="s">
        <v>5663</v>
      </c>
      <c r="Q471" s="255"/>
      <c r="R471" s="255"/>
      <c r="S471" s="255"/>
      <c r="T471" s="255"/>
      <c r="U471" s="332">
        <v>0</v>
      </c>
      <c r="V471" s="255"/>
      <c r="W471" s="255"/>
    </row>
    <row r="472" spans="1:23" ht="22.5" customHeight="1" x14ac:dyDescent="0.25">
      <c r="A472" s="255">
        <f t="shared" si="4"/>
        <v>254</v>
      </c>
      <c r="B472" s="255" t="s">
        <v>5664</v>
      </c>
      <c r="C472" s="255" t="s">
        <v>5665</v>
      </c>
      <c r="D472" s="255" t="s">
        <v>274</v>
      </c>
      <c r="E472" s="649">
        <v>2.6659999999999999</v>
      </c>
      <c r="F472" s="255" t="s">
        <v>177</v>
      </c>
      <c r="G472" s="255" t="s">
        <v>1490</v>
      </c>
      <c r="H472" s="332">
        <v>0.13705372800000001</v>
      </c>
      <c r="I472" s="255" t="s">
        <v>4209</v>
      </c>
      <c r="J472" s="255"/>
      <c r="K472" s="255"/>
      <c r="L472" s="255" t="s">
        <v>5666</v>
      </c>
      <c r="M472" s="333">
        <v>45512</v>
      </c>
      <c r="N472" s="255"/>
      <c r="O472" s="255"/>
      <c r="P472" s="255" t="s">
        <v>5667</v>
      </c>
      <c r="Q472" s="255"/>
      <c r="R472" s="255"/>
      <c r="S472" s="255"/>
      <c r="T472" s="255"/>
      <c r="U472" s="332">
        <v>0</v>
      </c>
      <c r="V472" s="255"/>
      <c r="W472" s="255"/>
    </row>
    <row r="473" spans="1:23" ht="22.5" customHeight="1" x14ac:dyDescent="0.25">
      <c r="A473" s="255">
        <f t="shared" si="4"/>
        <v>255</v>
      </c>
      <c r="B473" s="255" t="s">
        <v>5503</v>
      </c>
      <c r="C473" s="255" t="s">
        <v>5761</v>
      </c>
      <c r="D473" s="255" t="s">
        <v>276</v>
      </c>
      <c r="E473" s="649">
        <v>1.5</v>
      </c>
      <c r="F473" s="255" t="s">
        <v>177</v>
      </c>
      <c r="G473" s="255" t="s">
        <v>1614</v>
      </c>
      <c r="H473" s="332">
        <v>0.25919999999999999</v>
      </c>
      <c r="I473" s="255" t="s">
        <v>4209</v>
      </c>
      <c r="J473" s="255" t="s">
        <v>5762</v>
      </c>
      <c r="K473" s="333">
        <v>45530</v>
      </c>
      <c r="L473" s="255"/>
      <c r="M473" s="255"/>
      <c r="N473" s="255"/>
      <c r="O473" s="255"/>
      <c r="P473" s="255"/>
      <c r="Q473" s="255"/>
      <c r="R473" s="255"/>
      <c r="S473" s="255"/>
      <c r="T473" s="255"/>
      <c r="U473" s="332">
        <v>0</v>
      </c>
      <c r="V473" s="255"/>
      <c r="W473" s="255"/>
    </row>
    <row r="474" spans="1:23" ht="22.5" customHeight="1" x14ac:dyDescent="0.25">
      <c r="A474" s="255">
        <f t="shared" si="4"/>
        <v>256</v>
      </c>
      <c r="B474" s="255" t="s">
        <v>5763</v>
      </c>
      <c r="C474" s="255" t="s">
        <v>5764</v>
      </c>
      <c r="D474" s="255" t="s">
        <v>274</v>
      </c>
      <c r="E474" s="649">
        <v>2.6538000000000004</v>
      </c>
      <c r="F474" s="255" t="s">
        <v>177</v>
      </c>
      <c r="G474" s="255" t="s">
        <v>1476</v>
      </c>
      <c r="H474" s="332">
        <v>5.0061110400000025E-2</v>
      </c>
      <c r="I474" s="255" t="s">
        <v>4209</v>
      </c>
      <c r="J474" s="255" t="s">
        <v>5765</v>
      </c>
      <c r="K474" s="333">
        <v>45530</v>
      </c>
      <c r="L474" s="255"/>
      <c r="M474" s="255"/>
      <c r="N474" s="255"/>
      <c r="O474" s="255"/>
      <c r="P474" s="255"/>
      <c r="Q474" s="255"/>
      <c r="R474" s="255"/>
      <c r="S474" s="255"/>
      <c r="T474" s="255"/>
      <c r="U474" s="332">
        <v>1.68</v>
      </c>
      <c r="V474" s="255"/>
      <c r="W474" s="255"/>
    </row>
    <row r="475" spans="1:23" ht="22.5" customHeight="1" x14ac:dyDescent="0.25">
      <c r="A475" s="255">
        <f t="shared" si="4"/>
        <v>257</v>
      </c>
      <c r="B475" s="255" t="s">
        <v>5766</v>
      </c>
      <c r="C475" s="255" t="s">
        <v>5767</v>
      </c>
      <c r="D475" s="255" t="s">
        <v>276</v>
      </c>
      <c r="E475" s="649">
        <v>2.85</v>
      </c>
      <c r="F475" s="255" t="s">
        <v>177</v>
      </c>
      <c r="G475" s="255" t="s">
        <v>1665</v>
      </c>
      <c r="H475" s="332">
        <v>0.40953600000000007</v>
      </c>
      <c r="I475" s="255" t="s">
        <v>4209</v>
      </c>
      <c r="J475" s="255" t="s">
        <v>5768</v>
      </c>
      <c r="K475" s="333">
        <v>45539</v>
      </c>
      <c r="L475" s="255" t="s">
        <v>5768</v>
      </c>
      <c r="M475" s="333">
        <v>45558</v>
      </c>
      <c r="N475" s="255"/>
      <c r="O475" s="255"/>
      <c r="P475" s="255"/>
      <c r="Q475" s="255"/>
      <c r="R475" s="255"/>
      <c r="S475" s="255"/>
      <c r="T475" s="255"/>
      <c r="U475" s="332">
        <v>0.48</v>
      </c>
      <c r="V475" s="255"/>
      <c r="W475" s="255"/>
    </row>
    <row r="476" spans="1:23" ht="22.5" customHeight="1" x14ac:dyDescent="0.25">
      <c r="A476" s="255">
        <f t="shared" si="4"/>
        <v>258</v>
      </c>
      <c r="B476" s="255" t="s">
        <v>4557</v>
      </c>
      <c r="C476" s="255" t="s">
        <v>4558</v>
      </c>
      <c r="D476" s="255" t="s">
        <v>274</v>
      </c>
      <c r="E476" s="649">
        <v>1.84</v>
      </c>
      <c r="F476" s="255" t="s">
        <v>177</v>
      </c>
      <c r="G476" s="255" t="s">
        <v>1427</v>
      </c>
      <c r="H476" s="332">
        <v>9.4590720000000003E-2</v>
      </c>
      <c r="I476" s="255" t="s">
        <v>4209</v>
      </c>
      <c r="J476" s="255" t="s">
        <v>5769</v>
      </c>
      <c r="K476" s="333">
        <v>45539</v>
      </c>
      <c r="L476" s="255"/>
      <c r="M476" s="255"/>
      <c r="N476" s="255"/>
      <c r="O476" s="255"/>
      <c r="P476" s="255"/>
      <c r="Q476" s="255"/>
      <c r="R476" s="255"/>
      <c r="S476" s="255"/>
      <c r="T476" s="255"/>
      <c r="U476" s="332">
        <v>0</v>
      </c>
      <c r="V476" s="255"/>
      <c r="W476" s="255"/>
    </row>
    <row r="477" spans="1:23" ht="22.5" customHeight="1" x14ac:dyDescent="0.25">
      <c r="A477" s="255">
        <f t="shared" si="4"/>
        <v>259</v>
      </c>
      <c r="B477" s="255" t="s">
        <v>5770</v>
      </c>
      <c r="C477" s="255" t="s">
        <v>1526</v>
      </c>
      <c r="D477" s="255" t="s">
        <v>276</v>
      </c>
      <c r="E477" s="331">
        <v>3.415</v>
      </c>
      <c r="F477" s="255" t="s">
        <v>177</v>
      </c>
      <c r="G477" s="255" t="s">
        <v>1472</v>
      </c>
      <c r="H477" s="332">
        <v>0.17555832000000002</v>
      </c>
      <c r="I477" s="255" t="s">
        <v>4209</v>
      </c>
      <c r="J477" s="255"/>
      <c r="K477" s="255"/>
      <c r="L477" s="255" t="s">
        <v>5771</v>
      </c>
      <c r="M477" s="333">
        <v>45541</v>
      </c>
      <c r="N477" s="255"/>
      <c r="O477" s="255"/>
      <c r="P477" s="255" t="s">
        <v>5772</v>
      </c>
      <c r="Q477" s="255"/>
      <c r="R477" s="255"/>
      <c r="S477" s="255"/>
      <c r="T477" s="255"/>
      <c r="U477" s="332">
        <v>0</v>
      </c>
      <c r="V477" s="255"/>
      <c r="W477" s="255"/>
    </row>
    <row r="478" spans="1:23" ht="22.5" customHeight="1" x14ac:dyDescent="0.25">
      <c r="A478" s="255">
        <f t="shared" si="4"/>
        <v>260</v>
      </c>
      <c r="B478" s="255" t="s">
        <v>5773</v>
      </c>
      <c r="C478" s="255" t="s">
        <v>1541</v>
      </c>
      <c r="D478" s="255" t="s">
        <v>274</v>
      </c>
      <c r="E478" s="331">
        <v>3.21509</v>
      </c>
      <c r="F478" s="255" t="s">
        <v>183</v>
      </c>
      <c r="G478" s="255" t="s">
        <v>1427</v>
      </c>
      <c r="H478" s="332">
        <v>0.16528134672</v>
      </c>
      <c r="I478" s="255" t="s">
        <v>4209</v>
      </c>
      <c r="J478" s="255"/>
      <c r="K478" s="255"/>
      <c r="L478" s="255" t="s">
        <v>5774</v>
      </c>
      <c r="M478" s="333">
        <v>45560</v>
      </c>
      <c r="N478" s="255"/>
      <c r="O478" s="255"/>
      <c r="P478" s="255" t="s">
        <v>5775</v>
      </c>
      <c r="Q478" s="255"/>
      <c r="R478" s="255"/>
      <c r="S478" s="255"/>
      <c r="T478" s="255"/>
      <c r="U478" s="332">
        <v>0</v>
      </c>
      <c r="V478" s="255"/>
      <c r="W478" s="255"/>
    </row>
    <row r="479" spans="1:23" ht="22.5" customHeight="1" x14ac:dyDescent="0.25">
      <c r="A479" s="255">
        <f t="shared" si="4"/>
        <v>261</v>
      </c>
      <c r="B479" s="255" t="s">
        <v>1934</v>
      </c>
      <c r="C479" s="255" t="s">
        <v>1554</v>
      </c>
      <c r="D479" s="255" t="s">
        <v>274</v>
      </c>
      <c r="E479" s="331">
        <v>1.302</v>
      </c>
      <c r="F479" s="255" t="s">
        <v>177</v>
      </c>
      <c r="G479" s="255" t="s">
        <v>4552</v>
      </c>
      <c r="H479" s="332">
        <v>6.6933216000000004E-2</v>
      </c>
      <c r="I479" s="255" t="s">
        <v>4209</v>
      </c>
      <c r="J479" s="255"/>
      <c r="K479" s="255"/>
      <c r="L479" s="255" t="s">
        <v>5776</v>
      </c>
      <c r="M479" s="333">
        <v>45546</v>
      </c>
      <c r="N479" s="255"/>
      <c r="O479" s="255"/>
      <c r="P479" s="255"/>
      <c r="Q479" s="255"/>
      <c r="R479" s="255"/>
      <c r="S479" s="255"/>
      <c r="T479" s="255"/>
      <c r="U479" s="332">
        <v>0</v>
      </c>
      <c r="V479" s="255"/>
      <c r="W479" s="255"/>
    </row>
    <row r="480" spans="1:23" ht="22.5" customHeight="1" x14ac:dyDescent="0.25">
      <c r="A480" s="255">
        <f t="shared" si="4"/>
        <v>262</v>
      </c>
      <c r="B480" s="255" t="s">
        <v>3982</v>
      </c>
      <c r="C480" s="255" t="s">
        <v>5777</v>
      </c>
      <c r="D480" s="255" t="s">
        <v>274</v>
      </c>
      <c r="E480" s="331">
        <v>1.6994</v>
      </c>
      <c r="F480" s="255" t="s">
        <v>177</v>
      </c>
      <c r="G480" s="255" t="s">
        <v>5778</v>
      </c>
      <c r="H480" s="332">
        <v>8.7362755200000003E-2</v>
      </c>
      <c r="I480" s="255" t="s">
        <v>4209</v>
      </c>
      <c r="J480" s="255"/>
      <c r="K480" s="255"/>
      <c r="L480" s="255" t="s">
        <v>5779</v>
      </c>
      <c r="M480" s="333">
        <v>45548</v>
      </c>
      <c r="N480" s="255"/>
      <c r="O480" s="255"/>
      <c r="P480" s="255"/>
      <c r="Q480" s="255"/>
      <c r="R480" s="255"/>
      <c r="S480" s="255"/>
      <c r="T480" s="255"/>
      <c r="U480" s="332">
        <v>0</v>
      </c>
      <c r="V480" s="255"/>
      <c r="W480" s="255"/>
    </row>
    <row r="481" spans="1:23" ht="22.5" customHeight="1" x14ac:dyDescent="0.25">
      <c r="A481" s="255">
        <f t="shared" si="4"/>
        <v>263</v>
      </c>
      <c r="B481" s="255" t="s">
        <v>5780</v>
      </c>
      <c r="C481" s="255" t="s">
        <v>5781</v>
      </c>
      <c r="D481" s="255" t="s">
        <v>276</v>
      </c>
      <c r="E481" s="331">
        <v>1.1639999999999999</v>
      </c>
      <c r="F481" s="255" t="s">
        <v>1369</v>
      </c>
      <c r="G481" s="255" t="s">
        <v>280</v>
      </c>
      <c r="H481" s="332">
        <v>5.9838912000000001E-2</v>
      </c>
      <c r="I481" s="255" t="s">
        <v>4209</v>
      </c>
      <c r="J481" s="255"/>
      <c r="K481" s="255"/>
      <c r="L481" s="255">
        <v>19536025</v>
      </c>
      <c r="M481" s="333">
        <v>45544</v>
      </c>
      <c r="N481" s="255"/>
      <c r="O481" s="255"/>
      <c r="P481" s="255"/>
      <c r="Q481" s="255"/>
      <c r="R481" s="255"/>
      <c r="S481" s="255"/>
      <c r="T481" s="255"/>
      <c r="U481" s="332">
        <v>0</v>
      </c>
      <c r="V481" s="255"/>
      <c r="W481" s="255"/>
    </row>
    <row r="482" spans="1:23" ht="22.5" customHeight="1" x14ac:dyDescent="0.25">
      <c r="A482" s="255">
        <f t="shared" si="4"/>
        <v>264</v>
      </c>
      <c r="B482" s="255" t="s">
        <v>5660</v>
      </c>
      <c r="C482" s="255" t="s">
        <v>5782</v>
      </c>
      <c r="D482" s="255" t="s">
        <v>276</v>
      </c>
      <c r="E482" s="331">
        <v>1.0382499999999999</v>
      </c>
      <c r="F482" s="255" t="s">
        <v>177</v>
      </c>
      <c r="G482" s="255" t="s">
        <v>5783</v>
      </c>
      <c r="H482" s="332">
        <v>5.3374355999999998E-2</v>
      </c>
      <c r="I482" s="255" t="s">
        <v>4209</v>
      </c>
      <c r="J482" s="255"/>
      <c r="K482" s="255"/>
      <c r="L482" s="255" t="s">
        <v>5784</v>
      </c>
      <c r="M482" s="333">
        <v>45538</v>
      </c>
      <c r="N482" s="255"/>
      <c r="O482" s="255"/>
      <c r="P482" s="255" t="s">
        <v>5663</v>
      </c>
      <c r="Q482" s="255"/>
      <c r="R482" s="255"/>
      <c r="S482" s="255"/>
      <c r="T482" s="255"/>
      <c r="U482" s="332">
        <v>0</v>
      </c>
      <c r="V482" s="255"/>
      <c r="W482" s="255"/>
    </row>
    <row r="483" spans="1:23" ht="22.5" customHeight="1" x14ac:dyDescent="0.25">
      <c r="A483" s="255">
        <f t="shared" si="4"/>
        <v>265</v>
      </c>
      <c r="B483" s="255" t="s">
        <v>5785</v>
      </c>
      <c r="C483" s="255" t="s">
        <v>5786</v>
      </c>
      <c r="D483" s="255" t="s">
        <v>276</v>
      </c>
      <c r="E483" s="331">
        <v>1.1859999999999999</v>
      </c>
      <c r="F483" s="255" t="s">
        <v>183</v>
      </c>
      <c r="G483" s="255" t="s">
        <v>5787</v>
      </c>
      <c r="H483" s="332">
        <v>6.0969888E-2</v>
      </c>
      <c r="I483" s="255" t="s">
        <v>4209</v>
      </c>
      <c r="J483" s="255"/>
      <c r="K483" s="255"/>
      <c r="L483" s="255" t="s">
        <v>5788</v>
      </c>
      <c r="M483" s="333">
        <v>45538</v>
      </c>
      <c r="N483" s="255"/>
      <c r="O483" s="255"/>
      <c r="P483" s="255"/>
      <c r="Q483" s="255"/>
      <c r="R483" s="255"/>
      <c r="S483" s="255"/>
      <c r="T483" s="255"/>
      <c r="U483" s="332">
        <v>0</v>
      </c>
      <c r="V483" s="255"/>
      <c r="W483" s="255"/>
    </row>
    <row r="484" spans="1:23" ht="22.5" customHeight="1" x14ac:dyDescent="0.25">
      <c r="A484" s="255">
        <f t="shared" si="4"/>
        <v>266</v>
      </c>
      <c r="B484" s="255" t="s">
        <v>5660</v>
      </c>
      <c r="C484" s="255" t="s">
        <v>5789</v>
      </c>
      <c r="D484" s="255" t="s">
        <v>276</v>
      </c>
      <c r="E484" s="331">
        <v>1.32616</v>
      </c>
      <c r="F484" s="255" t="s">
        <v>177</v>
      </c>
      <c r="G484" s="255" t="s">
        <v>5783</v>
      </c>
      <c r="H484" s="332">
        <v>6.8175233279999997E-2</v>
      </c>
      <c r="I484" s="255" t="s">
        <v>4209</v>
      </c>
      <c r="J484" s="255"/>
      <c r="K484" s="255"/>
      <c r="L484" s="255" t="s">
        <v>5790</v>
      </c>
      <c r="M484" s="333">
        <v>45538</v>
      </c>
      <c r="N484" s="255"/>
      <c r="O484" s="255"/>
      <c r="P484" s="255" t="s">
        <v>5791</v>
      </c>
      <c r="Q484" s="255"/>
      <c r="R484" s="255"/>
      <c r="S484" s="255"/>
      <c r="T484" s="255"/>
      <c r="U484" s="332">
        <v>0</v>
      </c>
      <c r="V484" s="255"/>
      <c r="W484" s="255"/>
    </row>
    <row r="485" spans="1:23" ht="22.5" customHeight="1" x14ac:dyDescent="0.25">
      <c r="A485" s="255">
        <f t="shared" si="4"/>
        <v>267</v>
      </c>
      <c r="B485" s="255" t="s">
        <v>5792</v>
      </c>
      <c r="C485" s="255" t="s">
        <v>5793</v>
      </c>
      <c r="D485" s="255" t="s">
        <v>274</v>
      </c>
      <c r="E485" s="331">
        <v>2.2307600000000001</v>
      </c>
      <c r="F485" s="255" t="s">
        <v>177</v>
      </c>
      <c r="G485" s="255" t="s">
        <v>5794</v>
      </c>
      <c r="H485" s="332">
        <v>0.11467891008000002</v>
      </c>
      <c r="I485" s="255" t="s">
        <v>4209</v>
      </c>
      <c r="J485" s="255"/>
      <c r="K485" s="255"/>
      <c r="L485" s="255" t="s">
        <v>5795</v>
      </c>
      <c r="M485" s="333">
        <v>45546</v>
      </c>
      <c r="N485" s="255"/>
      <c r="O485" s="255"/>
      <c r="P485" s="255"/>
      <c r="Q485" s="255"/>
      <c r="R485" s="255"/>
      <c r="S485" s="255"/>
      <c r="T485" s="255"/>
      <c r="U485" s="332">
        <v>0</v>
      </c>
      <c r="V485" s="255"/>
      <c r="W485" s="255"/>
    </row>
    <row r="486" spans="1:23" ht="22.5" customHeight="1" x14ac:dyDescent="0.25">
      <c r="A486" s="255">
        <f t="shared" si="4"/>
        <v>268</v>
      </c>
      <c r="B486" s="255" t="s">
        <v>5796</v>
      </c>
      <c r="C486" s="255" t="s">
        <v>1554</v>
      </c>
      <c r="D486" s="255" t="s">
        <v>274</v>
      </c>
      <c r="E486" s="331">
        <v>1.2370000000000001</v>
      </c>
      <c r="F486" s="255" t="s">
        <v>177</v>
      </c>
      <c r="G486" s="255" t="s">
        <v>4994</v>
      </c>
      <c r="H486" s="332">
        <v>6.3591696000000003E-2</v>
      </c>
      <c r="I486" s="255" t="s">
        <v>4209</v>
      </c>
      <c r="J486" s="255"/>
      <c r="K486" s="255"/>
      <c r="L486" s="255" t="s">
        <v>5797</v>
      </c>
      <c r="M486" s="333">
        <v>45537</v>
      </c>
      <c r="N486" s="255"/>
      <c r="O486" s="255"/>
      <c r="P486" s="255"/>
      <c r="Q486" s="255"/>
      <c r="R486" s="255"/>
      <c r="S486" s="255"/>
      <c r="T486" s="255"/>
      <c r="U486" s="332">
        <v>0</v>
      </c>
      <c r="V486" s="255"/>
      <c r="W486" s="255"/>
    </row>
    <row r="487" spans="1:23" ht="22.5" customHeight="1" x14ac:dyDescent="0.25">
      <c r="A487" s="255">
        <f t="shared" si="4"/>
        <v>269</v>
      </c>
      <c r="B487" s="255" t="s">
        <v>5798</v>
      </c>
      <c r="C487" s="255" t="s">
        <v>1526</v>
      </c>
      <c r="D487" s="255" t="s">
        <v>276</v>
      </c>
      <c r="E487" s="331">
        <v>4.0380000000000003</v>
      </c>
      <c r="F487" s="255" t="s">
        <v>177</v>
      </c>
      <c r="G487" s="255" t="s">
        <v>1472</v>
      </c>
      <c r="H487" s="332">
        <v>0.20758550400000003</v>
      </c>
      <c r="I487" s="255" t="s">
        <v>4209</v>
      </c>
      <c r="J487" s="255"/>
      <c r="K487" s="255"/>
      <c r="L487" s="255" t="s">
        <v>5799</v>
      </c>
      <c r="M487" s="333">
        <v>45545</v>
      </c>
      <c r="N487" s="255"/>
      <c r="O487" s="255"/>
      <c r="P487" s="255" t="s">
        <v>5800</v>
      </c>
      <c r="Q487" s="255"/>
      <c r="R487" s="255"/>
      <c r="S487" s="255"/>
      <c r="T487" s="255"/>
      <c r="U487" s="332">
        <v>0</v>
      </c>
      <c r="V487" s="255"/>
      <c r="W487" s="255"/>
    </row>
    <row r="488" spans="1:23" ht="22.5" customHeight="1" x14ac:dyDescent="0.25">
      <c r="A488" s="255">
        <f t="shared" si="4"/>
        <v>270</v>
      </c>
      <c r="B488" s="255" t="s">
        <v>5801</v>
      </c>
      <c r="C488" s="255" t="s">
        <v>1554</v>
      </c>
      <c r="D488" s="255" t="s">
        <v>274</v>
      </c>
      <c r="E488" s="331">
        <v>1.3832</v>
      </c>
      <c r="F488" s="255" t="s">
        <v>183</v>
      </c>
      <c r="G488" s="255" t="s">
        <v>5802</v>
      </c>
      <c r="H488" s="332">
        <v>7.1107545600000002E-2</v>
      </c>
      <c r="I488" s="255" t="s">
        <v>4209</v>
      </c>
      <c r="J488" s="255"/>
      <c r="K488" s="255"/>
      <c r="L488" s="255" t="s">
        <v>5803</v>
      </c>
      <c r="M488" s="333">
        <v>45538</v>
      </c>
      <c r="N488" s="255"/>
      <c r="O488" s="255"/>
      <c r="P488" s="255"/>
      <c r="Q488" s="255"/>
      <c r="R488" s="255"/>
      <c r="S488" s="255"/>
      <c r="T488" s="255"/>
      <c r="U488" s="332">
        <v>0</v>
      </c>
      <c r="V488" s="255"/>
      <c r="W488" s="255"/>
    </row>
    <row r="489" spans="1:23" ht="22.5" customHeight="1" x14ac:dyDescent="0.25">
      <c r="A489" s="255">
        <f t="shared" si="4"/>
        <v>271</v>
      </c>
      <c r="B489" s="646" t="s">
        <v>1478</v>
      </c>
      <c r="C489" s="255" t="s">
        <v>6084</v>
      </c>
      <c r="D489" s="255" t="s">
        <v>274</v>
      </c>
      <c r="E489" s="386">
        <v>1.5349999999999999</v>
      </c>
      <c r="F489" s="255" t="s">
        <v>177</v>
      </c>
      <c r="G489" s="255" t="s">
        <v>280</v>
      </c>
      <c r="H489" s="332">
        <v>0.26524799999999998</v>
      </c>
      <c r="I489" s="255" t="s">
        <v>4209</v>
      </c>
      <c r="J489" s="255" t="s">
        <v>6085</v>
      </c>
      <c r="K489" s="333">
        <v>45565</v>
      </c>
      <c r="L489" s="255"/>
      <c r="M489" s="255"/>
      <c r="N489" s="255"/>
      <c r="O489" s="255"/>
      <c r="P489" s="255"/>
      <c r="Q489" s="255"/>
      <c r="R489" s="255"/>
      <c r="S489" s="255"/>
      <c r="T489" s="255"/>
      <c r="U489" s="332">
        <v>0</v>
      </c>
      <c r="V489" s="255"/>
      <c r="W489" s="255"/>
    </row>
    <row r="490" spans="1:23" ht="22.5" customHeight="1" x14ac:dyDescent="0.25">
      <c r="A490" s="255">
        <f t="shared" si="4"/>
        <v>272</v>
      </c>
      <c r="B490" s="646" t="s">
        <v>5506</v>
      </c>
      <c r="C490" s="255" t="s">
        <v>2223</v>
      </c>
      <c r="D490" s="255" t="s">
        <v>276</v>
      </c>
      <c r="E490" s="386">
        <v>1.47</v>
      </c>
      <c r="F490" s="255" t="s">
        <v>177</v>
      </c>
      <c r="G490" s="255" t="s">
        <v>2035</v>
      </c>
      <c r="H490" s="332">
        <v>8.4671999999999997E-2</v>
      </c>
      <c r="I490" s="255" t="s">
        <v>4209</v>
      </c>
      <c r="J490" s="255" t="s">
        <v>6086</v>
      </c>
      <c r="K490" s="333">
        <v>45567</v>
      </c>
      <c r="L490" s="255"/>
      <c r="M490" s="255"/>
      <c r="N490" s="255"/>
      <c r="O490" s="255"/>
      <c r="P490" s="255"/>
      <c r="Q490" s="255"/>
      <c r="R490" s="255"/>
      <c r="S490" s="255"/>
      <c r="T490" s="255"/>
      <c r="U490" s="332">
        <v>0.98</v>
      </c>
      <c r="V490" s="255"/>
      <c r="W490" s="255"/>
    </row>
    <row r="491" spans="1:23" ht="22.5" customHeight="1" x14ac:dyDescent="0.25">
      <c r="A491" s="255">
        <f t="shared" si="4"/>
        <v>273</v>
      </c>
      <c r="B491" s="646" t="s">
        <v>6087</v>
      </c>
      <c r="C491" s="255" t="s">
        <v>6088</v>
      </c>
      <c r="D491" s="255" t="s">
        <v>274</v>
      </c>
      <c r="E491" s="386">
        <v>1.61</v>
      </c>
      <c r="F491" s="255" t="s">
        <v>177</v>
      </c>
      <c r="G491" s="255" t="s">
        <v>1423</v>
      </c>
      <c r="H491" s="332">
        <v>0.27820800000000001</v>
      </c>
      <c r="I491" s="255" t="s">
        <v>4209</v>
      </c>
      <c r="J491" s="255" t="s">
        <v>6089</v>
      </c>
      <c r="K491" s="333">
        <v>45575</v>
      </c>
      <c r="L491" s="255"/>
      <c r="M491" s="255"/>
      <c r="N491" s="255"/>
      <c r="O491" s="255"/>
      <c r="P491" s="255"/>
      <c r="Q491" s="255"/>
      <c r="R491" s="255"/>
      <c r="S491" s="255"/>
      <c r="T491" s="255"/>
      <c r="U491" s="332">
        <v>0</v>
      </c>
      <c r="V491" s="255"/>
      <c r="W491" s="255"/>
    </row>
    <row r="492" spans="1:23" ht="22.5" customHeight="1" x14ac:dyDescent="0.25">
      <c r="A492" s="255">
        <f t="shared" si="4"/>
        <v>274</v>
      </c>
      <c r="B492" s="646" t="s">
        <v>2293</v>
      </c>
      <c r="C492" s="255" t="s">
        <v>1862</v>
      </c>
      <c r="D492" s="255" t="s">
        <v>276</v>
      </c>
      <c r="E492" s="386">
        <v>2.1</v>
      </c>
      <c r="F492" s="255" t="s">
        <v>177</v>
      </c>
      <c r="G492" s="255" t="s">
        <v>2035</v>
      </c>
      <c r="H492" s="332">
        <v>0.36288000000000004</v>
      </c>
      <c r="I492" s="255" t="s">
        <v>4209</v>
      </c>
      <c r="J492" s="255" t="s">
        <v>6090</v>
      </c>
      <c r="K492" s="333">
        <v>45576</v>
      </c>
      <c r="L492" s="255"/>
      <c r="M492" s="255"/>
      <c r="N492" s="255"/>
      <c r="O492" s="255"/>
      <c r="P492" s="255"/>
      <c r="Q492" s="255"/>
      <c r="R492" s="255"/>
      <c r="S492" s="255"/>
      <c r="T492" s="255"/>
      <c r="U492" s="332">
        <v>0</v>
      </c>
      <c r="V492" s="255"/>
      <c r="W492" s="255"/>
    </row>
    <row r="493" spans="1:23" ht="22.5" customHeight="1" x14ac:dyDescent="0.25">
      <c r="A493" s="255">
        <f t="shared" si="4"/>
        <v>275</v>
      </c>
      <c r="B493" s="646" t="s">
        <v>6091</v>
      </c>
      <c r="C493" s="255" t="s">
        <v>6092</v>
      </c>
      <c r="D493" s="255" t="s">
        <v>274</v>
      </c>
      <c r="E493" s="386">
        <v>1</v>
      </c>
      <c r="F493" s="255" t="s">
        <v>183</v>
      </c>
      <c r="G493" s="255" t="s">
        <v>1407</v>
      </c>
      <c r="H493" s="332">
        <v>8.6400000000000005E-2</v>
      </c>
      <c r="I493" s="255" t="s">
        <v>4209</v>
      </c>
      <c r="J493" s="255">
        <v>24800403</v>
      </c>
      <c r="K493" s="333">
        <v>45576</v>
      </c>
      <c r="L493" s="255"/>
      <c r="M493" s="255"/>
      <c r="N493" s="255"/>
      <c r="O493" s="255"/>
      <c r="P493" s="255"/>
      <c r="Q493" s="255"/>
      <c r="R493" s="255"/>
      <c r="S493" s="255"/>
      <c r="T493" s="255"/>
      <c r="U493" s="332">
        <v>0.5</v>
      </c>
      <c r="V493" s="255"/>
      <c r="W493" s="255"/>
    </row>
    <row r="494" spans="1:23" ht="22.5" customHeight="1" x14ac:dyDescent="0.25">
      <c r="A494" s="255">
        <f t="shared" si="4"/>
        <v>276</v>
      </c>
      <c r="B494" s="646" t="s">
        <v>6093</v>
      </c>
      <c r="C494" s="255" t="s">
        <v>6094</v>
      </c>
      <c r="D494" s="255" t="s">
        <v>276</v>
      </c>
      <c r="E494" s="386">
        <v>2</v>
      </c>
      <c r="F494" s="255" t="s">
        <v>177</v>
      </c>
      <c r="G494" s="255" t="s">
        <v>2035</v>
      </c>
      <c r="H494" s="332">
        <v>0.34560000000000002</v>
      </c>
      <c r="I494" s="255" t="s">
        <v>4209</v>
      </c>
      <c r="J494" s="255" t="s">
        <v>6095</v>
      </c>
      <c r="K494" s="333">
        <v>45580</v>
      </c>
      <c r="L494" s="255"/>
      <c r="M494" s="255"/>
      <c r="N494" s="255"/>
      <c r="O494" s="255"/>
      <c r="P494" s="255"/>
      <c r="Q494" s="255"/>
      <c r="R494" s="255"/>
      <c r="S494" s="255"/>
      <c r="T494" s="255"/>
      <c r="U494" s="332">
        <v>0</v>
      </c>
      <c r="V494" s="255"/>
      <c r="W494" s="255"/>
    </row>
    <row r="495" spans="1:23" ht="22.5" customHeight="1" x14ac:dyDescent="0.25">
      <c r="A495" s="255">
        <f t="shared" si="4"/>
        <v>277</v>
      </c>
      <c r="B495" s="646" t="s">
        <v>6096</v>
      </c>
      <c r="C495" s="255" t="s">
        <v>964</v>
      </c>
      <c r="D495" s="255" t="s">
        <v>276</v>
      </c>
      <c r="E495" s="386">
        <v>1.25</v>
      </c>
      <c r="F495" s="255" t="s">
        <v>177</v>
      </c>
      <c r="G495" s="255" t="s">
        <v>1579</v>
      </c>
      <c r="H495" s="332">
        <v>0.11836800000000001</v>
      </c>
      <c r="I495" s="255" t="s">
        <v>4209</v>
      </c>
      <c r="J495" s="255" t="s">
        <v>6097</v>
      </c>
      <c r="K495" s="333">
        <v>45587</v>
      </c>
      <c r="L495" s="255"/>
      <c r="M495" s="255"/>
      <c r="N495" s="255"/>
      <c r="O495" s="255"/>
      <c r="P495" s="255"/>
      <c r="Q495" s="255"/>
      <c r="R495" s="255"/>
      <c r="S495" s="255"/>
      <c r="T495" s="255"/>
      <c r="U495" s="332">
        <v>0.56499999999999995</v>
      </c>
      <c r="V495" s="255"/>
      <c r="W495" s="255"/>
    </row>
    <row r="496" spans="1:23" ht="22.5" customHeight="1" x14ac:dyDescent="0.25">
      <c r="A496" s="255">
        <f t="shared" si="4"/>
        <v>278</v>
      </c>
      <c r="B496" s="646" t="s">
        <v>6098</v>
      </c>
      <c r="C496" s="255" t="s">
        <v>6099</v>
      </c>
      <c r="D496" s="255" t="s">
        <v>274</v>
      </c>
      <c r="E496" s="386">
        <v>5.9740000000000002</v>
      </c>
      <c r="F496" s="255" t="s">
        <v>177</v>
      </c>
      <c r="G496" s="255" t="s">
        <v>1407</v>
      </c>
      <c r="H496" s="332">
        <v>0.30711139200000004</v>
      </c>
      <c r="I496" s="255" t="s">
        <v>4209</v>
      </c>
      <c r="J496" s="255" t="s">
        <v>6100</v>
      </c>
      <c r="K496" s="333">
        <v>45589</v>
      </c>
      <c r="L496" s="255"/>
      <c r="M496" s="255"/>
      <c r="N496" s="255"/>
      <c r="O496" s="255"/>
      <c r="P496" s="255"/>
      <c r="Q496" s="255"/>
      <c r="R496" s="255"/>
      <c r="S496" s="255"/>
      <c r="T496" s="255"/>
      <c r="U496" s="332">
        <v>0</v>
      </c>
      <c r="V496" s="255"/>
      <c r="W496" s="255"/>
    </row>
    <row r="497" spans="1:23" ht="22.5" customHeight="1" x14ac:dyDescent="0.25">
      <c r="A497" s="255">
        <f t="shared" si="4"/>
        <v>279</v>
      </c>
      <c r="B497" s="646" t="s">
        <v>6101</v>
      </c>
      <c r="C497" s="255" t="s">
        <v>6102</v>
      </c>
      <c r="D497" s="255" t="s">
        <v>274</v>
      </c>
      <c r="E497" s="386">
        <v>5.3179999999999996</v>
      </c>
      <c r="F497" s="255" t="s">
        <v>177</v>
      </c>
      <c r="G497" s="255" t="s">
        <v>1472</v>
      </c>
      <c r="H497" s="332">
        <v>0.27338774399999999</v>
      </c>
      <c r="I497" s="255" t="s">
        <v>4209</v>
      </c>
      <c r="J497" s="255"/>
      <c r="K497" s="255"/>
      <c r="L497" s="255">
        <v>17953894</v>
      </c>
      <c r="M497" s="333">
        <v>45566</v>
      </c>
      <c r="N497" s="255"/>
      <c r="O497" s="255"/>
      <c r="P497" s="255" t="s">
        <v>6103</v>
      </c>
      <c r="Q497" s="255"/>
      <c r="R497" s="255"/>
      <c r="S497" s="255"/>
      <c r="T497" s="255"/>
      <c r="U497" s="332">
        <v>0</v>
      </c>
      <c r="V497" s="255"/>
      <c r="W497" s="255"/>
    </row>
    <row r="498" spans="1:23" ht="22.5" customHeight="1" x14ac:dyDescent="0.25">
      <c r="A498" s="255">
        <f t="shared" si="4"/>
        <v>280</v>
      </c>
      <c r="B498" s="646" t="s">
        <v>6104</v>
      </c>
      <c r="C498" s="255" t="s">
        <v>6105</v>
      </c>
      <c r="D498" s="255" t="s">
        <v>274</v>
      </c>
      <c r="E498" s="386">
        <v>1.2238</v>
      </c>
      <c r="F498" s="255" t="s">
        <v>177</v>
      </c>
      <c r="G498" s="255" t="s">
        <v>1423</v>
      </c>
      <c r="H498" s="332">
        <v>6.29131104E-2</v>
      </c>
      <c r="I498" s="255" t="s">
        <v>4209</v>
      </c>
      <c r="J498" s="255"/>
      <c r="K498" s="255"/>
      <c r="L498" s="255" t="s">
        <v>6106</v>
      </c>
      <c r="M498" s="333">
        <v>45587</v>
      </c>
      <c r="N498" s="255"/>
      <c r="O498" s="255"/>
      <c r="P498" s="255"/>
      <c r="Q498" s="255"/>
      <c r="R498" s="255"/>
      <c r="S498" s="255"/>
      <c r="T498" s="255"/>
      <c r="U498" s="332">
        <v>0</v>
      </c>
      <c r="V498" s="255"/>
      <c r="W498" s="255"/>
    </row>
    <row r="499" spans="1:23" ht="22.5" customHeight="1" x14ac:dyDescent="0.25">
      <c r="A499" s="255">
        <f t="shared" si="4"/>
        <v>281</v>
      </c>
      <c r="B499" s="646" t="s">
        <v>1684</v>
      </c>
      <c r="C499" s="255" t="s">
        <v>1558</v>
      </c>
      <c r="D499" s="255" t="s">
        <v>276</v>
      </c>
      <c r="E499" s="386">
        <v>1.3912</v>
      </c>
      <c r="F499" s="255" t="s">
        <v>177</v>
      </c>
      <c r="G499" s="255" t="s">
        <v>1574</v>
      </c>
      <c r="H499" s="332">
        <v>7.1518809599999997E-2</v>
      </c>
      <c r="I499" s="255" t="s">
        <v>4209</v>
      </c>
      <c r="J499" s="255"/>
      <c r="K499" s="255"/>
      <c r="L499" s="255" t="s">
        <v>6107</v>
      </c>
      <c r="M499" s="333">
        <v>45573</v>
      </c>
      <c r="N499" s="255"/>
      <c r="O499" s="255"/>
      <c r="P499" s="255"/>
      <c r="Q499" s="255"/>
      <c r="R499" s="255"/>
      <c r="S499" s="255"/>
      <c r="T499" s="255"/>
      <c r="U499" s="332">
        <v>0</v>
      </c>
      <c r="V499" s="255"/>
      <c r="W499" s="255"/>
    </row>
    <row r="500" spans="1:23" ht="22.5" customHeight="1" x14ac:dyDescent="0.25">
      <c r="A500" s="255">
        <f t="shared" si="4"/>
        <v>282</v>
      </c>
      <c r="B500" s="646" t="s">
        <v>6108</v>
      </c>
      <c r="C500" s="255" t="s">
        <v>3075</v>
      </c>
      <c r="D500" s="255" t="s">
        <v>276</v>
      </c>
      <c r="E500" s="649">
        <v>1.25</v>
      </c>
      <c r="F500" s="255" t="s">
        <v>177</v>
      </c>
      <c r="G500" s="255" t="s">
        <v>1614</v>
      </c>
      <c r="H500" s="332">
        <v>6.4259999999999998E-2</v>
      </c>
      <c r="I500" s="255" t="s">
        <v>4209</v>
      </c>
      <c r="J500" s="255" t="s">
        <v>6109</v>
      </c>
      <c r="K500" s="333">
        <v>45597</v>
      </c>
      <c r="L500" s="255"/>
      <c r="M500" s="333"/>
      <c r="N500" s="255"/>
      <c r="O500" s="255"/>
      <c r="P500" s="255"/>
      <c r="Q500" s="255"/>
      <c r="R500" s="255"/>
      <c r="S500" s="255"/>
      <c r="T500" s="255"/>
      <c r="U500" s="332">
        <v>0</v>
      </c>
      <c r="V500" s="255"/>
      <c r="W500" s="255"/>
    </row>
    <row r="501" spans="1:23" ht="22.5" customHeight="1" x14ac:dyDescent="0.25">
      <c r="A501" s="255">
        <f t="shared" si="4"/>
        <v>283</v>
      </c>
      <c r="B501" s="646" t="s">
        <v>6110</v>
      </c>
      <c r="C501" s="255" t="s">
        <v>6111</v>
      </c>
      <c r="D501" s="255" t="s">
        <v>276</v>
      </c>
      <c r="E501" s="649">
        <v>1.92</v>
      </c>
      <c r="F501" s="255" t="s">
        <v>177</v>
      </c>
      <c r="G501" s="255" t="s">
        <v>1772</v>
      </c>
      <c r="H501" s="332">
        <v>9.8703360000000004E-2</v>
      </c>
      <c r="I501" s="255" t="s">
        <v>4209</v>
      </c>
      <c r="J501" s="255" t="s">
        <v>6112</v>
      </c>
      <c r="K501" s="333">
        <v>45600</v>
      </c>
      <c r="L501" s="255"/>
      <c r="M501" s="333"/>
      <c r="N501" s="255"/>
      <c r="O501" s="255"/>
      <c r="P501" s="255"/>
      <c r="Q501" s="255"/>
      <c r="R501" s="255"/>
      <c r="S501" s="255"/>
      <c r="T501" s="255"/>
      <c r="U501" s="332">
        <v>0</v>
      </c>
      <c r="V501" s="255"/>
      <c r="W501" s="255"/>
    </row>
    <row r="502" spans="1:23" ht="22.5" customHeight="1" x14ac:dyDescent="0.25">
      <c r="A502" s="255">
        <f t="shared" si="4"/>
        <v>284</v>
      </c>
      <c r="B502" s="646" t="s">
        <v>6113</v>
      </c>
      <c r="C502" s="255" t="s">
        <v>6114</v>
      </c>
      <c r="D502" s="255" t="s">
        <v>276</v>
      </c>
      <c r="E502" s="649">
        <v>2.8</v>
      </c>
      <c r="F502" s="255" t="s">
        <v>177</v>
      </c>
      <c r="G502" s="255" t="s">
        <v>2035</v>
      </c>
      <c r="H502" s="332">
        <v>0.1439424</v>
      </c>
      <c r="I502" s="255" t="s">
        <v>4209</v>
      </c>
      <c r="J502" s="255" t="s">
        <v>6115</v>
      </c>
      <c r="K502" s="333">
        <v>45601</v>
      </c>
      <c r="L502" s="255"/>
      <c r="M502" s="333"/>
      <c r="N502" s="255"/>
      <c r="O502" s="255"/>
      <c r="P502" s="255"/>
      <c r="Q502" s="255"/>
      <c r="R502" s="255"/>
      <c r="S502" s="255"/>
      <c r="T502" s="255"/>
      <c r="U502" s="332">
        <v>0</v>
      </c>
      <c r="V502" s="255"/>
      <c r="W502" s="255"/>
    </row>
    <row r="503" spans="1:23" ht="22.5" customHeight="1" x14ac:dyDescent="0.25">
      <c r="A503" s="255">
        <f t="shared" ref="A503:A517" si="5">A502+1</f>
        <v>285</v>
      </c>
      <c r="B503" s="646" t="s">
        <v>6116</v>
      </c>
      <c r="C503" s="255" t="s">
        <v>6117</v>
      </c>
      <c r="D503" s="255" t="s">
        <v>270</v>
      </c>
      <c r="E503" s="649">
        <v>6.1</v>
      </c>
      <c r="F503" s="255" t="s">
        <v>177</v>
      </c>
      <c r="G503" s="255" t="s">
        <v>1497</v>
      </c>
      <c r="H503" s="332">
        <v>0.3135888</v>
      </c>
      <c r="I503" s="255" t="s">
        <v>4209</v>
      </c>
      <c r="J503" s="255" t="s">
        <v>6118</v>
      </c>
      <c r="K503" s="333">
        <v>45603</v>
      </c>
      <c r="L503" s="255"/>
      <c r="M503" s="333"/>
      <c r="N503" s="255"/>
      <c r="O503" s="255"/>
      <c r="P503" s="255"/>
      <c r="Q503" s="255"/>
      <c r="R503" s="255"/>
      <c r="S503" s="255"/>
      <c r="T503" s="255"/>
      <c r="U503" s="332">
        <v>0</v>
      </c>
      <c r="V503" s="255"/>
      <c r="W503" s="255"/>
    </row>
    <row r="504" spans="1:23" ht="22.5" customHeight="1" x14ac:dyDescent="0.25">
      <c r="A504" s="255">
        <f t="shared" si="5"/>
        <v>286</v>
      </c>
      <c r="B504" s="646" t="s">
        <v>6119</v>
      </c>
      <c r="C504" s="255" t="s">
        <v>6120</v>
      </c>
      <c r="D504" s="255" t="s">
        <v>276</v>
      </c>
      <c r="E504" s="649">
        <v>1.248</v>
      </c>
      <c r="F504" s="255" t="s">
        <v>177</v>
      </c>
      <c r="G504" s="255" t="s">
        <v>1772</v>
      </c>
      <c r="H504" s="332">
        <v>6.4157184000000006E-2</v>
      </c>
      <c r="I504" s="255" t="s">
        <v>4209</v>
      </c>
      <c r="J504" s="255" t="s">
        <v>6121</v>
      </c>
      <c r="K504" s="333">
        <v>45608</v>
      </c>
      <c r="L504" s="255"/>
      <c r="M504" s="333"/>
      <c r="N504" s="255"/>
      <c r="O504" s="255"/>
      <c r="P504" s="255"/>
      <c r="Q504" s="255"/>
      <c r="R504" s="255"/>
      <c r="S504" s="255"/>
      <c r="T504" s="255"/>
      <c r="U504" s="332">
        <v>0</v>
      </c>
      <c r="V504" s="255"/>
      <c r="W504" s="255"/>
    </row>
    <row r="505" spans="1:23" ht="22.5" customHeight="1" x14ac:dyDescent="0.25">
      <c r="A505" s="255">
        <f t="shared" si="5"/>
        <v>287</v>
      </c>
      <c r="B505" s="646" t="s">
        <v>6122</v>
      </c>
      <c r="C505" s="255" t="s">
        <v>6123</v>
      </c>
      <c r="D505" s="255" t="s">
        <v>276</v>
      </c>
      <c r="E505" s="649">
        <v>1.35</v>
      </c>
      <c r="F505" s="255" t="s">
        <v>183</v>
      </c>
      <c r="G505" s="255" t="s">
        <v>1661</v>
      </c>
      <c r="H505" s="332">
        <v>6.9400800000000012E-2</v>
      </c>
      <c r="I505" s="255" t="s">
        <v>4209</v>
      </c>
      <c r="J505" s="255" t="s">
        <v>6124</v>
      </c>
      <c r="K505" s="333">
        <v>45609</v>
      </c>
      <c r="L505" s="255"/>
      <c r="M505" s="333"/>
      <c r="N505" s="255"/>
      <c r="O505" s="255"/>
      <c r="P505" s="255"/>
      <c r="Q505" s="255"/>
      <c r="R505" s="255"/>
      <c r="S505" s="255"/>
      <c r="T505" s="255"/>
      <c r="U505" s="332">
        <v>0</v>
      </c>
      <c r="V505" s="255"/>
      <c r="W505" s="255"/>
    </row>
    <row r="506" spans="1:23" ht="22.5" customHeight="1" x14ac:dyDescent="0.25">
      <c r="A506" s="255">
        <f t="shared" si="5"/>
        <v>288</v>
      </c>
      <c r="B506" s="646" t="s">
        <v>6125</v>
      </c>
      <c r="C506" s="255" t="s">
        <v>6126</v>
      </c>
      <c r="D506" s="255" t="s">
        <v>274</v>
      </c>
      <c r="E506" s="649">
        <v>1.6</v>
      </c>
      <c r="F506" s="255" t="s">
        <v>183</v>
      </c>
      <c r="G506" s="255" t="s">
        <v>1427</v>
      </c>
      <c r="H506" s="332">
        <v>1.5473808000000009E-2</v>
      </c>
      <c r="I506" s="255" t="s">
        <v>4209</v>
      </c>
      <c r="J506" s="255" t="s">
        <v>6127</v>
      </c>
      <c r="K506" s="333">
        <v>45616</v>
      </c>
      <c r="L506" s="255"/>
      <c r="M506" s="333"/>
      <c r="N506" s="255"/>
      <c r="O506" s="255"/>
      <c r="P506" s="255"/>
      <c r="Q506" s="255"/>
      <c r="R506" s="255"/>
      <c r="S506" s="255"/>
      <c r="T506" s="255"/>
      <c r="U506" s="332">
        <v>1.2989999999999999</v>
      </c>
      <c r="V506" s="255"/>
      <c r="W506" s="255"/>
    </row>
    <row r="507" spans="1:23" ht="22.5" customHeight="1" x14ac:dyDescent="0.25">
      <c r="A507" s="255">
        <f t="shared" si="5"/>
        <v>289</v>
      </c>
      <c r="B507" s="646" t="s">
        <v>6128</v>
      </c>
      <c r="C507" s="255" t="s">
        <v>6129</v>
      </c>
      <c r="D507" s="255" t="s">
        <v>274</v>
      </c>
      <c r="E507" s="649">
        <v>5.99</v>
      </c>
      <c r="F507" s="255" t="s">
        <v>177</v>
      </c>
      <c r="G507" s="255" t="s">
        <v>1472</v>
      </c>
      <c r="H507" s="332">
        <v>0.10230192000000002</v>
      </c>
      <c r="I507" s="255" t="s">
        <v>4209</v>
      </c>
      <c r="J507" s="255" t="s">
        <v>6130</v>
      </c>
      <c r="K507" s="333">
        <v>45618</v>
      </c>
      <c r="L507" s="255"/>
      <c r="M507" s="333"/>
      <c r="N507" s="255"/>
      <c r="O507" s="255"/>
      <c r="P507" s="255" t="s">
        <v>6131</v>
      </c>
      <c r="Q507" s="255"/>
      <c r="R507" s="255"/>
      <c r="S507" s="255"/>
      <c r="T507" s="255"/>
      <c r="U507" s="332">
        <v>4</v>
      </c>
      <c r="V507" s="255"/>
      <c r="W507" s="255"/>
    </row>
    <row r="508" spans="1:23" ht="22.5" customHeight="1" x14ac:dyDescent="0.25">
      <c r="A508" s="255">
        <f t="shared" si="5"/>
        <v>290</v>
      </c>
      <c r="B508" s="646" t="s">
        <v>6132</v>
      </c>
      <c r="C508" s="255" t="s">
        <v>1558</v>
      </c>
      <c r="D508" s="255" t="s">
        <v>274</v>
      </c>
      <c r="E508" s="331">
        <v>1.1160000000000001</v>
      </c>
      <c r="F508" s="255" t="s">
        <v>177</v>
      </c>
      <c r="G508" s="255" t="s">
        <v>1530</v>
      </c>
      <c r="H508" s="332">
        <v>5.7371328000000006E-2</v>
      </c>
      <c r="I508" s="255" t="s">
        <v>4209</v>
      </c>
      <c r="J508" s="255"/>
      <c r="K508" s="255"/>
      <c r="L508" s="255" t="s">
        <v>6133</v>
      </c>
      <c r="M508" s="333">
        <v>45617</v>
      </c>
      <c r="N508" s="255"/>
      <c r="O508" s="255"/>
      <c r="P508" s="255"/>
      <c r="Q508" s="255"/>
      <c r="R508" s="255"/>
      <c r="S508" s="255"/>
      <c r="T508" s="255"/>
      <c r="U508" s="332">
        <v>0</v>
      </c>
      <c r="V508" s="255"/>
      <c r="W508" s="255"/>
    </row>
    <row r="509" spans="1:23" ht="22.5" customHeight="1" x14ac:dyDescent="0.25">
      <c r="A509" s="255">
        <f t="shared" si="5"/>
        <v>291</v>
      </c>
      <c r="B509" s="646" t="s">
        <v>6134</v>
      </c>
      <c r="C509" s="255" t="s">
        <v>6135</v>
      </c>
      <c r="D509" s="255" t="s">
        <v>276</v>
      </c>
      <c r="E509" s="331">
        <v>1.248</v>
      </c>
      <c r="F509" s="255" t="s">
        <v>177</v>
      </c>
      <c r="G509" s="255" t="s">
        <v>1574</v>
      </c>
      <c r="H509" s="332">
        <v>6.4157184000000006E-2</v>
      </c>
      <c r="I509" s="255" t="s">
        <v>4209</v>
      </c>
      <c r="J509" s="255"/>
      <c r="K509" s="255"/>
      <c r="L509" s="255" t="s">
        <v>6136</v>
      </c>
      <c r="M509" s="333">
        <v>45590</v>
      </c>
      <c r="N509" s="255"/>
      <c r="O509" s="255"/>
      <c r="P509" s="255"/>
      <c r="Q509" s="255"/>
      <c r="R509" s="255"/>
      <c r="S509" s="255"/>
      <c r="T509" s="255"/>
      <c r="U509" s="332">
        <v>0</v>
      </c>
      <c r="V509" s="255"/>
      <c r="W509" s="255"/>
    </row>
    <row r="510" spans="1:23" ht="22.5" customHeight="1" x14ac:dyDescent="0.25">
      <c r="A510" s="255">
        <f t="shared" si="5"/>
        <v>292</v>
      </c>
      <c r="B510" s="646" t="s">
        <v>6137</v>
      </c>
      <c r="C510" s="255" t="s">
        <v>6138</v>
      </c>
      <c r="D510" s="255" t="s">
        <v>276</v>
      </c>
      <c r="E510" s="331">
        <v>1.206</v>
      </c>
      <c r="F510" s="255" t="s">
        <v>177</v>
      </c>
      <c r="G510" s="255" t="s">
        <v>280</v>
      </c>
      <c r="H510" s="332">
        <v>6.1998048E-2</v>
      </c>
      <c r="I510" s="255" t="s">
        <v>4209</v>
      </c>
      <c r="J510" s="255"/>
      <c r="K510" s="255"/>
      <c r="L510" s="255" t="s">
        <v>6139</v>
      </c>
      <c r="M510" s="333">
        <v>45594</v>
      </c>
      <c r="N510" s="255"/>
      <c r="O510" s="255"/>
      <c r="P510" s="255"/>
      <c r="Q510" s="255"/>
      <c r="R510" s="255"/>
      <c r="S510" s="255"/>
      <c r="T510" s="255"/>
      <c r="U510" s="332">
        <v>0</v>
      </c>
      <c r="V510" s="255"/>
      <c r="W510" s="255"/>
    </row>
    <row r="511" spans="1:23" ht="22.5" customHeight="1" x14ac:dyDescent="0.25">
      <c r="A511" s="255">
        <f t="shared" si="5"/>
        <v>293</v>
      </c>
      <c r="B511" s="646" t="s">
        <v>6140</v>
      </c>
      <c r="C511" s="255" t="s">
        <v>6141</v>
      </c>
      <c r="D511" s="255" t="s">
        <v>274</v>
      </c>
      <c r="E511" s="331">
        <v>3.86</v>
      </c>
      <c r="F511" s="255" t="s">
        <v>177</v>
      </c>
      <c r="G511" s="255" t="s">
        <v>1490</v>
      </c>
      <c r="H511" s="332">
        <v>0.19843488000000001</v>
      </c>
      <c r="I511" s="255" t="s">
        <v>4209</v>
      </c>
      <c r="J511" s="255"/>
      <c r="K511" s="255"/>
      <c r="L511" s="255" t="s">
        <v>6142</v>
      </c>
      <c r="M511" s="333">
        <v>45608</v>
      </c>
      <c r="N511" s="255"/>
      <c r="O511" s="255"/>
      <c r="P511" s="255"/>
      <c r="Q511" s="255"/>
      <c r="R511" s="255"/>
      <c r="S511" s="255"/>
      <c r="T511" s="255"/>
      <c r="U511" s="332">
        <v>0</v>
      </c>
      <c r="V511" s="255"/>
      <c r="W511" s="255"/>
    </row>
    <row r="512" spans="1:23" ht="22.5" customHeight="1" x14ac:dyDescent="0.25">
      <c r="A512" s="255">
        <f t="shared" si="5"/>
        <v>294</v>
      </c>
      <c r="B512" s="646" t="s">
        <v>6143</v>
      </c>
      <c r="C512" s="255" t="s">
        <v>6144</v>
      </c>
      <c r="D512" s="255" t="s">
        <v>276</v>
      </c>
      <c r="E512" s="331">
        <v>1.095</v>
      </c>
      <c r="F512" s="255" t="s">
        <v>177</v>
      </c>
      <c r="G512" s="255" t="s">
        <v>280</v>
      </c>
      <c r="H512" s="332">
        <v>5.6291760000000003E-2</v>
      </c>
      <c r="I512" s="255" t="s">
        <v>4209</v>
      </c>
      <c r="J512" s="255"/>
      <c r="K512" s="255"/>
      <c r="L512" s="255" t="s">
        <v>6145</v>
      </c>
      <c r="M512" s="333">
        <v>45616</v>
      </c>
      <c r="N512" s="255"/>
      <c r="O512" s="255"/>
      <c r="P512" s="255"/>
      <c r="Q512" s="255"/>
      <c r="R512" s="255"/>
      <c r="S512" s="255"/>
      <c r="T512" s="255"/>
      <c r="U512" s="332">
        <v>0</v>
      </c>
      <c r="V512" s="255"/>
      <c r="W512" s="255"/>
    </row>
    <row r="513" spans="1:23" ht="22.5" customHeight="1" x14ac:dyDescent="0.25">
      <c r="A513" s="255">
        <f t="shared" si="5"/>
        <v>295</v>
      </c>
      <c r="B513" s="646" t="s">
        <v>6146</v>
      </c>
      <c r="C513" s="255" t="s">
        <v>6147</v>
      </c>
      <c r="D513" s="255" t="s">
        <v>276</v>
      </c>
      <c r="E513" s="331">
        <v>1.7370000000000001</v>
      </c>
      <c r="F513" s="255" t="s">
        <v>177</v>
      </c>
      <c r="G513" s="255" t="s">
        <v>280</v>
      </c>
      <c r="H513" s="332">
        <v>8.9295696000000008E-2</v>
      </c>
      <c r="I513" s="255" t="s">
        <v>4209</v>
      </c>
      <c r="J513" s="255"/>
      <c r="K513" s="255"/>
      <c r="L513" s="255" t="s">
        <v>6148</v>
      </c>
      <c r="M513" s="333">
        <v>45601</v>
      </c>
      <c r="N513" s="255"/>
      <c r="O513" s="255"/>
      <c r="P513" s="255"/>
      <c r="Q513" s="255"/>
      <c r="R513" s="255"/>
      <c r="S513" s="255"/>
      <c r="T513" s="255"/>
      <c r="U513" s="332">
        <v>0</v>
      </c>
      <c r="V513" s="255"/>
      <c r="W513" s="255"/>
    </row>
    <row r="514" spans="1:23" ht="22.5" customHeight="1" x14ac:dyDescent="0.25">
      <c r="A514" s="255">
        <f t="shared" si="5"/>
        <v>296</v>
      </c>
      <c r="B514" s="646" t="s">
        <v>6149</v>
      </c>
      <c r="C514" s="255" t="s">
        <v>6150</v>
      </c>
      <c r="D514" s="255" t="s">
        <v>276</v>
      </c>
      <c r="E514" s="331">
        <v>1.095</v>
      </c>
      <c r="F514" s="255" t="s">
        <v>1369</v>
      </c>
      <c r="G514" s="255" t="s">
        <v>1772</v>
      </c>
      <c r="H514" s="332">
        <v>5.6291760000000003E-2</v>
      </c>
      <c r="I514" s="255" t="s">
        <v>4209</v>
      </c>
      <c r="J514" s="255"/>
      <c r="K514" s="255"/>
      <c r="L514" s="255" t="s">
        <v>6151</v>
      </c>
      <c r="M514" s="333">
        <v>45616</v>
      </c>
      <c r="N514" s="255"/>
      <c r="O514" s="255"/>
      <c r="P514" s="255"/>
      <c r="Q514" s="255"/>
      <c r="R514" s="255"/>
      <c r="S514" s="255"/>
      <c r="T514" s="255"/>
      <c r="U514" s="332">
        <v>0</v>
      </c>
      <c r="V514" s="255"/>
      <c r="W514" s="255"/>
    </row>
    <row r="515" spans="1:23" ht="22.5" customHeight="1" x14ac:dyDescent="0.25">
      <c r="A515" s="255">
        <f t="shared" si="5"/>
        <v>297</v>
      </c>
      <c r="B515" s="646" t="s">
        <v>6152</v>
      </c>
      <c r="C515" s="255" t="s">
        <v>6147</v>
      </c>
      <c r="D515" s="255" t="s">
        <v>276</v>
      </c>
      <c r="E515" s="331">
        <v>2.4020000000000001</v>
      </c>
      <c r="F515" s="255" t="s">
        <v>1369</v>
      </c>
      <c r="G515" s="255" t="s">
        <v>1772</v>
      </c>
      <c r="H515" s="332">
        <v>0.12348201600000001</v>
      </c>
      <c r="I515" s="255" t="s">
        <v>4209</v>
      </c>
      <c r="J515" s="255"/>
      <c r="K515" s="255"/>
      <c r="L515" s="255" t="s">
        <v>6153</v>
      </c>
      <c r="M515" s="333">
        <v>45616</v>
      </c>
      <c r="N515" s="255"/>
      <c r="O515" s="255"/>
      <c r="P515" s="255"/>
      <c r="Q515" s="255"/>
      <c r="R515" s="255"/>
      <c r="S515" s="255"/>
      <c r="T515" s="255"/>
      <c r="U515" s="332">
        <v>0</v>
      </c>
      <c r="V515" s="255"/>
      <c r="W515" s="255"/>
    </row>
    <row r="516" spans="1:23" ht="22.5" customHeight="1" x14ac:dyDescent="0.25">
      <c r="A516" s="255">
        <f t="shared" si="5"/>
        <v>298</v>
      </c>
      <c r="B516" s="646" t="s">
        <v>6154</v>
      </c>
      <c r="C516" s="255" t="s">
        <v>1558</v>
      </c>
      <c r="D516" s="255" t="s">
        <v>274</v>
      </c>
      <c r="E516" s="331">
        <v>1.1890000000000001</v>
      </c>
      <c r="F516" s="255" t="s">
        <v>177</v>
      </c>
      <c r="G516" s="255" t="s">
        <v>280</v>
      </c>
      <c r="H516" s="332">
        <v>6.1124112000000008E-2</v>
      </c>
      <c r="I516" s="255" t="s">
        <v>4209</v>
      </c>
      <c r="J516" s="255"/>
      <c r="K516" s="255"/>
      <c r="L516" s="255" t="s">
        <v>6155</v>
      </c>
      <c r="M516" s="333">
        <v>45597</v>
      </c>
      <c r="N516" s="255"/>
      <c r="O516" s="255"/>
      <c r="P516" s="255"/>
      <c r="Q516" s="255"/>
      <c r="R516" s="255"/>
      <c r="S516" s="255"/>
      <c r="T516" s="255"/>
      <c r="U516" s="332">
        <v>0</v>
      </c>
      <c r="V516" s="255"/>
      <c r="W516" s="255"/>
    </row>
    <row r="517" spans="1:23" ht="22.5" customHeight="1" x14ac:dyDescent="0.25">
      <c r="A517" s="255">
        <f t="shared" si="5"/>
        <v>299</v>
      </c>
      <c r="B517" s="646" t="s">
        <v>6156</v>
      </c>
      <c r="C517" s="255" t="s">
        <v>6157</v>
      </c>
      <c r="D517" s="255" t="s">
        <v>276</v>
      </c>
      <c r="E517" s="331">
        <v>2.02007</v>
      </c>
      <c r="F517" s="255" t="s">
        <v>177</v>
      </c>
      <c r="G517" s="255" t="s">
        <v>1430</v>
      </c>
      <c r="H517" s="332">
        <v>0.10384775856</v>
      </c>
      <c r="I517" s="255" t="s">
        <v>4209</v>
      </c>
      <c r="J517" s="255"/>
      <c r="K517" s="255"/>
      <c r="L517" s="255" t="s">
        <v>6158</v>
      </c>
      <c r="M517" s="333">
        <v>45602</v>
      </c>
      <c r="N517" s="255"/>
      <c r="O517" s="255"/>
      <c r="P517" s="255"/>
      <c r="Q517" s="255"/>
      <c r="R517" s="255"/>
      <c r="S517" s="255"/>
      <c r="T517" s="255"/>
      <c r="U517" s="332">
        <v>0</v>
      </c>
      <c r="V517" s="255"/>
      <c r="W517" s="255"/>
    </row>
    <row r="518" spans="1:23" x14ac:dyDescent="0.25">
      <c r="A518" s="100"/>
      <c r="B518" s="400"/>
      <c r="C518" s="400"/>
      <c r="D518" s="100"/>
      <c r="E518" s="100"/>
      <c r="F518" s="100"/>
      <c r="G518" s="100"/>
      <c r="H518" s="100"/>
      <c r="I518" s="100"/>
      <c r="J518" s="214"/>
      <c r="K518" s="184"/>
      <c r="L518" s="214"/>
      <c r="M518" s="184"/>
      <c r="N518" s="100"/>
      <c r="O518" s="100"/>
      <c r="P518" s="100"/>
      <c r="Q518" s="100"/>
      <c r="R518" s="793"/>
      <c r="S518" s="184"/>
      <c r="T518" s="100"/>
      <c r="U518" s="100"/>
      <c r="V518" s="100"/>
      <c r="W518" s="100"/>
    </row>
    <row r="519" spans="1:23" ht="58.5" customHeight="1" x14ac:dyDescent="0.25">
      <c r="A519" s="44">
        <v>1</v>
      </c>
      <c r="B519" s="44" t="s">
        <v>355</v>
      </c>
      <c r="C519" s="44" t="s">
        <v>355</v>
      </c>
      <c r="D519" s="44" t="s">
        <v>301</v>
      </c>
      <c r="E519" s="44" t="s">
        <v>356</v>
      </c>
      <c r="F519" s="44">
        <v>20</v>
      </c>
      <c r="G519" s="44" t="s">
        <v>357</v>
      </c>
      <c r="H519" s="44" t="s">
        <v>357</v>
      </c>
      <c r="I519" s="44" t="s">
        <v>287</v>
      </c>
      <c r="J519" s="72">
        <v>1001113487</v>
      </c>
      <c r="K519" s="62">
        <v>42454</v>
      </c>
      <c r="L519" s="79">
        <v>1001123683</v>
      </c>
      <c r="M519" s="62">
        <v>42467</v>
      </c>
      <c r="N519" s="44"/>
      <c r="O519" s="44" t="s">
        <v>25</v>
      </c>
      <c r="P519" s="44" t="s">
        <v>25</v>
      </c>
      <c r="Q519" s="44" t="s">
        <v>25</v>
      </c>
      <c r="R519" s="79"/>
      <c r="S519" s="62"/>
      <c r="T519" s="44"/>
      <c r="U519" s="44" t="s">
        <v>358</v>
      </c>
      <c r="V519" s="44"/>
      <c r="W519" s="44"/>
    </row>
    <row r="520" spans="1:23" ht="25.5" x14ac:dyDescent="0.25">
      <c r="A520" s="44">
        <v>2</v>
      </c>
      <c r="B520" s="44" t="s">
        <v>359</v>
      </c>
      <c r="C520" s="44" t="s">
        <v>359</v>
      </c>
      <c r="D520" s="44" t="s">
        <v>296</v>
      </c>
      <c r="E520" s="44">
        <v>1.639</v>
      </c>
      <c r="F520" s="44">
        <v>20</v>
      </c>
      <c r="G520" s="44" t="s">
        <v>360</v>
      </c>
      <c r="H520" s="44" t="s">
        <v>361</v>
      </c>
      <c r="I520" s="44" t="s">
        <v>287</v>
      </c>
      <c r="J520" s="72">
        <v>1001586862</v>
      </c>
      <c r="K520" s="62">
        <v>42971</v>
      </c>
      <c r="L520" s="79">
        <v>1001721213</v>
      </c>
      <c r="M520" s="62">
        <v>43131</v>
      </c>
      <c r="N520" s="44"/>
      <c r="O520" s="44" t="s">
        <v>25</v>
      </c>
      <c r="P520" s="44" t="s">
        <v>25</v>
      </c>
      <c r="Q520" s="44" t="s">
        <v>25</v>
      </c>
      <c r="R520" s="79"/>
      <c r="S520" s="62"/>
      <c r="T520" s="44"/>
      <c r="U520" s="44" t="s">
        <v>362</v>
      </c>
      <c r="V520" s="44"/>
      <c r="W520" s="44"/>
    </row>
    <row r="521" spans="1:23" ht="25.5" x14ac:dyDescent="0.25">
      <c r="A521" s="44">
        <v>3</v>
      </c>
      <c r="B521" s="44" t="s">
        <v>363</v>
      </c>
      <c r="C521" s="44" t="s">
        <v>363</v>
      </c>
      <c r="D521" s="44" t="s">
        <v>301</v>
      </c>
      <c r="E521" s="44">
        <v>1.573</v>
      </c>
      <c r="F521" s="44">
        <v>20</v>
      </c>
      <c r="G521" s="44" t="s">
        <v>360</v>
      </c>
      <c r="H521" s="44" t="s">
        <v>364</v>
      </c>
      <c r="I521" s="44" t="s">
        <v>287</v>
      </c>
      <c r="J521" s="72">
        <v>1001607930</v>
      </c>
      <c r="K521" s="62">
        <v>42993</v>
      </c>
      <c r="L521" s="79">
        <v>1001699027</v>
      </c>
      <c r="M521" s="62">
        <v>43098</v>
      </c>
      <c r="N521" s="44"/>
      <c r="O521" s="44" t="s">
        <v>25</v>
      </c>
      <c r="P521" s="44" t="s">
        <v>25</v>
      </c>
      <c r="Q521" s="44" t="s">
        <v>25</v>
      </c>
      <c r="R521" s="79"/>
      <c r="S521" s="62"/>
      <c r="T521" s="44"/>
      <c r="U521" s="44" t="s">
        <v>365</v>
      </c>
      <c r="V521" s="44"/>
      <c r="W521" s="44"/>
    </row>
    <row r="522" spans="1:23" ht="25.5" x14ac:dyDescent="0.25">
      <c r="A522" s="44">
        <v>4</v>
      </c>
      <c r="B522" s="44" t="s">
        <v>366</v>
      </c>
      <c r="C522" s="44" t="s">
        <v>366</v>
      </c>
      <c r="D522" s="44" t="s">
        <v>301</v>
      </c>
      <c r="E522" s="44">
        <v>1.2</v>
      </c>
      <c r="F522" s="44">
        <v>20</v>
      </c>
      <c r="G522" s="44" t="s">
        <v>360</v>
      </c>
      <c r="H522" s="44" t="s">
        <v>357</v>
      </c>
      <c r="I522" s="44" t="s">
        <v>287</v>
      </c>
      <c r="J522" s="72">
        <v>1001767038</v>
      </c>
      <c r="K522" s="62">
        <v>43180</v>
      </c>
      <c r="L522" s="79">
        <v>1001906960</v>
      </c>
      <c r="M522" s="62">
        <v>43311</v>
      </c>
      <c r="N522" s="44"/>
      <c r="O522" s="44" t="s">
        <v>25</v>
      </c>
      <c r="P522" s="44" t="s">
        <v>25</v>
      </c>
      <c r="Q522" s="44" t="s">
        <v>25</v>
      </c>
      <c r="R522" s="79"/>
      <c r="S522" s="62"/>
      <c r="T522" s="44"/>
      <c r="U522" s="44" t="s">
        <v>367</v>
      </c>
      <c r="V522" s="44"/>
      <c r="W522" s="44"/>
    </row>
    <row r="523" spans="1:23" ht="38.25" x14ac:dyDescent="0.25">
      <c r="A523" s="44">
        <v>5</v>
      </c>
      <c r="B523" s="44" t="s">
        <v>368</v>
      </c>
      <c r="C523" s="44" t="s">
        <v>368</v>
      </c>
      <c r="D523" s="44" t="s">
        <v>301</v>
      </c>
      <c r="E523" s="44">
        <v>9.2279999999999998</v>
      </c>
      <c r="F523" s="44">
        <v>20</v>
      </c>
      <c r="G523" s="44" t="s">
        <v>360</v>
      </c>
      <c r="H523" s="44" t="s">
        <v>369</v>
      </c>
      <c r="I523" s="44" t="s">
        <v>287</v>
      </c>
      <c r="J523" s="72">
        <v>1002088075</v>
      </c>
      <c r="K523" s="62">
        <v>43488</v>
      </c>
      <c r="L523" s="79">
        <v>1003091702</v>
      </c>
      <c r="M523" s="62">
        <v>43847</v>
      </c>
      <c r="N523" s="44"/>
      <c r="O523" s="44" t="s">
        <v>25</v>
      </c>
      <c r="P523" s="44" t="s">
        <v>25</v>
      </c>
      <c r="Q523" s="44" t="s">
        <v>25</v>
      </c>
      <c r="R523" s="79"/>
      <c r="S523" s="62"/>
      <c r="T523" s="44"/>
      <c r="U523" s="44" t="s">
        <v>370</v>
      </c>
      <c r="V523" s="44"/>
      <c r="W523" s="44"/>
    </row>
    <row r="524" spans="1:23" ht="57" customHeight="1" x14ac:dyDescent="0.25">
      <c r="A524" s="44">
        <v>6</v>
      </c>
      <c r="B524" s="44" t="s">
        <v>371</v>
      </c>
      <c r="C524" s="44" t="s">
        <v>371</v>
      </c>
      <c r="D524" s="44" t="s">
        <v>372</v>
      </c>
      <c r="E524" s="44">
        <v>4.5999999999999996</v>
      </c>
      <c r="F524" s="44">
        <v>20</v>
      </c>
      <c r="G524" s="44" t="s">
        <v>373</v>
      </c>
      <c r="H524" s="44" t="s">
        <v>373</v>
      </c>
      <c r="I524" s="44" t="s">
        <v>287</v>
      </c>
      <c r="J524" s="72">
        <v>1002959461</v>
      </c>
      <c r="K524" s="62">
        <v>43802</v>
      </c>
      <c r="L524" s="79">
        <v>1003244466</v>
      </c>
      <c r="M524" s="62">
        <v>43994</v>
      </c>
      <c r="N524" s="44"/>
      <c r="O524" s="44" t="s">
        <v>25</v>
      </c>
      <c r="P524" s="44" t="s">
        <v>25</v>
      </c>
      <c r="Q524" s="44" t="s">
        <v>25</v>
      </c>
      <c r="R524" s="79"/>
      <c r="S524" s="62"/>
      <c r="T524" s="44"/>
      <c r="U524" s="44" t="s">
        <v>374</v>
      </c>
      <c r="V524" s="44"/>
      <c r="W524" s="44"/>
    </row>
    <row r="525" spans="1:23" ht="38.25" x14ac:dyDescent="0.25">
      <c r="A525" s="44">
        <v>7</v>
      </c>
      <c r="B525" s="44" t="s">
        <v>375</v>
      </c>
      <c r="C525" s="44" t="s">
        <v>375</v>
      </c>
      <c r="D525" s="44" t="s">
        <v>301</v>
      </c>
      <c r="E525" s="44">
        <v>1.825</v>
      </c>
      <c r="F525" s="44">
        <v>20</v>
      </c>
      <c r="G525" s="44" t="s">
        <v>360</v>
      </c>
      <c r="H525" s="44" t="s">
        <v>376</v>
      </c>
      <c r="I525" s="44" t="s">
        <v>287</v>
      </c>
      <c r="J525" s="72">
        <v>1002175769</v>
      </c>
      <c r="K525" s="62">
        <v>43594</v>
      </c>
      <c r="L525" s="79">
        <v>1002971826</v>
      </c>
      <c r="M525" s="62">
        <v>43808</v>
      </c>
      <c r="N525" s="44"/>
      <c r="O525" s="44" t="s">
        <v>25</v>
      </c>
      <c r="P525" s="44" t="s">
        <v>25</v>
      </c>
      <c r="Q525" s="44" t="s">
        <v>25</v>
      </c>
      <c r="R525" s="79"/>
      <c r="S525" s="62"/>
      <c r="T525" s="44"/>
      <c r="U525" s="44" t="s">
        <v>377</v>
      </c>
      <c r="V525" s="44"/>
      <c r="W525" s="44"/>
    </row>
    <row r="526" spans="1:23" ht="41.25" customHeight="1" x14ac:dyDescent="0.25">
      <c r="A526" s="44">
        <v>8</v>
      </c>
      <c r="B526" s="44" t="s">
        <v>378</v>
      </c>
      <c r="C526" s="44" t="s">
        <v>378</v>
      </c>
      <c r="D526" s="44" t="s">
        <v>301</v>
      </c>
      <c r="E526" s="44">
        <v>4.95</v>
      </c>
      <c r="F526" s="44">
        <v>20</v>
      </c>
      <c r="G526" s="44" t="s">
        <v>360</v>
      </c>
      <c r="H526" s="44" t="s">
        <v>379</v>
      </c>
      <c r="I526" s="44" t="s">
        <v>287</v>
      </c>
      <c r="J526" s="72">
        <v>1003262125</v>
      </c>
      <c r="K526" s="62">
        <v>44015</v>
      </c>
      <c r="L526" s="79">
        <v>1003341160</v>
      </c>
      <c r="M526" s="62">
        <v>44042</v>
      </c>
      <c r="N526" s="44"/>
      <c r="O526" s="44" t="s">
        <v>25</v>
      </c>
      <c r="P526" s="44" t="s">
        <v>25</v>
      </c>
      <c r="Q526" s="44" t="s">
        <v>25</v>
      </c>
      <c r="R526" s="79"/>
      <c r="S526" s="62"/>
      <c r="T526" s="44"/>
      <c r="U526" s="44" t="s">
        <v>380</v>
      </c>
      <c r="V526" s="44"/>
      <c r="W526" s="44"/>
    </row>
    <row r="527" spans="1:23" ht="38.25" x14ac:dyDescent="0.25">
      <c r="A527" s="44">
        <v>9</v>
      </c>
      <c r="B527" s="44" t="s">
        <v>381</v>
      </c>
      <c r="C527" s="44" t="s">
        <v>381</v>
      </c>
      <c r="D527" s="44" t="s">
        <v>296</v>
      </c>
      <c r="E527" s="44">
        <v>2.15</v>
      </c>
      <c r="F527" s="44">
        <v>20</v>
      </c>
      <c r="G527" s="44" t="s">
        <v>360</v>
      </c>
      <c r="H527" s="44" t="s">
        <v>361</v>
      </c>
      <c r="I527" s="44" t="s">
        <v>287</v>
      </c>
      <c r="J527" s="72">
        <v>1003390610</v>
      </c>
      <c r="K527" s="62">
        <v>44106</v>
      </c>
      <c r="L527" s="79">
        <v>1003547687</v>
      </c>
      <c r="M527" s="62">
        <v>44358</v>
      </c>
      <c r="N527" s="44"/>
      <c r="O527" s="44" t="s">
        <v>25</v>
      </c>
      <c r="P527" s="44" t="s">
        <v>25</v>
      </c>
      <c r="Q527" s="44" t="s">
        <v>25</v>
      </c>
      <c r="R527" s="79"/>
      <c r="S527" s="62"/>
      <c r="T527" s="44"/>
      <c r="U527" s="44" t="s">
        <v>382</v>
      </c>
      <c r="V527" s="44"/>
      <c r="W527" s="44"/>
    </row>
    <row r="528" spans="1:23" ht="25.5" x14ac:dyDescent="0.25">
      <c r="A528" s="44">
        <v>10</v>
      </c>
      <c r="B528" s="44" t="s">
        <v>383</v>
      </c>
      <c r="C528" s="44" t="s">
        <v>383</v>
      </c>
      <c r="D528" s="44" t="s">
        <v>284</v>
      </c>
      <c r="E528" s="44">
        <v>1.635</v>
      </c>
      <c r="F528" s="44">
        <v>20</v>
      </c>
      <c r="G528" s="44" t="s">
        <v>360</v>
      </c>
      <c r="H528" s="44" t="s">
        <v>384</v>
      </c>
      <c r="I528" s="44" t="s">
        <v>287</v>
      </c>
      <c r="J528" s="72">
        <v>1003557838</v>
      </c>
      <c r="K528" s="62">
        <v>44378</v>
      </c>
      <c r="L528" s="79">
        <v>1003774497</v>
      </c>
      <c r="M528" s="62">
        <v>44477</v>
      </c>
      <c r="N528" s="44"/>
      <c r="O528" s="44" t="s">
        <v>25</v>
      </c>
      <c r="P528" s="44" t="s">
        <v>25</v>
      </c>
      <c r="Q528" s="44" t="s">
        <v>25</v>
      </c>
      <c r="R528" s="79"/>
      <c r="S528" s="62"/>
      <c r="T528" s="44"/>
      <c r="U528" s="44" t="s">
        <v>385</v>
      </c>
      <c r="V528" s="44"/>
      <c r="W528" s="44"/>
    </row>
    <row r="529" spans="1:23" ht="25.5" x14ac:dyDescent="0.25">
      <c r="A529" s="44">
        <v>11</v>
      </c>
      <c r="B529" s="44" t="s">
        <v>386</v>
      </c>
      <c r="C529" s="44" t="s">
        <v>386</v>
      </c>
      <c r="D529" s="44" t="s">
        <v>290</v>
      </c>
      <c r="E529" s="44">
        <v>2.3559999999999999</v>
      </c>
      <c r="F529" s="44">
        <v>20</v>
      </c>
      <c r="G529" s="44" t="s">
        <v>387</v>
      </c>
      <c r="H529" s="44" t="s">
        <v>388</v>
      </c>
      <c r="I529" s="44" t="s">
        <v>287</v>
      </c>
      <c r="J529" s="72">
        <v>1003634424</v>
      </c>
      <c r="K529" s="62">
        <v>44418</v>
      </c>
      <c r="L529" s="79"/>
      <c r="M529" s="62"/>
      <c r="N529" s="44"/>
      <c r="O529" s="44" t="s">
        <v>25</v>
      </c>
      <c r="P529" s="44" t="s">
        <v>25</v>
      </c>
      <c r="Q529" s="44" t="s">
        <v>25</v>
      </c>
      <c r="R529" s="79"/>
      <c r="S529" s="62"/>
      <c r="T529" s="44"/>
      <c r="U529" s="44" t="s">
        <v>389</v>
      </c>
      <c r="V529" s="44"/>
      <c r="W529" s="44"/>
    </row>
    <row r="530" spans="1:23" ht="25.5" x14ac:dyDescent="0.25">
      <c r="A530" s="44">
        <v>12</v>
      </c>
      <c r="B530" s="261" t="s">
        <v>390</v>
      </c>
      <c r="C530" s="261" t="s">
        <v>390</v>
      </c>
      <c r="D530" s="261" t="s">
        <v>372</v>
      </c>
      <c r="E530" s="261">
        <v>1.28</v>
      </c>
      <c r="F530" s="261">
        <v>20</v>
      </c>
      <c r="G530" s="261" t="s">
        <v>360</v>
      </c>
      <c r="H530" s="261" t="s">
        <v>391</v>
      </c>
      <c r="I530" s="261" t="s">
        <v>287</v>
      </c>
      <c r="J530" s="416">
        <v>1003917391</v>
      </c>
      <c r="K530" s="374">
        <v>44494</v>
      </c>
      <c r="L530" s="417">
        <v>1004418058</v>
      </c>
      <c r="M530" s="374">
        <v>44644</v>
      </c>
      <c r="N530" s="261"/>
      <c r="O530" s="261" t="s">
        <v>25</v>
      </c>
      <c r="P530" s="261" t="s">
        <v>25</v>
      </c>
      <c r="Q530" s="261" t="s">
        <v>25</v>
      </c>
      <c r="R530" s="417"/>
      <c r="S530" s="374"/>
      <c r="T530" s="261"/>
      <c r="U530" s="261" t="s">
        <v>392</v>
      </c>
      <c r="V530" s="261"/>
      <c r="W530" s="261"/>
    </row>
    <row r="531" spans="1:23" x14ac:dyDescent="0.25">
      <c r="A531" s="44">
        <v>13</v>
      </c>
      <c r="B531" s="261" t="s">
        <v>393</v>
      </c>
      <c r="C531" s="261" t="s">
        <v>393</v>
      </c>
      <c r="D531" s="261" t="s">
        <v>372</v>
      </c>
      <c r="E531" s="261">
        <v>2</v>
      </c>
      <c r="F531" s="261">
        <v>20</v>
      </c>
      <c r="G531" s="261" t="s">
        <v>360</v>
      </c>
      <c r="H531" s="261" t="s">
        <v>394</v>
      </c>
      <c r="I531" s="261" t="s">
        <v>287</v>
      </c>
      <c r="J531" s="416">
        <v>1002251246</v>
      </c>
      <c r="K531" s="374">
        <v>43636</v>
      </c>
      <c r="L531" s="417">
        <v>1003192680</v>
      </c>
      <c r="M531" s="374">
        <v>43903</v>
      </c>
      <c r="N531" s="261"/>
      <c r="O531" s="261" t="s">
        <v>25</v>
      </c>
      <c r="P531" s="261" t="s">
        <v>25</v>
      </c>
      <c r="Q531" s="261" t="s">
        <v>25</v>
      </c>
      <c r="R531" s="417"/>
      <c r="S531" s="374"/>
      <c r="T531" s="261"/>
      <c r="U531" s="261"/>
      <c r="V531" s="261"/>
      <c r="W531" s="261"/>
    </row>
    <row r="532" spans="1:23" x14ac:dyDescent="0.25">
      <c r="A532" s="44">
        <v>14</v>
      </c>
      <c r="B532" s="261" t="s">
        <v>395</v>
      </c>
      <c r="C532" s="261" t="s">
        <v>395</v>
      </c>
      <c r="D532" s="261" t="s">
        <v>290</v>
      </c>
      <c r="E532" s="261">
        <v>1.4650000000000001</v>
      </c>
      <c r="F532" s="261">
        <v>20</v>
      </c>
      <c r="G532" s="261" t="s">
        <v>360</v>
      </c>
      <c r="H532" s="261" t="s">
        <v>396</v>
      </c>
      <c r="I532" s="261" t="s">
        <v>287</v>
      </c>
      <c r="J532" s="416">
        <v>1002493785</v>
      </c>
      <c r="K532" s="374">
        <v>43719</v>
      </c>
      <c r="L532" s="417">
        <v>1003163554</v>
      </c>
      <c r="M532" s="374">
        <v>43888</v>
      </c>
      <c r="N532" s="261"/>
      <c r="O532" s="261" t="s">
        <v>25</v>
      </c>
      <c r="P532" s="261" t="s">
        <v>25</v>
      </c>
      <c r="Q532" s="261" t="s">
        <v>25</v>
      </c>
      <c r="R532" s="417"/>
      <c r="S532" s="374"/>
      <c r="T532" s="261"/>
      <c r="U532" s="261"/>
      <c r="V532" s="261"/>
      <c r="W532" s="261"/>
    </row>
    <row r="533" spans="1:23" ht="31.5" customHeight="1" x14ac:dyDescent="0.25">
      <c r="A533" s="44">
        <v>15</v>
      </c>
      <c r="B533" s="261" t="s">
        <v>397</v>
      </c>
      <c r="C533" s="261" t="s">
        <v>397</v>
      </c>
      <c r="D533" s="261" t="s">
        <v>301</v>
      </c>
      <c r="E533" s="261">
        <v>3.07</v>
      </c>
      <c r="F533" s="261">
        <v>20</v>
      </c>
      <c r="G533" s="261" t="s">
        <v>398</v>
      </c>
      <c r="H533" s="261" t="s">
        <v>398</v>
      </c>
      <c r="I533" s="261" t="s">
        <v>287</v>
      </c>
      <c r="J533" s="416" t="s">
        <v>399</v>
      </c>
      <c r="K533" s="374" t="s">
        <v>399</v>
      </c>
      <c r="L533" s="417">
        <v>58751</v>
      </c>
      <c r="M533" s="374">
        <v>44473</v>
      </c>
      <c r="N533" s="261"/>
      <c r="O533" s="261" t="s">
        <v>25</v>
      </c>
      <c r="P533" s="261" t="s">
        <v>25</v>
      </c>
      <c r="Q533" s="261" t="s">
        <v>25</v>
      </c>
      <c r="R533" s="417"/>
      <c r="S533" s="374"/>
      <c r="T533" s="261"/>
      <c r="U533" s="261" t="s">
        <v>400</v>
      </c>
      <c r="V533" s="261"/>
      <c r="W533" s="261"/>
    </row>
    <row r="534" spans="1:23" ht="25.5" x14ac:dyDescent="0.25">
      <c r="A534" s="44">
        <v>16</v>
      </c>
      <c r="B534" s="261" t="s">
        <v>3600</v>
      </c>
      <c r="C534" s="261" t="s">
        <v>3600</v>
      </c>
      <c r="D534" s="261" t="s">
        <v>318</v>
      </c>
      <c r="E534" s="424">
        <v>1.198</v>
      </c>
      <c r="F534" s="261">
        <v>20</v>
      </c>
      <c r="G534" s="261" t="s">
        <v>360</v>
      </c>
      <c r="H534" s="261" t="s">
        <v>3601</v>
      </c>
      <c r="I534" s="261" t="s">
        <v>287</v>
      </c>
      <c r="J534" s="261">
        <v>1002988471</v>
      </c>
      <c r="K534" s="374">
        <v>43812</v>
      </c>
      <c r="L534" s="261">
        <v>1003016504</v>
      </c>
      <c r="M534" s="374">
        <v>43821</v>
      </c>
      <c r="N534" s="261"/>
      <c r="O534" s="261" t="s">
        <v>25</v>
      </c>
      <c r="P534" s="261" t="s">
        <v>25</v>
      </c>
      <c r="Q534" s="261" t="s">
        <v>25</v>
      </c>
      <c r="R534" s="417"/>
      <c r="S534" s="374"/>
      <c r="T534" s="261"/>
      <c r="U534" s="261"/>
      <c r="V534" s="261"/>
      <c r="W534" s="261"/>
    </row>
    <row r="535" spans="1:23" x14ac:dyDescent="0.25">
      <c r="A535" s="44">
        <v>17</v>
      </c>
      <c r="B535" s="261" t="s">
        <v>401</v>
      </c>
      <c r="C535" s="261" t="s">
        <v>401</v>
      </c>
      <c r="D535" s="261" t="s">
        <v>318</v>
      </c>
      <c r="E535" s="261">
        <v>1.145</v>
      </c>
      <c r="F535" s="261">
        <v>20</v>
      </c>
      <c r="G535" s="261" t="s">
        <v>360</v>
      </c>
      <c r="H535" s="261" t="s">
        <v>402</v>
      </c>
      <c r="I535" s="261" t="s">
        <v>287</v>
      </c>
      <c r="J535" s="416">
        <v>1003450062</v>
      </c>
      <c r="K535" s="374">
        <v>44188</v>
      </c>
      <c r="L535" s="417">
        <v>1003456846</v>
      </c>
      <c r="M535" s="374">
        <v>44208</v>
      </c>
      <c r="N535" s="261"/>
      <c r="O535" s="261" t="s">
        <v>25</v>
      </c>
      <c r="P535" s="261" t="s">
        <v>25</v>
      </c>
      <c r="Q535" s="261" t="s">
        <v>25</v>
      </c>
      <c r="R535" s="417"/>
      <c r="S535" s="374"/>
      <c r="T535" s="261"/>
      <c r="U535" s="261"/>
      <c r="V535" s="261"/>
      <c r="W535" s="261"/>
    </row>
    <row r="536" spans="1:23" x14ac:dyDescent="0.25">
      <c r="A536" s="44">
        <v>18</v>
      </c>
      <c r="B536" s="261" t="s">
        <v>403</v>
      </c>
      <c r="C536" s="261" t="s">
        <v>403</v>
      </c>
      <c r="D536" s="261" t="s">
        <v>301</v>
      </c>
      <c r="E536" s="261">
        <v>1.105</v>
      </c>
      <c r="F536" s="261">
        <v>20</v>
      </c>
      <c r="G536" s="261" t="s">
        <v>360</v>
      </c>
      <c r="H536" s="261" t="s">
        <v>404</v>
      </c>
      <c r="I536" s="261" t="s">
        <v>287</v>
      </c>
      <c r="J536" s="416">
        <v>1003745670</v>
      </c>
      <c r="K536" s="374">
        <v>44463</v>
      </c>
      <c r="L536" s="417">
        <v>1003861436</v>
      </c>
      <c r="M536" s="374">
        <v>44487</v>
      </c>
      <c r="N536" s="261"/>
      <c r="O536" s="261" t="s">
        <v>25</v>
      </c>
      <c r="P536" s="261" t="s">
        <v>25</v>
      </c>
      <c r="Q536" s="261" t="s">
        <v>25</v>
      </c>
      <c r="R536" s="417"/>
      <c r="S536" s="374"/>
      <c r="T536" s="261"/>
      <c r="U536" s="261"/>
      <c r="V536" s="261"/>
      <c r="W536" s="261"/>
    </row>
    <row r="537" spans="1:23" ht="25.5" x14ac:dyDescent="0.25">
      <c r="A537" s="44">
        <v>19</v>
      </c>
      <c r="B537" s="261" t="s">
        <v>405</v>
      </c>
      <c r="C537" s="261" t="s">
        <v>405</v>
      </c>
      <c r="D537" s="261" t="s">
        <v>284</v>
      </c>
      <c r="E537" s="261">
        <v>2.88</v>
      </c>
      <c r="F537" s="261">
        <v>20</v>
      </c>
      <c r="G537" s="261" t="s">
        <v>360</v>
      </c>
      <c r="H537" s="261" t="s">
        <v>406</v>
      </c>
      <c r="I537" s="261" t="s">
        <v>287</v>
      </c>
      <c r="J537" s="416">
        <v>1003475133</v>
      </c>
      <c r="K537" s="374">
        <v>44242</v>
      </c>
      <c r="L537" s="417">
        <v>1003523332</v>
      </c>
      <c r="M537" s="374">
        <v>44320</v>
      </c>
      <c r="N537" s="261"/>
      <c r="O537" s="261" t="s">
        <v>25</v>
      </c>
      <c r="P537" s="261" t="s">
        <v>25</v>
      </c>
      <c r="Q537" s="261" t="s">
        <v>25</v>
      </c>
      <c r="R537" s="417"/>
      <c r="S537" s="374"/>
      <c r="T537" s="261"/>
      <c r="U537" s="261" t="s">
        <v>407</v>
      </c>
      <c r="V537" s="261"/>
      <c r="W537" s="261"/>
    </row>
    <row r="538" spans="1:23" ht="36" customHeight="1" x14ac:dyDescent="0.25">
      <c r="A538" s="44">
        <v>20</v>
      </c>
      <c r="B538" s="261" t="s">
        <v>408</v>
      </c>
      <c r="C538" s="261" t="s">
        <v>408</v>
      </c>
      <c r="D538" s="261" t="s">
        <v>301</v>
      </c>
      <c r="E538" s="261">
        <v>4.7</v>
      </c>
      <c r="F538" s="261">
        <v>20</v>
      </c>
      <c r="G538" s="261" t="s">
        <v>369</v>
      </c>
      <c r="H538" s="261" t="s">
        <v>369</v>
      </c>
      <c r="I538" s="261" t="s">
        <v>287</v>
      </c>
      <c r="J538" s="416">
        <v>1003576595</v>
      </c>
      <c r="K538" s="374">
        <v>44403</v>
      </c>
      <c r="L538" s="417">
        <v>1003684248</v>
      </c>
      <c r="M538" s="374">
        <v>44431</v>
      </c>
      <c r="N538" s="261"/>
      <c r="O538" s="261" t="s">
        <v>25</v>
      </c>
      <c r="P538" s="261" t="s">
        <v>25</v>
      </c>
      <c r="Q538" s="261" t="s">
        <v>25</v>
      </c>
      <c r="R538" s="417"/>
      <c r="S538" s="374"/>
      <c r="T538" s="261"/>
      <c r="U538" s="261" t="s">
        <v>409</v>
      </c>
      <c r="V538" s="261"/>
      <c r="W538" s="261"/>
    </row>
    <row r="539" spans="1:23" ht="38.25" x14ac:dyDescent="0.25">
      <c r="A539" s="44">
        <v>21</v>
      </c>
      <c r="B539" s="261" t="s">
        <v>410</v>
      </c>
      <c r="C539" s="261" t="s">
        <v>410</v>
      </c>
      <c r="D539" s="261" t="s">
        <v>301</v>
      </c>
      <c r="E539" s="261">
        <v>1.7989999999999999</v>
      </c>
      <c r="F539" s="261" t="s">
        <v>411</v>
      </c>
      <c r="G539" s="261" t="s">
        <v>360</v>
      </c>
      <c r="H539" s="261" t="s">
        <v>398</v>
      </c>
      <c r="I539" s="261" t="s">
        <v>287</v>
      </c>
      <c r="J539" s="416">
        <v>1003644702</v>
      </c>
      <c r="K539" s="374">
        <v>44420</v>
      </c>
      <c r="L539" s="417">
        <v>1004121561</v>
      </c>
      <c r="M539" s="374">
        <v>44595</v>
      </c>
      <c r="N539" s="261"/>
      <c r="O539" s="261" t="s">
        <v>25</v>
      </c>
      <c r="P539" s="261" t="s">
        <v>25</v>
      </c>
      <c r="Q539" s="261" t="s">
        <v>25</v>
      </c>
      <c r="R539" s="417"/>
      <c r="S539" s="374"/>
      <c r="T539" s="261"/>
      <c r="U539" s="261" t="s">
        <v>412</v>
      </c>
      <c r="V539" s="261"/>
      <c r="W539" s="261"/>
    </row>
    <row r="540" spans="1:23" ht="25.5" x14ac:dyDescent="0.25">
      <c r="A540" s="44">
        <v>22</v>
      </c>
      <c r="B540" s="261" t="s">
        <v>1196</v>
      </c>
      <c r="C540" s="261" t="s">
        <v>1197</v>
      </c>
      <c r="D540" s="261" t="s">
        <v>290</v>
      </c>
      <c r="E540" s="261">
        <v>1.25</v>
      </c>
      <c r="F540" s="261">
        <v>20</v>
      </c>
      <c r="G540" s="261" t="s">
        <v>360</v>
      </c>
      <c r="H540" s="261" t="s">
        <v>1198</v>
      </c>
      <c r="I540" s="261" t="s">
        <v>287</v>
      </c>
      <c r="J540" s="416">
        <v>1004631202</v>
      </c>
      <c r="K540" s="374">
        <v>44693</v>
      </c>
      <c r="L540" s="261">
        <v>1004834508</v>
      </c>
      <c r="M540" s="374">
        <v>44761</v>
      </c>
      <c r="N540" s="261"/>
      <c r="O540" s="261" t="s">
        <v>25</v>
      </c>
      <c r="P540" s="261" t="s">
        <v>25</v>
      </c>
      <c r="Q540" s="261" t="s">
        <v>25</v>
      </c>
      <c r="R540" s="417"/>
      <c r="S540" s="374"/>
      <c r="T540" s="261"/>
      <c r="U540" s="261"/>
      <c r="V540" s="261"/>
      <c r="W540" s="261"/>
    </row>
    <row r="541" spans="1:23" ht="63.75" x14ac:dyDescent="0.25">
      <c r="A541" s="44">
        <v>23</v>
      </c>
      <c r="B541" s="418" t="s">
        <v>1272</v>
      </c>
      <c r="C541" s="418" t="s">
        <v>1272</v>
      </c>
      <c r="D541" s="418" t="s">
        <v>301</v>
      </c>
      <c r="E541" s="418">
        <v>2.96</v>
      </c>
      <c r="F541" s="418">
        <v>20</v>
      </c>
      <c r="G541" s="418" t="s">
        <v>360</v>
      </c>
      <c r="H541" s="418" t="s">
        <v>1273</v>
      </c>
      <c r="I541" s="418" t="s">
        <v>287</v>
      </c>
      <c r="J541" s="419">
        <v>1004825495</v>
      </c>
      <c r="K541" s="420">
        <v>44750</v>
      </c>
      <c r="L541" s="421"/>
      <c r="M541" s="260"/>
      <c r="N541" s="260"/>
      <c r="O541" s="418" t="s">
        <v>25</v>
      </c>
      <c r="P541" s="418" t="s">
        <v>25</v>
      </c>
      <c r="Q541" s="418" t="s">
        <v>25</v>
      </c>
      <c r="R541" s="421">
        <v>1005347455</v>
      </c>
      <c r="S541" s="415">
        <v>45251</v>
      </c>
      <c r="T541" s="260">
        <v>2.4</v>
      </c>
      <c r="U541" s="260" t="s">
        <v>4030</v>
      </c>
      <c r="V541" s="260">
        <v>2.4</v>
      </c>
      <c r="W541" s="260">
        <v>0</v>
      </c>
    </row>
    <row r="542" spans="1:23" ht="25.5" x14ac:dyDescent="0.25">
      <c r="A542" s="44">
        <v>24</v>
      </c>
      <c r="B542" s="260" t="s">
        <v>1890</v>
      </c>
      <c r="C542" s="260" t="s">
        <v>1890</v>
      </c>
      <c r="D542" s="260" t="s">
        <v>301</v>
      </c>
      <c r="E542" s="413">
        <v>2.02</v>
      </c>
      <c r="F542" s="260">
        <v>20</v>
      </c>
      <c r="G542" s="260" t="s">
        <v>360</v>
      </c>
      <c r="H542" s="260" t="s">
        <v>1891</v>
      </c>
      <c r="I542" s="260" t="s">
        <v>287</v>
      </c>
      <c r="J542" s="260">
        <v>1005061034</v>
      </c>
      <c r="K542" s="415">
        <v>44847</v>
      </c>
      <c r="L542" s="421"/>
      <c r="M542" s="260"/>
      <c r="N542" s="260"/>
      <c r="O542" s="260" t="s">
        <v>25</v>
      </c>
      <c r="P542" s="260" t="s">
        <v>25</v>
      </c>
      <c r="Q542" s="260" t="s">
        <v>25</v>
      </c>
      <c r="R542" s="421"/>
      <c r="S542" s="415"/>
      <c r="T542" s="260"/>
      <c r="U542" s="260" t="s">
        <v>1892</v>
      </c>
      <c r="V542" s="260"/>
      <c r="W542" s="260"/>
    </row>
    <row r="543" spans="1:23" ht="26.25" customHeight="1" x14ac:dyDescent="0.25">
      <c r="A543" s="44">
        <v>25</v>
      </c>
      <c r="B543" s="260" t="s">
        <v>2369</v>
      </c>
      <c r="C543" s="260" t="s">
        <v>2370</v>
      </c>
      <c r="D543" s="260" t="s">
        <v>301</v>
      </c>
      <c r="E543" s="260">
        <v>2.4</v>
      </c>
      <c r="F543" s="260">
        <v>20</v>
      </c>
      <c r="G543" s="260" t="s">
        <v>2371</v>
      </c>
      <c r="H543" s="260" t="s">
        <v>2522</v>
      </c>
      <c r="I543" s="260" t="s">
        <v>287</v>
      </c>
      <c r="J543" s="260">
        <v>1005147037</v>
      </c>
      <c r="K543" s="415">
        <v>44986</v>
      </c>
      <c r="L543" s="421">
        <v>1005223886</v>
      </c>
      <c r="M543" s="421">
        <v>45104</v>
      </c>
      <c r="N543" s="415">
        <v>45291</v>
      </c>
      <c r="O543" s="260" t="s">
        <v>25</v>
      </c>
      <c r="P543" s="260" t="s">
        <v>25</v>
      </c>
      <c r="Q543" s="260" t="s">
        <v>25</v>
      </c>
      <c r="R543" s="421"/>
      <c r="S543" s="415"/>
      <c r="T543" s="260"/>
      <c r="U543" s="260" t="s">
        <v>2373</v>
      </c>
      <c r="V543" s="260"/>
      <c r="W543" s="260">
        <v>2.4</v>
      </c>
    </row>
    <row r="544" spans="1:23" ht="26.25" customHeight="1" x14ac:dyDescent="0.25">
      <c r="A544" s="44">
        <v>26</v>
      </c>
      <c r="B544" s="260" t="s">
        <v>3122</v>
      </c>
      <c r="C544" s="260" t="s">
        <v>3122</v>
      </c>
      <c r="D544" s="260" t="s">
        <v>301</v>
      </c>
      <c r="E544" s="422">
        <v>5.9</v>
      </c>
      <c r="F544" s="260">
        <v>20</v>
      </c>
      <c r="G544" s="260" t="s">
        <v>360</v>
      </c>
      <c r="H544" s="260" t="s">
        <v>1891</v>
      </c>
      <c r="I544" s="260" t="s">
        <v>287</v>
      </c>
      <c r="J544" s="260">
        <v>1005195637</v>
      </c>
      <c r="K544" s="415">
        <v>45058</v>
      </c>
      <c r="L544" s="421"/>
      <c r="M544" s="415"/>
      <c r="N544" s="260"/>
      <c r="O544" s="260" t="s">
        <v>25</v>
      </c>
      <c r="P544" s="260" t="s">
        <v>25</v>
      </c>
      <c r="Q544" s="260" t="s">
        <v>25</v>
      </c>
      <c r="R544" s="421"/>
      <c r="S544" s="415"/>
      <c r="T544" s="260"/>
      <c r="U544" s="260" t="s">
        <v>3123</v>
      </c>
      <c r="V544" s="260"/>
      <c r="W544" s="260"/>
    </row>
    <row r="545" spans="1:23" ht="26.25" customHeight="1" x14ac:dyDescent="0.25">
      <c r="A545" s="44">
        <v>27</v>
      </c>
      <c r="B545" s="260" t="s">
        <v>3124</v>
      </c>
      <c r="C545" s="260" t="s">
        <v>3124</v>
      </c>
      <c r="D545" s="260" t="s">
        <v>284</v>
      </c>
      <c r="E545" s="422">
        <v>1.2</v>
      </c>
      <c r="F545" s="260">
        <v>20</v>
      </c>
      <c r="G545" s="260" t="s">
        <v>360</v>
      </c>
      <c r="H545" s="260" t="s">
        <v>406</v>
      </c>
      <c r="I545" s="260" t="s">
        <v>287</v>
      </c>
      <c r="J545" s="260">
        <v>1005177652</v>
      </c>
      <c r="K545" s="415">
        <v>45029</v>
      </c>
      <c r="L545" s="421">
        <v>1005209953</v>
      </c>
      <c r="M545" s="415">
        <v>45083</v>
      </c>
      <c r="N545" s="260"/>
      <c r="O545" s="260" t="s">
        <v>25</v>
      </c>
      <c r="P545" s="260" t="s">
        <v>25</v>
      </c>
      <c r="Q545" s="260" t="s">
        <v>25</v>
      </c>
      <c r="R545" s="421"/>
      <c r="S545" s="415"/>
      <c r="T545" s="260"/>
      <c r="U545" s="260"/>
      <c r="V545" s="260"/>
      <c r="W545" s="260"/>
    </row>
    <row r="546" spans="1:23" ht="26.25" customHeight="1" x14ac:dyDescent="0.25">
      <c r="A546" s="44">
        <v>28</v>
      </c>
      <c r="B546" s="260" t="s">
        <v>3125</v>
      </c>
      <c r="C546" s="260" t="s">
        <v>3125</v>
      </c>
      <c r="D546" s="260" t="s">
        <v>318</v>
      </c>
      <c r="E546" s="422">
        <v>1.35</v>
      </c>
      <c r="F546" s="260">
        <v>20</v>
      </c>
      <c r="G546" s="260" t="s">
        <v>360</v>
      </c>
      <c r="H546" s="260" t="s">
        <v>3126</v>
      </c>
      <c r="I546" s="260" t="s">
        <v>287</v>
      </c>
      <c r="J546" s="260">
        <v>1005167680</v>
      </c>
      <c r="K546" s="415">
        <v>45016</v>
      </c>
      <c r="L546" s="421"/>
      <c r="M546" s="415"/>
      <c r="N546" s="260"/>
      <c r="O546" s="260" t="s">
        <v>25</v>
      </c>
      <c r="P546" s="260" t="s">
        <v>25</v>
      </c>
      <c r="Q546" s="260" t="s">
        <v>25</v>
      </c>
      <c r="R546" s="421"/>
      <c r="S546" s="415"/>
      <c r="T546" s="260"/>
      <c r="U546" s="260"/>
      <c r="V546" s="260"/>
      <c r="W546" s="260"/>
    </row>
    <row r="547" spans="1:23" ht="26.25" customHeight="1" x14ac:dyDescent="0.25">
      <c r="A547" s="44">
        <v>29</v>
      </c>
      <c r="B547" s="260" t="s">
        <v>3127</v>
      </c>
      <c r="C547" s="260" t="s">
        <v>3127</v>
      </c>
      <c r="D547" s="260" t="s">
        <v>290</v>
      </c>
      <c r="E547" s="422">
        <v>1.1200000000000001</v>
      </c>
      <c r="F547" s="260">
        <v>20</v>
      </c>
      <c r="G547" s="260" t="s">
        <v>360</v>
      </c>
      <c r="H547" s="260" t="s">
        <v>3128</v>
      </c>
      <c r="I547" s="260" t="s">
        <v>287</v>
      </c>
      <c r="J547" s="260">
        <v>1005101880</v>
      </c>
      <c r="K547" s="415">
        <v>45279</v>
      </c>
      <c r="L547" s="421">
        <v>1005119562</v>
      </c>
      <c r="M547" s="415">
        <v>44945</v>
      </c>
      <c r="N547" s="260"/>
      <c r="O547" s="260" t="s">
        <v>25</v>
      </c>
      <c r="P547" s="260" t="s">
        <v>25</v>
      </c>
      <c r="Q547" s="260" t="s">
        <v>25</v>
      </c>
      <c r="R547" s="421">
        <v>1005205476</v>
      </c>
      <c r="S547" s="415">
        <v>45072</v>
      </c>
      <c r="T547" s="260"/>
      <c r="U547" s="260"/>
      <c r="V547" s="260"/>
      <c r="W547" s="260"/>
    </row>
    <row r="548" spans="1:23" ht="26.25" customHeight="1" x14ac:dyDescent="0.25">
      <c r="A548" s="44">
        <v>30</v>
      </c>
      <c r="B548" s="260" t="s">
        <v>3537</v>
      </c>
      <c r="C548" s="260" t="s">
        <v>3538</v>
      </c>
      <c r="D548" s="260" t="s">
        <v>301</v>
      </c>
      <c r="E548" s="422">
        <v>1.66</v>
      </c>
      <c r="F548" s="260">
        <v>6</v>
      </c>
      <c r="G548" s="260" t="s">
        <v>360</v>
      </c>
      <c r="H548" s="260" t="s">
        <v>398</v>
      </c>
      <c r="I548" s="260" t="s">
        <v>287</v>
      </c>
      <c r="J548" s="260">
        <v>1005240668</v>
      </c>
      <c r="K548" s="415">
        <v>45131</v>
      </c>
      <c r="L548" s="421"/>
      <c r="M548" s="415"/>
      <c r="N548" s="260"/>
      <c r="O548" s="260" t="s">
        <v>25</v>
      </c>
      <c r="P548" s="260" t="s">
        <v>25</v>
      </c>
      <c r="Q548" s="260" t="s">
        <v>25</v>
      </c>
      <c r="R548" s="421"/>
      <c r="S548" s="415"/>
      <c r="T548" s="260"/>
      <c r="U548" s="260" t="s">
        <v>3539</v>
      </c>
      <c r="V548" s="260"/>
      <c r="W548" s="260"/>
    </row>
    <row r="549" spans="1:23" ht="26.25" customHeight="1" x14ac:dyDescent="0.25">
      <c r="A549" s="44">
        <v>31</v>
      </c>
      <c r="B549" s="260" t="s">
        <v>3537</v>
      </c>
      <c r="C549" s="260" t="s">
        <v>3540</v>
      </c>
      <c r="D549" s="260" t="s">
        <v>301</v>
      </c>
      <c r="E549" s="422">
        <v>1.66</v>
      </c>
      <c r="F549" s="260">
        <v>6</v>
      </c>
      <c r="G549" s="260" t="s">
        <v>360</v>
      </c>
      <c r="H549" s="260" t="s">
        <v>398</v>
      </c>
      <c r="I549" s="260" t="s">
        <v>287</v>
      </c>
      <c r="J549" s="260">
        <v>1005240878</v>
      </c>
      <c r="K549" s="415">
        <v>45131</v>
      </c>
      <c r="L549" s="421"/>
      <c r="M549" s="415"/>
      <c r="N549" s="260"/>
      <c r="O549" s="260" t="s">
        <v>25</v>
      </c>
      <c r="P549" s="260" t="s">
        <v>25</v>
      </c>
      <c r="Q549" s="260" t="s">
        <v>25</v>
      </c>
      <c r="R549" s="421"/>
      <c r="S549" s="415"/>
      <c r="T549" s="260"/>
      <c r="U549" s="260" t="s">
        <v>3541</v>
      </c>
      <c r="V549" s="260"/>
      <c r="W549" s="260"/>
    </row>
    <row r="550" spans="1:23" ht="26.25" customHeight="1" x14ac:dyDescent="0.25">
      <c r="A550" s="44">
        <v>32</v>
      </c>
      <c r="B550" s="260" t="s">
        <v>3537</v>
      </c>
      <c r="C550" s="260" t="s">
        <v>3542</v>
      </c>
      <c r="D550" s="260" t="s">
        <v>301</v>
      </c>
      <c r="E550" s="422">
        <v>1.66</v>
      </c>
      <c r="F550" s="260">
        <v>6</v>
      </c>
      <c r="G550" s="260" t="s">
        <v>360</v>
      </c>
      <c r="H550" s="260" t="s">
        <v>398</v>
      </c>
      <c r="I550" s="260" t="s">
        <v>287</v>
      </c>
      <c r="J550" s="260">
        <v>1005241342</v>
      </c>
      <c r="K550" s="415">
        <v>45132</v>
      </c>
      <c r="L550" s="421"/>
      <c r="M550" s="415"/>
      <c r="N550" s="260"/>
      <c r="O550" s="260" t="s">
        <v>25</v>
      </c>
      <c r="P550" s="260" t="s">
        <v>25</v>
      </c>
      <c r="Q550" s="260" t="s">
        <v>25</v>
      </c>
      <c r="R550" s="421"/>
      <c r="S550" s="415"/>
      <c r="T550" s="260"/>
      <c r="U550" s="260" t="s">
        <v>3541</v>
      </c>
      <c r="V550" s="260"/>
      <c r="W550" s="260"/>
    </row>
    <row r="551" spans="1:23" ht="26.25" customHeight="1" x14ac:dyDescent="0.25">
      <c r="A551" s="44">
        <v>33</v>
      </c>
      <c r="B551" s="260" t="s">
        <v>3543</v>
      </c>
      <c r="C551" s="260" t="s">
        <v>3543</v>
      </c>
      <c r="D551" s="260" t="s">
        <v>372</v>
      </c>
      <c r="E551" s="423">
        <v>3648</v>
      </c>
      <c r="F551" s="260">
        <v>20</v>
      </c>
      <c r="G551" s="260" t="s">
        <v>3544</v>
      </c>
      <c r="H551" s="260" t="s">
        <v>3544</v>
      </c>
      <c r="I551" s="260" t="s">
        <v>287</v>
      </c>
      <c r="J551" s="260">
        <v>1005253296</v>
      </c>
      <c r="K551" s="415">
        <v>45148</v>
      </c>
      <c r="L551" s="421"/>
      <c r="M551" s="260"/>
      <c r="N551" s="260"/>
      <c r="O551" s="260" t="s">
        <v>25</v>
      </c>
      <c r="P551" s="260" t="s">
        <v>25</v>
      </c>
      <c r="Q551" s="260" t="s">
        <v>25</v>
      </c>
      <c r="R551" s="421"/>
      <c r="S551" s="415"/>
      <c r="T551" s="260"/>
      <c r="U551" s="260" t="s">
        <v>3545</v>
      </c>
      <c r="V551" s="260"/>
      <c r="W551" s="260"/>
    </row>
    <row r="552" spans="1:23" ht="26.25" customHeight="1" x14ac:dyDescent="0.25">
      <c r="A552" s="44">
        <v>34</v>
      </c>
      <c r="B552" s="260" t="s">
        <v>3546</v>
      </c>
      <c r="C552" s="260" t="s">
        <v>3546</v>
      </c>
      <c r="D552" s="260" t="s">
        <v>290</v>
      </c>
      <c r="E552" s="422">
        <v>2.266</v>
      </c>
      <c r="F552" s="260">
        <v>20</v>
      </c>
      <c r="G552" s="260" t="s">
        <v>360</v>
      </c>
      <c r="H552" s="260" t="s">
        <v>3547</v>
      </c>
      <c r="I552" s="260" t="s">
        <v>287</v>
      </c>
      <c r="J552" s="260">
        <v>1005255948</v>
      </c>
      <c r="K552" s="415">
        <v>45154</v>
      </c>
      <c r="L552" s="421">
        <v>1005306462</v>
      </c>
      <c r="M552" s="421">
        <v>45204</v>
      </c>
      <c r="N552" s="421">
        <v>45294</v>
      </c>
      <c r="O552" s="421" t="s">
        <v>25</v>
      </c>
      <c r="P552" s="421" t="s">
        <v>25</v>
      </c>
      <c r="Q552" s="421" t="s">
        <v>25</v>
      </c>
      <c r="R552" s="421">
        <v>1005375263</v>
      </c>
      <c r="S552" s="415">
        <v>44929</v>
      </c>
      <c r="T552" s="421">
        <v>2.2599999999999998</v>
      </c>
      <c r="U552" s="421"/>
      <c r="V552" s="421"/>
      <c r="W552" s="421"/>
    </row>
    <row r="553" spans="1:23" ht="26.25" customHeight="1" x14ac:dyDescent="0.25">
      <c r="A553" s="44">
        <v>35</v>
      </c>
      <c r="B553" s="260" t="s">
        <v>3548</v>
      </c>
      <c r="C553" s="260" t="s">
        <v>3548</v>
      </c>
      <c r="D553" s="260" t="s">
        <v>372</v>
      </c>
      <c r="E553" s="422">
        <v>1</v>
      </c>
      <c r="F553" s="260">
        <v>20</v>
      </c>
      <c r="G553" s="260" t="s">
        <v>360</v>
      </c>
      <c r="H553" s="260" t="s">
        <v>3549</v>
      </c>
      <c r="I553" s="260" t="s">
        <v>287</v>
      </c>
      <c r="J553" s="260">
        <v>1005262276</v>
      </c>
      <c r="K553" s="415">
        <v>45162</v>
      </c>
      <c r="L553" s="421"/>
      <c r="M553" s="260"/>
      <c r="N553" s="260"/>
      <c r="O553" s="260" t="s">
        <v>25</v>
      </c>
      <c r="P553" s="260" t="s">
        <v>25</v>
      </c>
      <c r="Q553" s="260" t="s">
        <v>25</v>
      </c>
      <c r="R553" s="421"/>
      <c r="S553" s="415"/>
      <c r="T553" s="260"/>
      <c r="U553" s="260" t="s">
        <v>3550</v>
      </c>
      <c r="V553" s="260"/>
      <c r="W553" s="260"/>
    </row>
    <row r="554" spans="1:23" ht="26.25" customHeight="1" x14ac:dyDescent="0.25">
      <c r="A554" s="44">
        <v>36</v>
      </c>
      <c r="B554" s="260" t="s">
        <v>3584</v>
      </c>
      <c r="C554" s="260" t="s">
        <v>3584</v>
      </c>
      <c r="D554" s="260" t="s">
        <v>301</v>
      </c>
      <c r="E554" s="422">
        <v>1.6</v>
      </c>
      <c r="F554" s="260">
        <v>20</v>
      </c>
      <c r="G554" s="260" t="s">
        <v>360</v>
      </c>
      <c r="H554" s="260" t="s">
        <v>3585</v>
      </c>
      <c r="I554" s="260" t="s">
        <v>287</v>
      </c>
      <c r="J554" s="260">
        <v>1005305162</v>
      </c>
      <c r="K554" s="415">
        <v>45188</v>
      </c>
      <c r="L554" s="421"/>
      <c r="M554" s="260"/>
      <c r="N554" s="260"/>
      <c r="O554" s="260" t="s">
        <v>25</v>
      </c>
      <c r="P554" s="260" t="s">
        <v>25</v>
      </c>
      <c r="Q554" s="260" t="s">
        <v>25</v>
      </c>
      <c r="R554" s="421"/>
      <c r="S554" s="415"/>
      <c r="T554" s="260"/>
      <c r="U554" s="260" t="s">
        <v>3586</v>
      </c>
      <c r="V554" s="260"/>
      <c r="W554" s="260"/>
    </row>
    <row r="555" spans="1:23" ht="26.25" customHeight="1" x14ac:dyDescent="0.25">
      <c r="A555" s="240">
        <v>37</v>
      </c>
      <c r="B555" s="260" t="s">
        <v>3704</v>
      </c>
      <c r="C555" s="260" t="s">
        <v>3704</v>
      </c>
      <c r="D555" s="260" t="s">
        <v>318</v>
      </c>
      <c r="E555" s="422">
        <v>1.3280000000000001</v>
      </c>
      <c r="F555" s="260">
        <v>20</v>
      </c>
      <c r="G555" s="260" t="s">
        <v>360</v>
      </c>
      <c r="H555" s="260" t="s">
        <v>3705</v>
      </c>
      <c r="I555" s="260" t="s">
        <v>287</v>
      </c>
      <c r="J555" s="260">
        <v>1005273225</v>
      </c>
      <c r="K555" s="415">
        <v>45177</v>
      </c>
      <c r="L555" s="260"/>
      <c r="M555" s="260"/>
      <c r="N555" s="260"/>
      <c r="O555" s="260" t="s">
        <v>25</v>
      </c>
      <c r="P555" s="260" t="s">
        <v>25</v>
      </c>
      <c r="Q555" s="260" t="s">
        <v>25</v>
      </c>
      <c r="R555" s="421"/>
      <c r="S555" s="415"/>
      <c r="T555" s="260"/>
      <c r="U555" s="260" t="s">
        <v>3706</v>
      </c>
      <c r="V555" s="260"/>
      <c r="W555" s="260"/>
    </row>
    <row r="556" spans="1:23" ht="26.25" customHeight="1" x14ac:dyDescent="0.25">
      <c r="A556" s="240">
        <v>38</v>
      </c>
      <c r="B556" s="260" t="s">
        <v>3718</v>
      </c>
      <c r="C556" s="260" t="s">
        <v>3718</v>
      </c>
      <c r="D556" s="260" t="s">
        <v>372</v>
      </c>
      <c r="E556" s="422">
        <v>1.3</v>
      </c>
      <c r="F556" s="260">
        <v>20</v>
      </c>
      <c r="G556" s="260" t="s">
        <v>360</v>
      </c>
      <c r="H556" s="260" t="s">
        <v>3719</v>
      </c>
      <c r="I556" s="260" t="s">
        <v>287</v>
      </c>
      <c r="J556" s="260">
        <v>1005305159</v>
      </c>
      <c r="K556" s="415">
        <v>45188</v>
      </c>
      <c r="L556" s="260"/>
      <c r="M556" s="260"/>
      <c r="N556" s="260"/>
      <c r="O556" s="260" t="s">
        <v>25</v>
      </c>
      <c r="P556" s="260" t="s">
        <v>25</v>
      </c>
      <c r="Q556" s="260" t="s">
        <v>25</v>
      </c>
      <c r="R556" s="421"/>
      <c r="S556" s="415"/>
      <c r="T556" s="260"/>
      <c r="U556" s="260" t="s">
        <v>3720</v>
      </c>
      <c r="V556" s="260"/>
      <c r="W556" s="260"/>
    </row>
    <row r="557" spans="1:23" ht="26.25" customHeight="1" x14ac:dyDescent="0.25">
      <c r="A557" s="240">
        <v>39</v>
      </c>
      <c r="B557" s="260" t="s">
        <v>3721</v>
      </c>
      <c r="C557" s="260" t="s">
        <v>3721</v>
      </c>
      <c r="D557" s="260" t="s">
        <v>290</v>
      </c>
      <c r="E557" s="422">
        <v>1.46</v>
      </c>
      <c r="F557" s="260">
        <v>20</v>
      </c>
      <c r="G557" s="260" t="s">
        <v>360</v>
      </c>
      <c r="H557" s="260" t="s">
        <v>3722</v>
      </c>
      <c r="I557" s="260" t="s">
        <v>287</v>
      </c>
      <c r="J557" s="421">
        <v>1005115918</v>
      </c>
      <c r="K557" s="415">
        <v>44939</v>
      </c>
      <c r="L557" s="260">
        <v>1005172992</v>
      </c>
      <c r="M557" s="415">
        <v>45022</v>
      </c>
      <c r="N557" s="260"/>
      <c r="O557" s="260" t="s">
        <v>25</v>
      </c>
      <c r="P557" s="260" t="s">
        <v>25</v>
      </c>
      <c r="Q557" s="260" t="s">
        <v>25</v>
      </c>
      <c r="R557" s="421">
        <v>1005325789</v>
      </c>
      <c r="S557" s="415">
        <v>45218</v>
      </c>
      <c r="T557" s="260"/>
      <c r="U557" s="260" t="s">
        <v>3723</v>
      </c>
      <c r="V557" s="260"/>
      <c r="W557" s="260"/>
    </row>
    <row r="558" spans="1:23" ht="26.25" customHeight="1" x14ac:dyDescent="0.25">
      <c r="A558" s="240">
        <v>40</v>
      </c>
      <c r="B558" s="260" t="s">
        <v>3859</v>
      </c>
      <c r="C558" s="260" t="s">
        <v>3859</v>
      </c>
      <c r="D558" s="260" t="s">
        <v>301</v>
      </c>
      <c r="E558" s="422">
        <v>1.2</v>
      </c>
      <c r="F558" s="260">
        <v>20</v>
      </c>
      <c r="G558" s="260" t="s">
        <v>360</v>
      </c>
      <c r="H558" s="260" t="s">
        <v>357</v>
      </c>
      <c r="I558" s="260" t="s">
        <v>287</v>
      </c>
      <c r="J558" s="260">
        <v>1005339230</v>
      </c>
      <c r="K558" s="415">
        <v>45238</v>
      </c>
      <c r="L558" s="260"/>
      <c r="M558" s="260"/>
      <c r="N558" s="260"/>
      <c r="O558" s="260" t="s">
        <v>25</v>
      </c>
      <c r="P558" s="260" t="s">
        <v>25</v>
      </c>
      <c r="Q558" s="260" t="s">
        <v>25</v>
      </c>
      <c r="R558" s="421"/>
      <c r="S558" s="415"/>
      <c r="T558" s="260"/>
      <c r="U558" s="260" t="s">
        <v>3860</v>
      </c>
      <c r="V558" s="260"/>
      <c r="W558" s="260"/>
    </row>
    <row r="559" spans="1:23" ht="26.25" customHeight="1" x14ac:dyDescent="0.25">
      <c r="A559" s="240">
        <v>41</v>
      </c>
      <c r="B559" s="260" t="s">
        <v>4287</v>
      </c>
      <c r="C559" s="260" t="s">
        <v>4287</v>
      </c>
      <c r="D559" s="260" t="s">
        <v>290</v>
      </c>
      <c r="E559" s="422">
        <v>1.69</v>
      </c>
      <c r="F559" s="260">
        <v>6</v>
      </c>
      <c r="G559" s="260" t="s">
        <v>360</v>
      </c>
      <c r="H559" s="260" t="s">
        <v>4288</v>
      </c>
      <c r="I559" s="260" t="s">
        <v>287</v>
      </c>
      <c r="J559" s="260">
        <v>1005389524</v>
      </c>
      <c r="K559" s="415">
        <v>45303</v>
      </c>
      <c r="L559" s="260"/>
      <c r="M559" s="260"/>
      <c r="N559" s="260"/>
      <c r="O559" s="260" t="s">
        <v>25</v>
      </c>
      <c r="P559" s="260" t="s">
        <v>25</v>
      </c>
      <c r="Q559" s="260" t="s">
        <v>25</v>
      </c>
      <c r="R559" s="421"/>
      <c r="S559" s="415"/>
      <c r="T559" s="260"/>
      <c r="U559" s="260" t="s">
        <v>4289</v>
      </c>
      <c r="V559" s="260"/>
      <c r="W559" s="260"/>
    </row>
    <row r="560" spans="1:23" ht="26.25" customHeight="1" x14ac:dyDescent="0.25">
      <c r="A560" s="240">
        <v>42</v>
      </c>
      <c r="B560" s="260" t="s">
        <v>4290</v>
      </c>
      <c r="C560" s="260" t="s">
        <v>4291</v>
      </c>
      <c r="D560" s="260" t="s">
        <v>372</v>
      </c>
      <c r="E560" s="422">
        <v>1.05</v>
      </c>
      <c r="F560" s="260">
        <v>20</v>
      </c>
      <c r="G560" s="260" t="s">
        <v>360</v>
      </c>
      <c r="H560" s="260" t="s">
        <v>4292</v>
      </c>
      <c r="I560" s="260" t="s">
        <v>287</v>
      </c>
      <c r="J560" s="260">
        <v>1005399101</v>
      </c>
      <c r="K560" s="415">
        <v>45309</v>
      </c>
      <c r="L560" s="260"/>
      <c r="M560" s="260"/>
      <c r="N560" s="260"/>
      <c r="O560" s="260" t="s">
        <v>25</v>
      </c>
      <c r="P560" s="260" t="s">
        <v>25</v>
      </c>
      <c r="Q560" s="260" t="s">
        <v>25</v>
      </c>
      <c r="R560" s="421"/>
      <c r="S560" s="415"/>
      <c r="T560" s="260"/>
      <c r="U560" s="260" t="s">
        <v>4293</v>
      </c>
      <c r="V560" s="260"/>
      <c r="W560" s="260"/>
    </row>
    <row r="561" spans="1:23" ht="26.25" customHeight="1" x14ac:dyDescent="0.25">
      <c r="A561" s="240">
        <v>43</v>
      </c>
      <c r="B561" s="260" t="s">
        <v>4294</v>
      </c>
      <c r="C561" s="260" t="s">
        <v>4295</v>
      </c>
      <c r="D561" s="260" t="s">
        <v>296</v>
      </c>
      <c r="E561" s="422">
        <v>2.0299999999999998</v>
      </c>
      <c r="F561" s="260">
        <v>20</v>
      </c>
      <c r="G561" s="260" t="s">
        <v>360</v>
      </c>
      <c r="H561" s="260" t="s">
        <v>4296</v>
      </c>
      <c r="I561" s="260" t="s">
        <v>287</v>
      </c>
      <c r="J561" s="260">
        <v>1005404013</v>
      </c>
      <c r="K561" s="415">
        <v>45317</v>
      </c>
      <c r="L561" s="260"/>
      <c r="M561" s="260"/>
      <c r="N561" s="260"/>
      <c r="O561" s="260" t="s">
        <v>25</v>
      </c>
      <c r="P561" s="260" t="s">
        <v>25</v>
      </c>
      <c r="Q561" s="260" t="s">
        <v>25</v>
      </c>
      <c r="R561" s="421"/>
      <c r="S561" s="415"/>
      <c r="T561" s="260"/>
      <c r="U561" s="260"/>
      <c r="V561" s="260"/>
      <c r="W561" s="260"/>
    </row>
    <row r="562" spans="1:23" ht="26.25" customHeight="1" x14ac:dyDescent="0.25">
      <c r="A562" s="240">
        <v>44</v>
      </c>
      <c r="B562" s="260" t="s">
        <v>4297</v>
      </c>
      <c r="C562" s="260" t="s">
        <v>4298</v>
      </c>
      <c r="D562" s="260" t="s">
        <v>372</v>
      </c>
      <c r="E562" s="422">
        <v>1.34</v>
      </c>
      <c r="F562" s="260">
        <v>20</v>
      </c>
      <c r="G562" s="260" t="s">
        <v>360</v>
      </c>
      <c r="H562" s="260" t="s">
        <v>4299</v>
      </c>
      <c r="I562" s="260" t="s">
        <v>287</v>
      </c>
      <c r="J562" s="260">
        <v>1005411423</v>
      </c>
      <c r="K562" s="415">
        <v>45335</v>
      </c>
      <c r="L562" s="260"/>
      <c r="M562" s="260"/>
      <c r="N562" s="260"/>
      <c r="O562" s="260" t="s">
        <v>25</v>
      </c>
      <c r="P562" s="260" t="s">
        <v>25</v>
      </c>
      <c r="Q562" s="260" t="s">
        <v>25</v>
      </c>
      <c r="R562" s="421"/>
      <c r="S562" s="415"/>
      <c r="T562" s="260"/>
      <c r="U562" s="260"/>
      <c r="V562" s="260"/>
      <c r="W562" s="260"/>
    </row>
    <row r="563" spans="1:23" ht="26.25" customHeight="1" x14ac:dyDescent="0.25">
      <c r="A563" s="240">
        <v>45</v>
      </c>
      <c r="B563" s="260" t="s">
        <v>4851</v>
      </c>
      <c r="C563" s="260" t="s">
        <v>4852</v>
      </c>
      <c r="D563" s="260" t="s">
        <v>372</v>
      </c>
      <c r="E563" s="260">
        <v>1.28</v>
      </c>
      <c r="F563" s="260">
        <v>20</v>
      </c>
      <c r="G563" s="260" t="s">
        <v>360</v>
      </c>
      <c r="H563" s="260" t="s">
        <v>4853</v>
      </c>
      <c r="I563" s="260" t="s">
        <v>287</v>
      </c>
      <c r="J563" s="260">
        <v>1005637924</v>
      </c>
      <c r="K563" s="423">
        <v>16042024</v>
      </c>
      <c r="L563" s="260"/>
      <c r="M563" s="260"/>
      <c r="N563" s="260"/>
      <c r="O563" s="260"/>
      <c r="P563" s="260"/>
      <c r="Q563" s="260"/>
      <c r="R563" s="421"/>
      <c r="S563" s="415"/>
      <c r="T563" s="260"/>
      <c r="U563" s="260"/>
      <c r="V563" s="260"/>
      <c r="W563" s="260"/>
    </row>
    <row r="564" spans="1:23" ht="26.25" customHeight="1" x14ac:dyDescent="0.25">
      <c r="A564" s="240">
        <v>46</v>
      </c>
      <c r="B564" s="260" t="s">
        <v>4854</v>
      </c>
      <c r="C564" s="260" t="s">
        <v>4855</v>
      </c>
      <c r="D564" s="260" t="s">
        <v>301</v>
      </c>
      <c r="E564" s="260" t="s">
        <v>4856</v>
      </c>
      <c r="F564" s="260">
        <v>20</v>
      </c>
      <c r="G564" s="260" t="s">
        <v>360</v>
      </c>
      <c r="H564" s="260" t="s">
        <v>4857</v>
      </c>
      <c r="I564" s="260" t="s">
        <v>287</v>
      </c>
      <c r="J564" s="260">
        <v>1005638149</v>
      </c>
      <c r="K564" s="260" t="s">
        <v>4858</v>
      </c>
      <c r="L564" s="260"/>
      <c r="M564" s="260"/>
      <c r="N564" s="260"/>
      <c r="O564" s="260"/>
      <c r="P564" s="260"/>
      <c r="Q564" s="260"/>
      <c r="R564" s="421"/>
      <c r="S564" s="415"/>
      <c r="T564" s="260"/>
      <c r="U564" s="260"/>
      <c r="V564" s="260"/>
      <c r="W564" s="260"/>
    </row>
    <row r="565" spans="1:23" ht="26.25" customHeight="1" x14ac:dyDescent="0.25">
      <c r="A565" s="240">
        <v>47</v>
      </c>
      <c r="B565" s="260" t="s">
        <v>4859</v>
      </c>
      <c r="C565" s="260" t="s">
        <v>4860</v>
      </c>
      <c r="D565" s="260" t="s">
        <v>301</v>
      </c>
      <c r="E565" s="422">
        <v>1.19</v>
      </c>
      <c r="F565" s="260">
        <v>20</v>
      </c>
      <c r="G565" s="260" t="s">
        <v>360</v>
      </c>
      <c r="H565" s="260" t="s">
        <v>4861</v>
      </c>
      <c r="I565" s="260" t="s">
        <v>287</v>
      </c>
      <c r="J565" s="260">
        <v>1005649552</v>
      </c>
      <c r="K565" s="415">
        <v>45405</v>
      </c>
      <c r="L565" s="260"/>
      <c r="M565" s="260"/>
      <c r="N565" s="260"/>
      <c r="O565" s="260"/>
      <c r="P565" s="260"/>
      <c r="Q565" s="260"/>
      <c r="R565" s="421"/>
      <c r="S565" s="415"/>
      <c r="T565" s="260"/>
      <c r="U565" s="260"/>
      <c r="V565" s="260"/>
      <c r="W565" s="260"/>
    </row>
    <row r="566" spans="1:23" ht="26.25" customHeight="1" x14ac:dyDescent="0.25">
      <c r="A566" s="240">
        <v>48</v>
      </c>
      <c r="B566" s="260" t="s">
        <v>4287</v>
      </c>
      <c r="C566" s="260" t="s">
        <v>4932</v>
      </c>
      <c r="D566" s="260" t="s">
        <v>290</v>
      </c>
      <c r="E566" s="422">
        <v>1.67</v>
      </c>
      <c r="F566" s="260">
        <v>20</v>
      </c>
      <c r="G566" s="260" t="s">
        <v>360</v>
      </c>
      <c r="H566" s="260" t="s">
        <v>4933</v>
      </c>
      <c r="I566" s="260" t="s">
        <v>287</v>
      </c>
      <c r="J566" s="260">
        <v>1005670462</v>
      </c>
      <c r="K566" s="415">
        <v>45441</v>
      </c>
      <c r="L566" s="260"/>
      <c r="M566" s="260"/>
      <c r="N566" s="260"/>
      <c r="O566" s="260" t="s">
        <v>25</v>
      </c>
      <c r="P566" s="260" t="s">
        <v>25</v>
      </c>
      <c r="Q566" s="260" t="s">
        <v>25</v>
      </c>
      <c r="R566" s="421"/>
      <c r="S566" s="415"/>
      <c r="T566" s="260"/>
      <c r="U566" s="260" t="s">
        <v>4934</v>
      </c>
      <c r="V566" s="260"/>
      <c r="W566" s="260"/>
    </row>
    <row r="567" spans="1:23" ht="26.25" customHeight="1" x14ac:dyDescent="0.25">
      <c r="A567" s="240">
        <v>49</v>
      </c>
      <c r="B567" s="260" t="s">
        <v>4935</v>
      </c>
      <c r="C567" s="260" t="s">
        <v>4936</v>
      </c>
      <c r="D567" s="260" t="s">
        <v>301</v>
      </c>
      <c r="E567" s="422">
        <v>2.02</v>
      </c>
      <c r="F567" s="260">
        <v>20</v>
      </c>
      <c r="G567" s="260" t="s">
        <v>360</v>
      </c>
      <c r="H567" s="260" t="s">
        <v>4937</v>
      </c>
      <c r="I567" s="260" t="s">
        <v>287</v>
      </c>
      <c r="J567" s="260">
        <v>1005666141</v>
      </c>
      <c r="K567" s="415">
        <v>45434</v>
      </c>
      <c r="L567" s="260"/>
      <c r="M567" s="260"/>
      <c r="N567" s="260"/>
      <c r="O567" s="260" t="s">
        <v>25</v>
      </c>
      <c r="P567" s="260" t="s">
        <v>25</v>
      </c>
      <c r="Q567" s="260" t="s">
        <v>25</v>
      </c>
      <c r="R567" s="421"/>
      <c r="S567" s="415"/>
      <c r="T567" s="260"/>
      <c r="U567" s="260" t="s">
        <v>4938</v>
      </c>
      <c r="V567" s="260"/>
      <c r="W567" s="260"/>
    </row>
    <row r="568" spans="1:23" ht="26.25" customHeight="1" x14ac:dyDescent="0.25">
      <c r="A568" s="240">
        <v>50</v>
      </c>
      <c r="B568" s="260" t="s">
        <v>4939</v>
      </c>
      <c r="C568" s="260" t="s">
        <v>135</v>
      </c>
      <c r="D568" s="260" t="s">
        <v>290</v>
      </c>
      <c r="E568" s="260">
        <v>2.4</v>
      </c>
      <c r="F568" s="260">
        <v>20</v>
      </c>
      <c r="G568" s="260" t="s">
        <v>360</v>
      </c>
      <c r="H568" s="260" t="s">
        <v>3722</v>
      </c>
      <c r="I568" s="260" t="s">
        <v>287</v>
      </c>
      <c r="J568" s="260">
        <v>1005669244</v>
      </c>
      <c r="K568" s="415">
        <v>45440</v>
      </c>
      <c r="L568" s="260"/>
      <c r="M568" s="260"/>
      <c r="N568" s="260"/>
      <c r="O568" s="260" t="s">
        <v>25</v>
      </c>
      <c r="P568" s="260" t="s">
        <v>25</v>
      </c>
      <c r="Q568" s="260" t="s">
        <v>25</v>
      </c>
      <c r="R568" s="421"/>
      <c r="S568" s="415"/>
      <c r="T568" s="260"/>
      <c r="U568" s="260" t="s">
        <v>4934</v>
      </c>
      <c r="V568" s="260"/>
      <c r="W568" s="260"/>
    </row>
    <row r="569" spans="1:23" ht="26.25" customHeight="1" x14ac:dyDescent="0.25">
      <c r="A569" s="240">
        <v>51</v>
      </c>
      <c r="B569" s="260" t="s">
        <v>393</v>
      </c>
      <c r="C569" s="260" t="s">
        <v>5235</v>
      </c>
      <c r="D569" s="260" t="s">
        <v>372</v>
      </c>
      <c r="E569" s="260">
        <v>1.4</v>
      </c>
      <c r="F569" s="260">
        <v>20</v>
      </c>
      <c r="G569" s="260" t="s">
        <v>360</v>
      </c>
      <c r="H569" s="260" t="s">
        <v>5236</v>
      </c>
      <c r="I569" s="260" t="s">
        <v>287</v>
      </c>
      <c r="J569" s="260">
        <v>1005698252</v>
      </c>
      <c r="K569" s="415">
        <v>45477</v>
      </c>
      <c r="L569" s="260"/>
      <c r="M569" s="260"/>
      <c r="N569" s="260"/>
      <c r="O569" s="260" t="s">
        <v>25</v>
      </c>
      <c r="P569" s="260" t="s">
        <v>25</v>
      </c>
      <c r="Q569" s="260" t="s">
        <v>25</v>
      </c>
      <c r="R569" s="421"/>
      <c r="S569" s="415"/>
      <c r="T569" s="260"/>
      <c r="U569" s="260" t="s">
        <v>5237</v>
      </c>
      <c r="V569" s="260"/>
      <c r="W569" s="260"/>
    </row>
    <row r="570" spans="1:23" ht="26.25" customHeight="1" x14ac:dyDescent="0.25">
      <c r="A570" s="240">
        <v>52</v>
      </c>
      <c r="B570" s="260" t="s">
        <v>368</v>
      </c>
      <c r="C570" s="260" t="s">
        <v>5565</v>
      </c>
      <c r="D570" s="260" t="s">
        <v>301</v>
      </c>
      <c r="E570" s="260">
        <v>2.5</v>
      </c>
      <c r="F570" s="260">
        <v>20</v>
      </c>
      <c r="G570" s="260" t="s">
        <v>360</v>
      </c>
      <c r="H570" s="260" t="s">
        <v>5566</v>
      </c>
      <c r="I570" s="260" t="s">
        <v>287</v>
      </c>
      <c r="J570" s="260">
        <v>1005723527</v>
      </c>
      <c r="K570" s="415">
        <v>45505</v>
      </c>
      <c r="L570" s="260"/>
      <c r="M570" s="260"/>
      <c r="N570" s="260"/>
      <c r="O570" s="260" t="s">
        <v>25</v>
      </c>
      <c r="P570" s="260" t="s">
        <v>25</v>
      </c>
      <c r="Q570" s="260" t="s">
        <v>25</v>
      </c>
      <c r="R570" s="421"/>
      <c r="S570" s="415"/>
      <c r="T570" s="260"/>
      <c r="U570" s="260"/>
      <c r="V570" s="260"/>
      <c r="W570" s="260"/>
    </row>
    <row r="571" spans="1:23" ht="26.25" customHeight="1" x14ac:dyDescent="0.25">
      <c r="A571" s="240">
        <v>53</v>
      </c>
      <c r="B571" s="260" t="s">
        <v>5687</v>
      </c>
      <c r="C571" s="260" t="s">
        <v>5688</v>
      </c>
      <c r="D571" s="260" t="s">
        <v>372</v>
      </c>
      <c r="E571" s="260">
        <v>2.2400000000000002</v>
      </c>
      <c r="F571" s="260">
        <v>20</v>
      </c>
      <c r="G571" s="260" t="s">
        <v>360</v>
      </c>
      <c r="H571" s="260" t="s">
        <v>5689</v>
      </c>
      <c r="I571" s="260" t="s">
        <v>287</v>
      </c>
      <c r="J571" s="260">
        <v>1005761168</v>
      </c>
      <c r="K571" s="415">
        <v>45555</v>
      </c>
      <c r="L571" s="260"/>
      <c r="M571" s="260"/>
      <c r="N571" s="260"/>
      <c r="O571" s="260" t="s">
        <v>25</v>
      </c>
      <c r="P571" s="260" t="s">
        <v>25</v>
      </c>
      <c r="Q571" s="260" t="s">
        <v>25</v>
      </c>
      <c r="R571" s="260"/>
      <c r="S571" s="260"/>
      <c r="T571" s="260"/>
      <c r="U571" s="260" t="s">
        <v>5690</v>
      </c>
      <c r="V571" s="260"/>
      <c r="W571" s="260"/>
    </row>
    <row r="572" spans="1:23" ht="26.25" customHeight="1" x14ac:dyDescent="0.25">
      <c r="A572" s="240">
        <v>54</v>
      </c>
      <c r="B572" s="260" t="s">
        <v>1196</v>
      </c>
      <c r="C572" s="260" t="s">
        <v>5691</v>
      </c>
      <c r="D572" s="260" t="s">
        <v>290</v>
      </c>
      <c r="E572" s="260">
        <v>1.1000000000000001</v>
      </c>
      <c r="F572" s="260">
        <v>21</v>
      </c>
      <c r="G572" s="260" t="s">
        <v>360</v>
      </c>
      <c r="H572" s="260" t="s">
        <v>5692</v>
      </c>
      <c r="I572" s="260" t="s">
        <v>287</v>
      </c>
      <c r="J572" s="260">
        <v>1005745585</v>
      </c>
      <c r="K572" s="415">
        <v>45538</v>
      </c>
      <c r="L572" s="260"/>
      <c r="M572" s="260"/>
      <c r="N572" s="260"/>
      <c r="O572" s="260" t="s">
        <v>25</v>
      </c>
      <c r="P572" s="260" t="s">
        <v>25</v>
      </c>
      <c r="Q572" s="260" t="s">
        <v>25</v>
      </c>
      <c r="R572" s="260"/>
      <c r="S572" s="260"/>
      <c r="T572" s="260"/>
      <c r="U572" s="260"/>
      <c r="V572" s="260"/>
      <c r="W572" s="260"/>
    </row>
    <row r="574" spans="1:23" ht="25.5" x14ac:dyDescent="0.25">
      <c r="A574" s="98">
        <v>1</v>
      </c>
      <c r="B574" s="98"/>
      <c r="C574" s="98" t="s">
        <v>642</v>
      </c>
      <c r="D574" s="98" t="s">
        <v>2650</v>
      </c>
      <c r="E574" s="324">
        <v>1</v>
      </c>
      <c r="F574" s="98">
        <v>20</v>
      </c>
      <c r="G574" s="98"/>
      <c r="H574" s="98" t="s">
        <v>643</v>
      </c>
      <c r="I574" s="98" t="s">
        <v>419</v>
      </c>
      <c r="J574" s="98">
        <v>1200056434</v>
      </c>
      <c r="K574" s="99">
        <v>43900</v>
      </c>
      <c r="L574" s="98">
        <v>3100116749</v>
      </c>
      <c r="M574" s="99">
        <v>43908</v>
      </c>
      <c r="N574" s="99">
        <v>44140</v>
      </c>
      <c r="O574" s="98" t="s">
        <v>25</v>
      </c>
      <c r="P574" s="98" t="s">
        <v>25</v>
      </c>
      <c r="Q574" s="98" t="s">
        <v>25</v>
      </c>
      <c r="R574" s="721">
        <v>8600064956</v>
      </c>
      <c r="S574" s="99">
        <v>44140</v>
      </c>
      <c r="T574" s="324">
        <f>E574</f>
        <v>1</v>
      </c>
      <c r="U574" s="98"/>
      <c r="V574" s="324">
        <f>T574</f>
        <v>1</v>
      </c>
      <c r="W574" s="98"/>
    </row>
    <row r="575" spans="1:23" ht="25.5" x14ac:dyDescent="0.25">
      <c r="A575" s="98">
        <f>A574+1</f>
        <v>2</v>
      </c>
      <c r="B575" s="98"/>
      <c r="C575" s="98" t="s">
        <v>644</v>
      </c>
      <c r="D575" s="98" t="s">
        <v>2650</v>
      </c>
      <c r="E575" s="324">
        <v>1.5</v>
      </c>
      <c r="F575" s="98">
        <v>20</v>
      </c>
      <c r="G575" s="98"/>
      <c r="H575" s="98" t="s">
        <v>645</v>
      </c>
      <c r="I575" s="98" t="s">
        <v>419</v>
      </c>
      <c r="J575" s="98">
        <v>1200056494</v>
      </c>
      <c r="K575" s="99">
        <v>43909</v>
      </c>
      <c r="L575" s="98"/>
      <c r="M575" s="99"/>
      <c r="N575" s="99">
        <v>44175</v>
      </c>
      <c r="O575" s="98"/>
      <c r="P575" s="98"/>
      <c r="Q575" s="98"/>
      <c r="R575" s="721">
        <v>8600065388</v>
      </c>
      <c r="S575" s="99">
        <v>44175</v>
      </c>
      <c r="T575" s="324">
        <f>E575</f>
        <v>1.5</v>
      </c>
      <c r="U575" s="98"/>
      <c r="V575" s="324">
        <f>T575</f>
        <v>1.5</v>
      </c>
      <c r="W575" s="98"/>
    </row>
    <row r="576" spans="1:23" ht="25.5" x14ac:dyDescent="0.25">
      <c r="A576" s="98">
        <f t="shared" ref="A576:A639" si="6">A575+1</f>
        <v>3</v>
      </c>
      <c r="B576" s="98"/>
      <c r="C576" s="98" t="s">
        <v>646</v>
      </c>
      <c r="D576" s="98" t="s">
        <v>1250</v>
      </c>
      <c r="E576" s="324">
        <v>1.72</v>
      </c>
      <c r="F576" s="98">
        <v>20</v>
      </c>
      <c r="G576" s="98"/>
      <c r="H576" s="98" t="s">
        <v>647</v>
      </c>
      <c r="I576" s="98" t="s">
        <v>419</v>
      </c>
      <c r="J576" s="98">
        <v>1200060047</v>
      </c>
      <c r="K576" s="99">
        <v>44155</v>
      </c>
      <c r="L576" s="98">
        <v>3200073794</v>
      </c>
      <c r="M576" s="325">
        <v>44161</v>
      </c>
      <c r="N576" s="99"/>
      <c r="O576" s="98"/>
      <c r="P576" s="98"/>
      <c r="Q576" s="98"/>
      <c r="R576" s="721"/>
      <c r="S576" s="99"/>
      <c r="T576" s="324"/>
      <c r="U576" s="98"/>
      <c r="V576" s="98"/>
      <c r="W576" s="324">
        <v>1.72</v>
      </c>
    </row>
    <row r="577" spans="1:23" ht="38.25" x14ac:dyDescent="0.25">
      <c r="A577" s="98">
        <f t="shared" si="6"/>
        <v>4</v>
      </c>
      <c r="B577" s="98"/>
      <c r="C577" s="98" t="s">
        <v>648</v>
      </c>
      <c r="D577" s="98" t="s">
        <v>2643</v>
      </c>
      <c r="E577" s="324">
        <v>3</v>
      </c>
      <c r="F577" s="98">
        <v>20</v>
      </c>
      <c r="G577" s="98"/>
      <c r="H577" s="98" t="s">
        <v>649</v>
      </c>
      <c r="I577" s="98" t="s">
        <v>419</v>
      </c>
      <c r="J577" s="98">
        <v>1200063155</v>
      </c>
      <c r="K577" s="99">
        <v>44377</v>
      </c>
      <c r="L577" s="98"/>
      <c r="M577" s="99"/>
      <c r="N577" s="99">
        <v>44390</v>
      </c>
      <c r="O577" s="98"/>
      <c r="P577" s="98"/>
      <c r="Q577" s="98"/>
      <c r="R577" s="721">
        <v>8600067991</v>
      </c>
      <c r="S577" s="99">
        <v>44390</v>
      </c>
      <c r="T577" s="324">
        <f t="shared" ref="T577:T581" si="7">E577</f>
        <v>3</v>
      </c>
      <c r="U577" s="98"/>
      <c r="V577" s="324">
        <f t="shared" ref="V577:V581" si="8">T577</f>
        <v>3</v>
      </c>
      <c r="W577" s="98"/>
    </row>
    <row r="578" spans="1:23" ht="25.5" x14ac:dyDescent="0.25">
      <c r="A578" s="98">
        <f t="shared" si="6"/>
        <v>5</v>
      </c>
      <c r="B578" s="98"/>
      <c r="C578" s="98" t="s">
        <v>650</v>
      </c>
      <c r="D578" s="98" t="s">
        <v>2625</v>
      </c>
      <c r="E578" s="324">
        <v>180</v>
      </c>
      <c r="F578" s="98">
        <v>110</v>
      </c>
      <c r="G578" s="98"/>
      <c r="H578" s="98" t="s">
        <v>651</v>
      </c>
      <c r="I578" s="98" t="s">
        <v>419</v>
      </c>
      <c r="J578" s="98">
        <v>1200050555</v>
      </c>
      <c r="K578" s="99">
        <v>43482</v>
      </c>
      <c r="L578" s="98">
        <v>3100097494</v>
      </c>
      <c r="M578" s="99">
        <v>43508</v>
      </c>
      <c r="N578" s="99">
        <v>43805</v>
      </c>
      <c r="O578" s="98"/>
      <c r="P578" s="98"/>
      <c r="Q578" s="98"/>
      <c r="R578" s="721">
        <v>8600056633</v>
      </c>
      <c r="S578" s="99">
        <v>43805</v>
      </c>
      <c r="T578" s="324">
        <f t="shared" si="7"/>
        <v>180</v>
      </c>
      <c r="U578" s="98"/>
      <c r="V578" s="324">
        <f t="shared" si="8"/>
        <v>180</v>
      </c>
      <c r="W578" s="98"/>
    </row>
    <row r="579" spans="1:23" ht="51" x14ac:dyDescent="0.25">
      <c r="A579" s="98">
        <f t="shared" si="6"/>
        <v>6</v>
      </c>
      <c r="B579" s="98"/>
      <c r="C579" s="98" t="s">
        <v>652</v>
      </c>
      <c r="D579" s="98" t="s">
        <v>1250</v>
      </c>
      <c r="E579" s="324">
        <v>2.0649999999999999</v>
      </c>
      <c r="F579" s="98">
        <v>20</v>
      </c>
      <c r="G579" s="98"/>
      <c r="H579" s="98" t="s">
        <v>653</v>
      </c>
      <c r="I579" s="98" t="s">
        <v>419</v>
      </c>
      <c r="J579" s="98">
        <v>1200054268</v>
      </c>
      <c r="K579" s="99">
        <v>43763</v>
      </c>
      <c r="L579" s="98">
        <v>3200058773</v>
      </c>
      <c r="M579" s="99">
        <v>43770</v>
      </c>
      <c r="N579" s="99">
        <v>43874</v>
      </c>
      <c r="O579" s="98"/>
      <c r="P579" s="98"/>
      <c r="Q579" s="98"/>
      <c r="R579" s="721">
        <v>8600058142</v>
      </c>
      <c r="S579" s="99">
        <v>43874</v>
      </c>
      <c r="T579" s="324">
        <f t="shared" si="7"/>
        <v>2.0649999999999999</v>
      </c>
      <c r="U579" s="98"/>
      <c r="V579" s="324">
        <f t="shared" si="8"/>
        <v>2.0649999999999999</v>
      </c>
      <c r="W579" s="98"/>
    </row>
    <row r="580" spans="1:23" ht="25.5" x14ac:dyDescent="0.25">
      <c r="A580" s="98">
        <f t="shared" si="6"/>
        <v>7</v>
      </c>
      <c r="B580" s="98"/>
      <c r="C580" s="98" t="s">
        <v>654</v>
      </c>
      <c r="D580" s="98" t="s">
        <v>1250</v>
      </c>
      <c r="E580" s="324">
        <v>2</v>
      </c>
      <c r="F580" s="98">
        <v>20</v>
      </c>
      <c r="G580" s="98"/>
      <c r="H580" s="98" t="s">
        <v>655</v>
      </c>
      <c r="I580" s="98" t="s">
        <v>419</v>
      </c>
      <c r="J580" s="98">
        <v>1200054400</v>
      </c>
      <c r="K580" s="99">
        <v>43770</v>
      </c>
      <c r="L580" s="98">
        <v>3100110598</v>
      </c>
      <c r="M580" s="99">
        <v>43775</v>
      </c>
      <c r="N580" s="99">
        <v>43903</v>
      </c>
      <c r="O580" s="98"/>
      <c r="P580" s="98"/>
      <c r="Q580" s="98"/>
      <c r="R580" s="721">
        <v>8600058582</v>
      </c>
      <c r="S580" s="99">
        <v>43903</v>
      </c>
      <c r="T580" s="324">
        <f t="shared" si="7"/>
        <v>2</v>
      </c>
      <c r="U580" s="98"/>
      <c r="V580" s="324">
        <f t="shared" si="8"/>
        <v>2</v>
      </c>
      <c r="W580" s="98"/>
    </row>
    <row r="581" spans="1:23" ht="25.5" x14ac:dyDescent="0.25">
      <c r="A581" s="98">
        <f t="shared" si="6"/>
        <v>8</v>
      </c>
      <c r="B581" s="98"/>
      <c r="C581" s="98" t="s">
        <v>656</v>
      </c>
      <c r="D581" s="98" t="s">
        <v>1250</v>
      </c>
      <c r="E581" s="324">
        <v>1.6</v>
      </c>
      <c r="F581" s="98">
        <v>20</v>
      </c>
      <c r="G581" s="98"/>
      <c r="H581" s="98" t="s">
        <v>657</v>
      </c>
      <c r="I581" s="98" t="s">
        <v>419</v>
      </c>
      <c r="J581" s="98">
        <v>1200058863</v>
      </c>
      <c r="K581" s="99">
        <v>44078</v>
      </c>
      <c r="L581" s="98">
        <v>3200075549</v>
      </c>
      <c r="M581" s="99">
        <v>44272</v>
      </c>
      <c r="N581" s="99">
        <v>44480</v>
      </c>
      <c r="O581" s="98"/>
      <c r="P581" s="98"/>
      <c r="Q581" s="98"/>
      <c r="R581" s="721">
        <v>8600068923</v>
      </c>
      <c r="S581" s="99">
        <v>44480</v>
      </c>
      <c r="T581" s="324">
        <f t="shared" si="7"/>
        <v>1.6</v>
      </c>
      <c r="U581" s="98"/>
      <c r="V581" s="324">
        <f t="shared" si="8"/>
        <v>1.6</v>
      </c>
      <c r="W581" s="98"/>
    </row>
    <row r="582" spans="1:23" ht="25.5" x14ac:dyDescent="0.25">
      <c r="A582" s="98">
        <f t="shared" si="6"/>
        <v>9</v>
      </c>
      <c r="B582" s="98"/>
      <c r="C582" s="98" t="s">
        <v>658</v>
      </c>
      <c r="D582" s="98" t="s">
        <v>1250</v>
      </c>
      <c r="E582" s="324">
        <v>3.2</v>
      </c>
      <c r="F582" s="98">
        <v>20</v>
      </c>
      <c r="G582" s="98"/>
      <c r="H582" s="98" t="s">
        <v>659</v>
      </c>
      <c r="I582" s="98" t="s">
        <v>419</v>
      </c>
      <c r="J582" s="98">
        <v>1200065894</v>
      </c>
      <c r="K582" s="99">
        <v>44587</v>
      </c>
      <c r="L582" s="98">
        <v>3200078873</v>
      </c>
      <c r="M582" s="99">
        <v>44645</v>
      </c>
      <c r="N582" s="99">
        <v>44880</v>
      </c>
      <c r="O582" s="98"/>
      <c r="P582" s="98"/>
      <c r="Q582" s="98"/>
      <c r="R582" s="721">
        <v>8600073813</v>
      </c>
      <c r="S582" s="99">
        <v>44880</v>
      </c>
      <c r="T582" s="324">
        <v>3.2</v>
      </c>
      <c r="U582" s="98"/>
      <c r="V582" s="324">
        <f>T582</f>
        <v>3.2</v>
      </c>
      <c r="W582" s="324"/>
    </row>
    <row r="583" spans="1:23" ht="38.25" x14ac:dyDescent="0.25">
      <c r="A583" s="98">
        <f t="shared" si="6"/>
        <v>10</v>
      </c>
      <c r="B583" s="98"/>
      <c r="C583" s="98" t="s">
        <v>660</v>
      </c>
      <c r="D583" s="98" t="s">
        <v>779</v>
      </c>
      <c r="E583" s="324">
        <v>5.72</v>
      </c>
      <c r="F583" s="98">
        <v>20</v>
      </c>
      <c r="G583" s="98"/>
      <c r="H583" s="98" t="s">
        <v>661</v>
      </c>
      <c r="I583" s="98" t="s">
        <v>419</v>
      </c>
      <c r="J583" s="98">
        <v>1200051161</v>
      </c>
      <c r="K583" s="99">
        <v>43535</v>
      </c>
      <c r="L583" s="98">
        <v>3100099830</v>
      </c>
      <c r="M583" s="325">
        <v>43558</v>
      </c>
      <c r="N583" s="99"/>
      <c r="O583" s="98"/>
      <c r="P583" s="98"/>
      <c r="Q583" s="98"/>
      <c r="R583" s="721"/>
      <c r="S583" s="99"/>
      <c r="T583" s="324"/>
      <c r="U583" s="98"/>
      <c r="V583" s="98"/>
      <c r="W583" s="324">
        <v>5.72</v>
      </c>
    </row>
    <row r="584" spans="1:23" ht="38.25" x14ac:dyDescent="0.25">
      <c r="A584" s="98">
        <f t="shared" si="6"/>
        <v>11</v>
      </c>
      <c r="B584" s="98"/>
      <c r="C584" s="98" t="s">
        <v>662</v>
      </c>
      <c r="D584" s="98" t="s">
        <v>2625</v>
      </c>
      <c r="E584" s="324">
        <v>2.1</v>
      </c>
      <c r="F584" s="98">
        <v>20</v>
      </c>
      <c r="G584" s="98"/>
      <c r="H584" s="98" t="s">
        <v>663</v>
      </c>
      <c r="I584" s="98" t="s">
        <v>419</v>
      </c>
      <c r="J584" s="98">
        <v>1200052140</v>
      </c>
      <c r="K584" s="99">
        <v>43612</v>
      </c>
      <c r="L584" s="98">
        <v>3200054297</v>
      </c>
      <c r="M584" s="99">
        <v>43643</v>
      </c>
      <c r="N584" s="99">
        <v>43846</v>
      </c>
      <c r="O584" s="98"/>
      <c r="P584" s="98"/>
      <c r="Q584" s="98"/>
      <c r="R584" s="721">
        <v>8600057419</v>
      </c>
      <c r="S584" s="99">
        <v>43846</v>
      </c>
      <c r="T584" s="324">
        <f>E584</f>
        <v>2.1</v>
      </c>
      <c r="U584" s="98"/>
      <c r="V584" s="324">
        <f>T584</f>
        <v>2.1</v>
      </c>
      <c r="W584" s="98"/>
    </row>
    <row r="585" spans="1:23" ht="25.5" x14ac:dyDescent="0.25">
      <c r="A585" s="98">
        <f t="shared" si="6"/>
        <v>12</v>
      </c>
      <c r="B585" s="98"/>
      <c r="C585" s="98" t="s">
        <v>664</v>
      </c>
      <c r="D585" s="98" t="s">
        <v>779</v>
      </c>
      <c r="E585" s="324">
        <v>1.8</v>
      </c>
      <c r="F585" s="98">
        <v>20</v>
      </c>
      <c r="G585" s="98"/>
      <c r="H585" s="98" t="s">
        <v>665</v>
      </c>
      <c r="I585" s="98" t="s">
        <v>419</v>
      </c>
      <c r="J585" s="98">
        <v>1200064938</v>
      </c>
      <c r="K585" s="99">
        <v>44522</v>
      </c>
      <c r="L585" s="98">
        <v>3100153124</v>
      </c>
      <c r="M585" s="325">
        <v>44589</v>
      </c>
      <c r="N585" s="99">
        <v>44735</v>
      </c>
      <c r="O585" s="98"/>
      <c r="P585" s="98"/>
      <c r="Q585" s="98"/>
      <c r="R585" s="721">
        <v>8600072156</v>
      </c>
      <c r="S585" s="99">
        <v>44735</v>
      </c>
      <c r="T585" s="324">
        <v>1.8</v>
      </c>
      <c r="U585" s="98"/>
      <c r="V585" s="324">
        <f>T585</f>
        <v>1.8</v>
      </c>
      <c r="W585" s="324"/>
    </row>
    <row r="586" spans="1:23" ht="25.5" x14ac:dyDescent="0.25">
      <c r="A586" s="98">
        <f t="shared" si="6"/>
        <v>13</v>
      </c>
      <c r="B586" s="98"/>
      <c r="C586" s="98" t="s">
        <v>666</v>
      </c>
      <c r="D586" s="98" t="s">
        <v>2650</v>
      </c>
      <c r="E586" s="324">
        <v>1.85</v>
      </c>
      <c r="F586" s="98">
        <v>20</v>
      </c>
      <c r="G586" s="98"/>
      <c r="H586" s="98" t="s">
        <v>667</v>
      </c>
      <c r="I586" s="98" t="s">
        <v>419</v>
      </c>
      <c r="J586" s="98">
        <v>1200054275</v>
      </c>
      <c r="K586" s="99">
        <v>43763</v>
      </c>
      <c r="L586" s="98">
        <v>3100111511</v>
      </c>
      <c r="M586" s="325">
        <v>43794</v>
      </c>
      <c r="N586" s="99"/>
      <c r="O586" s="98"/>
      <c r="P586" s="98"/>
      <c r="Q586" s="98"/>
      <c r="R586" s="721"/>
      <c r="S586" s="99"/>
      <c r="T586" s="324"/>
      <c r="U586" s="98"/>
      <c r="V586" s="98"/>
      <c r="W586" s="324">
        <v>1.85</v>
      </c>
    </row>
    <row r="587" spans="1:23" ht="25.5" x14ac:dyDescent="0.25">
      <c r="A587" s="98">
        <f t="shared" si="6"/>
        <v>14</v>
      </c>
      <c r="B587" s="98"/>
      <c r="C587" s="98" t="s">
        <v>668</v>
      </c>
      <c r="D587" s="98" t="s">
        <v>2650</v>
      </c>
      <c r="E587" s="324">
        <v>1.1000000000000001</v>
      </c>
      <c r="F587" s="98">
        <v>20</v>
      </c>
      <c r="G587" s="98"/>
      <c r="H587" s="98" t="s">
        <v>669</v>
      </c>
      <c r="I587" s="98" t="s">
        <v>419</v>
      </c>
      <c r="J587" s="98">
        <v>1200064354</v>
      </c>
      <c r="K587" s="99">
        <v>44481</v>
      </c>
      <c r="L587" s="98">
        <v>3200077516</v>
      </c>
      <c r="M587" s="99">
        <v>44482</v>
      </c>
      <c r="N587" s="99">
        <v>44483</v>
      </c>
      <c r="O587" s="98"/>
      <c r="P587" s="98"/>
      <c r="Q587" s="98"/>
      <c r="R587" s="721">
        <v>8600068962</v>
      </c>
      <c r="S587" s="99">
        <v>44483</v>
      </c>
      <c r="T587" s="324">
        <f>E587</f>
        <v>1.1000000000000001</v>
      </c>
      <c r="U587" s="98"/>
      <c r="V587" s="324">
        <f>T587</f>
        <v>1.1000000000000001</v>
      </c>
      <c r="W587" s="98"/>
    </row>
    <row r="588" spans="1:23" ht="25.5" x14ac:dyDescent="0.25">
      <c r="A588" s="98">
        <f t="shared" si="6"/>
        <v>15</v>
      </c>
      <c r="B588" s="98"/>
      <c r="C588" s="98" t="s">
        <v>670</v>
      </c>
      <c r="D588" s="98" t="s">
        <v>2650</v>
      </c>
      <c r="E588" s="324">
        <v>1.3</v>
      </c>
      <c r="F588" s="98">
        <v>20</v>
      </c>
      <c r="G588" s="98"/>
      <c r="H588" s="98" t="s">
        <v>671</v>
      </c>
      <c r="I588" s="98" t="s">
        <v>419</v>
      </c>
      <c r="J588" s="98">
        <v>1200053650</v>
      </c>
      <c r="K588" s="99">
        <v>43724</v>
      </c>
      <c r="L588" s="98">
        <v>3200063959</v>
      </c>
      <c r="M588" s="325">
        <v>43971</v>
      </c>
      <c r="N588" s="99">
        <v>44508</v>
      </c>
      <c r="O588" s="98"/>
      <c r="P588" s="98"/>
      <c r="Q588" s="98"/>
      <c r="R588" s="721">
        <v>8600072530</v>
      </c>
      <c r="S588" s="99">
        <v>44770</v>
      </c>
      <c r="T588" s="324">
        <v>1.3</v>
      </c>
      <c r="U588" s="98"/>
      <c r="V588" s="324">
        <f t="shared" ref="V588:V589" si="9">T588</f>
        <v>1.3</v>
      </c>
      <c r="W588" s="324"/>
    </row>
    <row r="589" spans="1:23" ht="25.5" x14ac:dyDescent="0.25">
      <c r="A589" s="98">
        <f t="shared" si="6"/>
        <v>16</v>
      </c>
      <c r="B589" s="98"/>
      <c r="C589" s="98" t="s">
        <v>672</v>
      </c>
      <c r="D589" s="98" t="s">
        <v>2650</v>
      </c>
      <c r="E589" s="324">
        <v>3.15</v>
      </c>
      <c r="F589" s="98">
        <v>20</v>
      </c>
      <c r="G589" s="98"/>
      <c r="H589" s="98" t="s">
        <v>673</v>
      </c>
      <c r="I589" s="98" t="s">
        <v>419</v>
      </c>
      <c r="J589" s="98">
        <v>1200065439</v>
      </c>
      <c r="K589" s="99">
        <v>44557</v>
      </c>
      <c r="L589" s="98">
        <v>3200078166</v>
      </c>
      <c r="M589" s="325">
        <v>44603</v>
      </c>
      <c r="N589" s="99">
        <v>44852</v>
      </c>
      <c r="O589" s="98"/>
      <c r="P589" s="98"/>
      <c r="Q589" s="98"/>
      <c r="R589" s="721">
        <v>8600073649</v>
      </c>
      <c r="S589" s="99">
        <v>44865</v>
      </c>
      <c r="T589" s="324">
        <v>3.15</v>
      </c>
      <c r="U589" s="98"/>
      <c r="V589" s="324">
        <f t="shared" si="9"/>
        <v>3.15</v>
      </c>
      <c r="W589" s="324"/>
    </row>
    <row r="590" spans="1:23" ht="25.5" x14ac:dyDescent="0.25">
      <c r="A590" s="98">
        <f t="shared" si="6"/>
        <v>17</v>
      </c>
      <c r="B590" s="98"/>
      <c r="C590" s="98" t="s">
        <v>674</v>
      </c>
      <c r="D590" s="98" t="s">
        <v>2650</v>
      </c>
      <c r="E590" s="324">
        <v>1.2</v>
      </c>
      <c r="F590" s="98">
        <v>20</v>
      </c>
      <c r="G590" s="98"/>
      <c r="H590" s="98" t="s">
        <v>675</v>
      </c>
      <c r="I590" s="98" t="s">
        <v>419</v>
      </c>
      <c r="J590" s="98">
        <v>1200062040</v>
      </c>
      <c r="K590" s="99">
        <v>44300</v>
      </c>
      <c r="L590" s="98">
        <v>3200076118</v>
      </c>
      <c r="M590" s="325">
        <v>44334</v>
      </c>
      <c r="N590" s="99">
        <v>44449</v>
      </c>
      <c r="O590" s="98"/>
      <c r="P590" s="98"/>
      <c r="Q590" s="98"/>
      <c r="R590" s="721"/>
      <c r="S590" s="99"/>
      <c r="T590" s="324"/>
      <c r="U590" s="98"/>
      <c r="V590" s="98"/>
      <c r="W590" s="324">
        <v>1.2</v>
      </c>
    </row>
    <row r="591" spans="1:23" ht="38.25" x14ac:dyDescent="0.25">
      <c r="A591" s="98">
        <f t="shared" si="6"/>
        <v>18</v>
      </c>
      <c r="B591" s="98"/>
      <c r="C591" s="98" t="s">
        <v>676</v>
      </c>
      <c r="D591" s="98" t="s">
        <v>2650</v>
      </c>
      <c r="E591" s="324">
        <v>3.5</v>
      </c>
      <c r="F591" s="98">
        <v>20</v>
      </c>
      <c r="G591" s="98"/>
      <c r="H591" s="98" t="s">
        <v>677</v>
      </c>
      <c r="I591" s="98" t="s">
        <v>419</v>
      </c>
      <c r="J591" s="98">
        <v>1200065347</v>
      </c>
      <c r="K591" s="99">
        <v>44550</v>
      </c>
      <c r="L591" s="98"/>
      <c r="M591" s="99"/>
      <c r="N591" s="99" t="s">
        <v>5116</v>
      </c>
      <c r="O591" s="98"/>
      <c r="P591" s="98"/>
      <c r="Q591" s="98"/>
      <c r="R591" s="721"/>
      <c r="S591" s="99"/>
      <c r="T591" s="324"/>
      <c r="U591" s="98"/>
      <c r="V591" s="98"/>
      <c r="W591" s="324">
        <v>3.5</v>
      </c>
    </row>
    <row r="592" spans="1:23" ht="25.5" x14ac:dyDescent="0.25">
      <c r="A592" s="98">
        <f t="shared" si="6"/>
        <v>19</v>
      </c>
      <c r="B592" s="98"/>
      <c r="C592" s="98" t="s">
        <v>678</v>
      </c>
      <c r="D592" s="98" t="s">
        <v>2650</v>
      </c>
      <c r="E592" s="324">
        <v>3.1</v>
      </c>
      <c r="F592" s="98">
        <v>20</v>
      </c>
      <c r="G592" s="98"/>
      <c r="H592" s="98" t="s">
        <v>679</v>
      </c>
      <c r="I592" s="98" t="s">
        <v>419</v>
      </c>
      <c r="J592" s="98">
        <v>1200055574</v>
      </c>
      <c r="K592" s="99">
        <v>43851</v>
      </c>
      <c r="L592" s="98">
        <v>3200062261</v>
      </c>
      <c r="M592" s="325">
        <v>43893</v>
      </c>
      <c r="N592" s="99">
        <v>44090</v>
      </c>
      <c r="O592" s="98"/>
      <c r="P592" s="98"/>
      <c r="Q592" s="98"/>
      <c r="R592" s="721"/>
      <c r="S592" s="99"/>
      <c r="T592" s="324"/>
      <c r="U592" s="98"/>
      <c r="V592" s="98"/>
      <c r="W592" s="324">
        <v>3.1</v>
      </c>
    </row>
    <row r="593" spans="1:23" ht="25.5" x14ac:dyDescent="0.25">
      <c r="A593" s="98">
        <f t="shared" si="6"/>
        <v>20</v>
      </c>
      <c r="B593" s="98"/>
      <c r="C593" s="98" t="s">
        <v>680</v>
      </c>
      <c r="D593" s="98" t="s">
        <v>779</v>
      </c>
      <c r="E593" s="324">
        <v>1.3</v>
      </c>
      <c r="F593" s="98">
        <v>20</v>
      </c>
      <c r="G593" s="98"/>
      <c r="H593" s="98" t="s">
        <v>681</v>
      </c>
      <c r="I593" s="98" t="s">
        <v>419</v>
      </c>
      <c r="J593" s="98">
        <v>1200064730</v>
      </c>
      <c r="K593" s="99">
        <v>44509</v>
      </c>
      <c r="L593" s="98"/>
      <c r="M593" s="99"/>
      <c r="N593" s="99">
        <v>45238</v>
      </c>
      <c r="O593" s="98"/>
      <c r="P593" s="98"/>
      <c r="Q593" s="98"/>
      <c r="R593" s="721">
        <v>8600078141</v>
      </c>
      <c r="S593" s="99">
        <v>45238</v>
      </c>
      <c r="T593" s="324">
        <v>1.3</v>
      </c>
      <c r="U593" s="98"/>
      <c r="V593" s="324">
        <f>T593</f>
        <v>1.3</v>
      </c>
      <c r="W593" s="324"/>
    </row>
    <row r="594" spans="1:23" ht="38.25" x14ac:dyDescent="0.25">
      <c r="A594" s="98">
        <f t="shared" si="6"/>
        <v>21</v>
      </c>
      <c r="B594" s="98"/>
      <c r="C594" s="98" t="s">
        <v>682</v>
      </c>
      <c r="D594" s="98" t="s">
        <v>779</v>
      </c>
      <c r="E594" s="324">
        <v>1.3029999999999999</v>
      </c>
      <c r="F594" s="98">
        <v>20</v>
      </c>
      <c r="G594" s="98"/>
      <c r="H594" s="98" t="s">
        <v>683</v>
      </c>
      <c r="I594" s="98" t="s">
        <v>419</v>
      </c>
      <c r="J594" s="98">
        <v>1200056765</v>
      </c>
      <c r="K594" s="99">
        <v>43917</v>
      </c>
      <c r="L594" s="98"/>
      <c r="M594" s="99"/>
      <c r="N594" s="99" t="s">
        <v>5116</v>
      </c>
      <c r="O594" s="98"/>
      <c r="P594" s="98"/>
      <c r="Q594" s="98"/>
      <c r="R594" s="721"/>
      <c r="S594" s="99"/>
      <c r="T594" s="324"/>
      <c r="U594" s="98"/>
      <c r="V594" s="98"/>
      <c r="W594" s="324">
        <v>1.3029999999999999</v>
      </c>
    </row>
    <row r="595" spans="1:23" ht="38.25" x14ac:dyDescent="0.25">
      <c r="A595" s="98">
        <f t="shared" si="6"/>
        <v>22</v>
      </c>
      <c r="B595" s="98"/>
      <c r="C595" s="98" t="s">
        <v>684</v>
      </c>
      <c r="D595" s="98" t="s">
        <v>779</v>
      </c>
      <c r="E595" s="324">
        <v>6.1</v>
      </c>
      <c r="F595" s="98">
        <v>20</v>
      </c>
      <c r="G595" s="98"/>
      <c r="H595" s="98" t="s">
        <v>685</v>
      </c>
      <c r="I595" s="98" t="s">
        <v>419</v>
      </c>
      <c r="J595" s="98">
        <v>1200057333</v>
      </c>
      <c r="K595" s="99">
        <v>43973</v>
      </c>
      <c r="L595" s="98"/>
      <c r="M595" s="99"/>
      <c r="N595" s="99" t="s">
        <v>5116</v>
      </c>
      <c r="O595" s="98"/>
      <c r="P595" s="98"/>
      <c r="Q595" s="98"/>
      <c r="R595" s="721"/>
      <c r="S595" s="99"/>
      <c r="T595" s="324"/>
      <c r="U595" s="98"/>
      <c r="V595" s="98"/>
      <c r="W595" s="324">
        <v>6.1</v>
      </c>
    </row>
    <row r="596" spans="1:23" ht="25.5" x14ac:dyDescent="0.25">
      <c r="A596" s="98">
        <f t="shared" si="6"/>
        <v>23</v>
      </c>
      <c r="B596" s="98"/>
      <c r="C596" s="98" t="s">
        <v>686</v>
      </c>
      <c r="D596" s="98" t="s">
        <v>779</v>
      </c>
      <c r="E596" s="324">
        <v>1.28</v>
      </c>
      <c r="F596" s="98">
        <v>20</v>
      </c>
      <c r="G596" s="98"/>
      <c r="H596" s="98" t="s">
        <v>687</v>
      </c>
      <c r="I596" s="98" t="s">
        <v>419</v>
      </c>
      <c r="J596" s="98">
        <v>1200061974</v>
      </c>
      <c r="K596" s="99">
        <v>44293</v>
      </c>
      <c r="L596" s="98">
        <v>3200076455</v>
      </c>
      <c r="M596" s="99">
        <v>44365</v>
      </c>
      <c r="N596" s="99">
        <v>44616</v>
      </c>
      <c r="O596" s="98"/>
      <c r="P596" s="98"/>
      <c r="Q596" s="98"/>
      <c r="R596" s="721">
        <v>8600070513</v>
      </c>
      <c r="S596" s="99">
        <v>44616</v>
      </c>
      <c r="T596" s="324">
        <f>E596</f>
        <v>1.28</v>
      </c>
      <c r="U596" s="98"/>
      <c r="V596" s="324">
        <f>T596</f>
        <v>1.28</v>
      </c>
      <c r="W596" s="98"/>
    </row>
    <row r="597" spans="1:23" ht="38.25" x14ac:dyDescent="0.25">
      <c r="A597" s="98">
        <f t="shared" si="6"/>
        <v>24</v>
      </c>
      <c r="B597" s="98"/>
      <c r="C597" s="98" t="s">
        <v>688</v>
      </c>
      <c r="D597" s="98" t="s">
        <v>2625</v>
      </c>
      <c r="E597" s="324">
        <v>1.22</v>
      </c>
      <c r="F597" s="98">
        <v>20</v>
      </c>
      <c r="G597" s="98"/>
      <c r="H597" s="98" t="s">
        <v>689</v>
      </c>
      <c r="I597" s="98" t="s">
        <v>419</v>
      </c>
      <c r="J597" s="98">
        <v>1200065939</v>
      </c>
      <c r="K597" s="99">
        <v>44588</v>
      </c>
      <c r="L597" s="98" t="s">
        <v>5117</v>
      </c>
      <c r="M597" s="99">
        <v>44643</v>
      </c>
      <c r="N597" s="99"/>
      <c r="O597" s="98"/>
      <c r="P597" s="98"/>
      <c r="Q597" s="98"/>
      <c r="R597" s="721"/>
      <c r="S597" s="99"/>
      <c r="T597" s="324"/>
      <c r="U597" s="98"/>
      <c r="V597" s="98"/>
      <c r="W597" s="324">
        <v>1.22</v>
      </c>
    </row>
    <row r="598" spans="1:23" ht="38.25" x14ac:dyDescent="0.25">
      <c r="A598" s="98">
        <f t="shared" si="6"/>
        <v>25</v>
      </c>
      <c r="B598" s="98"/>
      <c r="C598" s="98" t="s">
        <v>690</v>
      </c>
      <c r="D598" s="98" t="s">
        <v>2650</v>
      </c>
      <c r="E598" s="324">
        <v>1.6</v>
      </c>
      <c r="F598" s="98">
        <v>20</v>
      </c>
      <c r="G598" s="98"/>
      <c r="H598" s="98" t="s">
        <v>691</v>
      </c>
      <c r="I598" s="98" t="s">
        <v>419</v>
      </c>
      <c r="J598" s="98">
        <v>1200063365</v>
      </c>
      <c r="K598" s="99">
        <v>44392</v>
      </c>
      <c r="L598" s="98">
        <v>3200076737</v>
      </c>
      <c r="M598" s="99">
        <v>44392</v>
      </c>
      <c r="N598" s="99">
        <v>44587</v>
      </c>
      <c r="O598" s="98"/>
      <c r="P598" s="98"/>
      <c r="Q598" s="98"/>
      <c r="R598" s="721">
        <v>8600070106</v>
      </c>
      <c r="S598" s="99">
        <v>44587</v>
      </c>
      <c r="T598" s="324">
        <f>E598</f>
        <v>1.6</v>
      </c>
      <c r="U598" s="98"/>
      <c r="V598" s="324">
        <f>T598</f>
        <v>1.6</v>
      </c>
      <c r="W598" s="98"/>
    </row>
    <row r="599" spans="1:23" ht="25.5" x14ac:dyDescent="0.25">
      <c r="A599" s="98">
        <f t="shared" si="6"/>
        <v>26</v>
      </c>
      <c r="B599" s="98"/>
      <c r="C599" s="98" t="s">
        <v>692</v>
      </c>
      <c r="D599" s="98" t="s">
        <v>779</v>
      </c>
      <c r="E599" s="324">
        <v>1.2</v>
      </c>
      <c r="F599" s="98">
        <v>20</v>
      </c>
      <c r="G599" s="98"/>
      <c r="H599" s="98" t="s">
        <v>693</v>
      </c>
      <c r="I599" s="98" t="s">
        <v>419</v>
      </c>
      <c r="J599" s="98">
        <v>1200053794</v>
      </c>
      <c r="K599" s="99">
        <v>43735</v>
      </c>
      <c r="L599" s="98">
        <v>3200073560</v>
      </c>
      <c r="M599" s="325">
        <v>44154</v>
      </c>
      <c r="N599" s="99">
        <v>44446</v>
      </c>
      <c r="O599" s="98"/>
      <c r="P599" s="98"/>
      <c r="Q599" s="98"/>
      <c r="R599" s="721">
        <v>8600073022</v>
      </c>
      <c r="S599" s="99">
        <v>44819</v>
      </c>
      <c r="T599" s="324">
        <v>1.2</v>
      </c>
      <c r="U599" s="98"/>
      <c r="V599" s="324">
        <f>T599</f>
        <v>1.2</v>
      </c>
      <c r="W599" s="324"/>
    </row>
    <row r="600" spans="1:23" ht="51" x14ac:dyDescent="0.25">
      <c r="A600" s="98">
        <f t="shared" si="6"/>
        <v>27</v>
      </c>
      <c r="B600" s="98"/>
      <c r="C600" s="98" t="s">
        <v>694</v>
      </c>
      <c r="D600" s="98" t="s">
        <v>779</v>
      </c>
      <c r="E600" s="324">
        <v>4</v>
      </c>
      <c r="F600" s="98">
        <v>20</v>
      </c>
      <c r="G600" s="98"/>
      <c r="H600" s="98" t="s">
        <v>695</v>
      </c>
      <c r="I600" s="98" t="s">
        <v>419</v>
      </c>
      <c r="J600" s="98">
        <v>1200065094</v>
      </c>
      <c r="K600" s="99">
        <v>44536</v>
      </c>
      <c r="L600" s="98"/>
      <c r="M600" s="99"/>
      <c r="N600" s="99" t="s">
        <v>5116</v>
      </c>
      <c r="O600" s="98"/>
      <c r="P600" s="98"/>
      <c r="Q600" s="98"/>
      <c r="R600" s="721"/>
      <c r="S600" s="99"/>
      <c r="T600" s="324"/>
      <c r="U600" s="98"/>
      <c r="V600" s="98"/>
      <c r="W600" s="324">
        <v>4</v>
      </c>
    </row>
    <row r="601" spans="1:23" ht="38.25" x14ac:dyDescent="0.25">
      <c r="A601" s="98">
        <f t="shared" si="6"/>
        <v>28</v>
      </c>
      <c r="B601" s="98"/>
      <c r="C601" s="98" t="s">
        <v>696</v>
      </c>
      <c r="D601" s="98" t="s">
        <v>2643</v>
      </c>
      <c r="E601" s="324">
        <v>1.0549999999999999</v>
      </c>
      <c r="F601" s="98">
        <v>20</v>
      </c>
      <c r="G601" s="98"/>
      <c r="H601" s="98" t="s">
        <v>697</v>
      </c>
      <c r="I601" s="98" t="s">
        <v>419</v>
      </c>
      <c r="J601" s="98">
        <v>1200063689</v>
      </c>
      <c r="K601" s="99">
        <v>44417</v>
      </c>
      <c r="L601" s="98"/>
      <c r="M601" s="99"/>
      <c r="N601" s="99" t="s">
        <v>5116</v>
      </c>
      <c r="O601" s="98"/>
      <c r="P601" s="98"/>
      <c r="Q601" s="98"/>
      <c r="R601" s="721"/>
      <c r="S601" s="99"/>
      <c r="T601" s="324"/>
      <c r="U601" s="98"/>
      <c r="V601" s="98"/>
      <c r="W601" s="324">
        <v>1.0549999999999999</v>
      </c>
    </row>
    <row r="602" spans="1:23" ht="51" x14ac:dyDescent="0.25">
      <c r="A602" s="98">
        <f t="shared" si="6"/>
        <v>29</v>
      </c>
      <c r="B602" s="98"/>
      <c r="C602" s="98" t="s">
        <v>698</v>
      </c>
      <c r="D602" s="98" t="s">
        <v>2643</v>
      </c>
      <c r="E602" s="324">
        <v>1.8</v>
      </c>
      <c r="F602" s="98">
        <v>20</v>
      </c>
      <c r="G602" s="98"/>
      <c r="H602" s="98" t="s">
        <v>699</v>
      </c>
      <c r="I602" s="98" t="s">
        <v>419</v>
      </c>
      <c r="J602" s="98">
        <v>1200056236</v>
      </c>
      <c r="K602" s="99">
        <v>43888</v>
      </c>
      <c r="L602" s="98">
        <v>3200062711</v>
      </c>
      <c r="M602" s="99">
        <v>43907</v>
      </c>
      <c r="N602" s="99">
        <v>44237</v>
      </c>
      <c r="O602" s="98"/>
      <c r="P602" s="98"/>
      <c r="Q602" s="98"/>
      <c r="R602" s="721">
        <v>8600066244</v>
      </c>
      <c r="S602" s="99">
        <v>44237</v>
      </c>
      <c r="T602" s="324">
        <f>E602</f>
        <v>1.8</v>
      </c>
      <c r="U602" s="98"/>
      <c r="V602" s="324">
        <f>T602</f>
        <v>1.8</v>
      </c>
      <c r="W602" s="98"/>
    </row>
    <row r="603" spans="1:23" ht="25.5" x14ac:dyDescent="0.25">
      <c r="A603" s="98">
        <f t="shared" si="6"/>
        <v>30</v>
      </c>
      <c r="B603" s="98"/>
      <c r="C603" s="98" t="s">
        <v>700</v>
      </c>
      <c r="D603" s="98" t="s">
        <v>2650</v>
      </c>
      <c r="E603" s="324">
        <v>1.03</v>
      </c>
      <c r="F603" s="98">
        <v>20</v>
      </c>
      <c r="G603" s="98"/>
      <c r="H603" s="98" t="s">
        <v>701</v>
      </c>
      <c r="I603" s="98" t="s">
        <v>419</v>
      </c>
      <c r="J603" s="98">
        <v>1200062470</v>
      </c>
      <c r="K603" s="99">
        <v>44329</v>
      </c>
      <c r="L603" s="98">
        <v>3100140909</v>
      </c>
      <c r="M603" s="325">
        <v>44400</v>
      </c>
      <c r="N603" s="99">
        <v>44889</v>
      </c>
      <c r="O603" s="98"/>
      <c r="P603" s="98"/>
      <c r="Q603" s="98"/>
      <c r="R603" s="721">
        <v>8600074053</v>
      </c>
      <c r="S603" s="99">
        <v>44889</v>
      </c>
      <c r="T603" s="324">
        <v>1.03</v>
      </c>
      <c r="U603" s="98"/>
      <c r="V603" s="324">
        <f t="shared" ref="V603:V604" si="10">T603</f>
        <v>1.03</v>
      </c>
      <c r="W603" s="324"/>
    </row>
    <row r="604" spans="1:23" ht="25.5" x14ac:dyDescent="0.25">
      <c r="A604" s="98">
        <f t="shared" si="6"/>
        <v>31</v>
      </c>
      <c r="B604" s="98"/>
      <c r="C604" s="98" t="s">
        <v>700</v>
      </c>
      <c r="D604" s="98" t="s">
        <v>2650</v>
      </c>
      <c r="E604" s="324">
        <v>2</v>
      </c>
      <c r="F604" s="98">
        <v>20</v>
      </c>
      <c r="G604" s="98"/>
      <c r="H604" s="98" t="s">
        <v>702</v>
      </c>
      <c r="I604" s="98" t="s">
        <v>419</v>
      </c>
      <c r="J604" s="98">
        <v>1200062460</v>
      </c>
      <c r="K604" s="99">
        <v>44329</v>
      </c>
      <c r="L604" s="98">
        <v>3200076453</v>
      </c>
      <c r="M604" s="325">
        <v>44365</v>
      </c>
      <c r="N604" s="99">
        <v>44743</v>
      </c>
      <c r="O604" s="98"/>
      <c r="P604" s="98"/>
      <c r="Q604" s="98"/>
      <c r="R604" s="721">
        <v>8600074048</v>
      </c>
      <c r="S604" s="99">
        <v>44889</v>
      </c>
      <c r="T604" s="324">
        <v>2</v>
      </c>
      <c r="U604" s="98"/>
      <c r="V604" s="324">
        <f t="shared" si="10"/>
        <v>2</v>
      </c>
      <c r="W604" s="324"/>
    </row>
    <row r="605" spans="1:23" ht="25.5" x14ac:dyDescent="0.25">
      <c r="A605" s="98">
        <f t="shared" si="6"/>
        <v>32</v>
      </c>
      <c r="B605" s="98"/>
      <c r="C605" s="98" t="s">
        <v>703</v>
      </c>
      <c r="D605" s="98" t="s">
        <v>2625</v>
      </c>
      <c r="E605" s="324">
        <v>1.6</v>
      </c>
      <c r="F605" s="98">
        <v>20</v>
      </c>
      <c r="G605" s="98"/>
      <c r="H605" s="98" t="s">
        <v>704</v>
      </c>
      <c r="I605" s="98" t="s">
        <v>419</v>
      </c>
      <c r="J605" s="98">
        <v>1200051259</v>
      </c>
      <c r="K605" s="99">
        <v>43539</v>
      </c>
      <c r="L605" s="98"/>
      <c r="M605" s="99"/>
      <c r="N605" s="99" t="s">
        <v>5116</v>
      </c>
      <c r="O605" s="98"/>
      <c r="P605" s="98"/>
      <c r="Q605" s="98"/>
      <c r="R605" s="721"/>
      <c r="S605" s="99"/>
      <c r="T605" s="324"/>
      <c r="U605" s="98"/>
      <c r="V605" s="98"/>
      <c r="W605" s="324">
        <v>1.6</v>
      </c>
    </row>
    <row r="606" spans="1:23" ht="25.5" x14ac:dyDescent="0.25">
      <c r="A606" s="98">
        <f t="shared" si="6"/>
        <v>33</v>
      </c>
      <c r="B606" s="98"/>
      <c r="C606" s="98" t="s">
        <v>705</v>
      </c>
      <c r="D606" s="98" t="s">
        <v>779</v>
      </c>
      <c r="E606" s="324">
        <v>2.1539999999999999</v>
      </c>
      <c r="F606" s="98">
        <v>20</v>
      </c>
      <c r="G606" s="98"/>
      <c r="H606" s="98" t="s">
        <v>706</v>
      </c>
      <c r="I606" s="98" t="s">
        <v>419</v>
      </c>
      <c r="J606" s="98">
        <v>1200064639</v>
      </c>
      <c r="K606" s="99">
        <v>44504</v>
      </c>
      <c r="L606" s="98">
        <v>3200077999</v>
      </c>
      <c r="M606" s="325">
        <v>44553</v>
      </c>
      <c r="N606" s="99">
        <v>44722</v>
      </c>
      <c r="O606" s="98"/>
      <c r="P606" s="98"/>
      <c r="Q606" s="98"/>
      <c r="R606" s="721">
        <v>8600072328</v>
      </c>
      <c r="S606" s="99">
        <v>44827</v>
      </c>
      <c r="T606" s="324">
        <v>2.1539999999999999</v>
      </c>
      <c r="U606" s="98"/>
      <c r="V606" s="324">
        <f>T606</f>
        <v>2.1539999999999999</v>
      </c>
      <c r="W606" s="324"/>
    </row>
    <row r="607" spans="1:23" ht="38.25" x14ac:dyDescent="0.25">
      <c r="A607" s="98">
        <f t="shared" si="6"/>
        <v>34</v>
      </c>
      <c r="B607" s="98"/>
      <c r="C607" s="98" t="s">
        <v>707</v>
      </c>
      <c r="D607" s="98" t="s">
        <v>779</v>
      </c>
      <c r="E607" s="324">
        <v>1.5</v>
      </c>
      <c r="F607" s="98">
        <v>20</v>
      </c>
      <c r="G607" s="98"/>
      <c r="H607" s="98" t="s">
        <v>708</v>
      </c>
      <c r="I607" s="98" t="s">
        <v>419</v>
      </c>
      <c r="J607" s="98">
        <v>1200060012</v>
      </c>
      <c r="K607" s="99">
        <v>44153</v>
      </c>
      <c r="L607" s="98">
        <v>3200074460</v>
      </c>
      <c r="M607" s="99">
        <v>44187</v>
      </c>
      <c r="N607" s="99">
        <v>44620</v>
      </c>
      <c r="O607" s="98"/>
      <c r="P607" s="98"/>
      <c r="Q607" s="98"/>
      <c r="R607" s="721">
        <v>8600070551</v>
      </c>
      <c r="S607" s="99">
        <v>44620</v>
      </c>
      <c r="T607" s="324">
        <f>E607</f>
        <v>1.5</v>
      </c>
      <c r="U607" s="98"/>
      <c r="V607" s="324">
        <f>T607</f>
        <v>1.5</v>
      </c>
      <c r="W607" s="98"/>
    </row>
    <row r="608" spans="1:23" ht="25.5" x14ac:dyDescent="0.25">
      <c r="A608" s="98">
        <f t="shared" si="6"/>
        <v>35</v>
      </c>
      <c r="B608" s="98"/>
      <c r="C608" s="98" t="s">
        <v>709</v>
      </c>
      <c r="D608" s="98" t="s">
        <v>2650</v>
      </c>
      <c r="E608" s="324">
        <v>2</v>
      </c>
      <c r="F608" s="98">
        <v>20</v>
      </c>
      <c r="G608" s="98"/>
      <c r="H608" s="98" t="s">
        <v>710</v>
      </c>
      <c r="I608" s="98" t="s">
        <v>419</v>
      </c>
      <c r="J608" s="98">
        <v>1100242392</v>
      </c>
      <c r="K608" s="99">
        <v>44596</v>
      </c>
      <c r="L608" s="98"/>
      <c r="M608" s="99"/>
      <c r="N608" s="99" t="s">
        <v>5116</v>
      </c>
      <c r="O608" s="98"/>
      <c r="P608" s="98"/>
      <c r="Q608" s="98"/>
      <c r="R608" s="721"/>
      <c r="S608" s="99"/>
      <c r="T608" s="324"/>
      <c r="U608" s="98"/>
      <c r="V608" s="98"/>
      <c r="W608" s="324">
        <v>2</v>
      </c>
    </row>
    <row r="609" spans="1:23" ht="38.25" x14ac:dyDescent="0.25">
      <c r="A609" s="98">
        <f t="shared" si="6"/>
        <v>36</v>
      </c>
      <c r="B609" s="98"/>
      <c r="C609" s="98" t="s">
        <v>711</v>
      </c>
      <c r="D609" s="98" t="s">
        <v>779</v>
      </c>
      <c r="E609" s="324">
        <v>14</v>
      </c>
      <c r="F609" s="98">
        <v>20</v>
      </c>
      <c r="G609" s="98"/>
      <c r="H609" s="98" t="s">
        <v>712</v>
      </c>
      <c r="I609" s="98" t="s">
        <v>419</v>
      </c>
      <c r="J609" s="98">
        <v>1100233261</v>
      </c>
      <c r="K609" s="99">
        <v>44420</v>
      </c>
      <c r="L609" s="98"/>
      <c r="M609" s="99"/>
      <c r="N609" s="99" t="s">
        <v>5116</v>
      </c>
      <c r="O609" s="98"/>
      <c r="P609" s="98"/>
      <c r="Q609" s="98"/>
      <c r="R609" s="721"/>
      <c r="S609" s="99"/>
      <c r="T609" s="324"/>
      <c r="U609" s="98"/>
      <c r="V609" s="98"/>
      <c r="W609" s="324">
        <v>14</v>
      </c>
    </row>
    <row r="610" spans="1:23" ht="25.5" x14ac:dyDescent="0.25">
      <c r="A610" s="98">
        <f t="shared" si="6"/>
        <v>37</v>
      </c>
      <c r="B610" s="98"/>
      <c r="C610" s="98" t="s">
        <v>713</v>
      </c>
      <c r="D610" s="98" t="s">
        <v>779</v>
      </c>
      <c r="E610" s="324">
        <v>1.1000000000000001</v>
      </c>
      <c r="F610" s="98">
        <v>20</v>
      </c>
      <c r="G610" s="98"/>
      <c r="H610" s="98" t="s">
        <v>714</v>
      </c>
      <c r="I610" s="98" t="s">
        <v>419</v>
      </c>
      <c r="J610" s="98">
        <v>1200052391</v>
      </c>
      <c r="K610" s="99">
        <v>43628</v>
      </c>
      <c r="L610" s="98">
        <v>3100103186</v>
      </c>
      <c r="M610" s="99">
        <v>43628</v>
      </c>
      <c r="N610" s="99">
        <v>43649</v>
      </c>
      <c r="O610" s="98"/>
      <c r="P610" s="98"/>
      <c r="Q610" s="98"/>
      <c r="R610" s="721">
        <v>8600053110</v>
      </c>
      <c r="S610" s="99">
        <v>43649</v>
      </c>
      <c r="T610" s="324">
        <f t="shared" ref="T610:T611" si="11">E610</f>
        <v>1.1000000000000001</v>
      </c>
      <c r="U610" s="98"/>
      <c r="V610" s="324">
        <f t="shared" ref="V610:V611" si="12">T610</f>
        <v>1.1000000000000001</v>
      </c>
      <c r="W610" s="98"/>
    </row>
    <row r="611" spans="1:23" ht="25.5" x14ac:dyDescent="0.25">
      <c r="A611" s="98">
        <f t="shared" si="6"/>
        <v>38</v>
      </c>
      <c r="B611" s="98"/>
      <c r="C611" s="98" t="s">
        <v>715</v>
      </c>
      <c r="D611" s="98" t="s">
        <v>1250</v>
      </c>
      <c r="E611" s="324">
        <v>1.6</v>
      </c>
      <c r="F611" s="98">
        <v>20</v>
      </c>
      <c r="G611" s="98"/>
      <c r="H611" s="98" t="s">
        <v>716</v>
      </c>
      <c r="I611" s="98" t="s">
        <v>419</v>
      </c>
      <c r="J611" s="98">
        <v>1200061025</v>
      </c>
      <c r="K611" s="99">
        <v>44244</v>
      </c>
      <c r="L611" s="98">
        <v>3200075362</v>
      </c>
      <c r="M611" s="99">
        <v>44259</v>
      </c>
      <c r="N611" s="99">
        <v>44413</v>
      </c>
      <c r="O611" s="98"/>
      <c r="P611" s="98"/>
      <c r="Q611" s="98"/>
      <c r="R611" s="721">
        <v>8600068248</v>
      </c>
      <c r="S611" s="99">
        <v>44413</v>
      </c>
      <c r="T611" s="324">
        <f t="shared" si="11"/>
        <v>1.6</v>
      </c>
      <c r="U611" s="98"/>
      <c r="V611" s="324">
        <f t="shared" si="12"/>
        <v>1.6</v>
      </c>
      <c r="W611" s="98"/>
    </row>
    <row r="612" spans="1:23" ht="25.5" x14ac:dyDescent="0.25">
      <c r="A612" s="98">
        <f t="shared" si="6"/>
        <v>39</v>
      </c>
      <c r="B612" s="98"/>
      <c r="C612" s="98" t="s">
        <v>717</v>
      </c>
      <c r="D612" s="98" t="s">
        <v>5118</v>
      </c>
      <c r="E612" s="324">
        <v>1.4</v>
      </c>
      <c r="F612" s="98">
        <v>20</v>
      </c>
      <c r="G612" s="98"/>
      <c r="H612" s="98" t="s">
        <v>718</v>
      </c>
      <c r="I612" s="98" t="s">
        <v>419</v>
      </c>
      <c r="J612" s="98">
        <v>1200051227</v>
      </c>
      <c r="K612" s="99">
        <v>43538</v>
      </c>
      <c r="L612" s="98"/>
      <c r="M612" s="99"/>
      <c r="N612" s="99">
        <v>43700</v>
      </c>
      <c r="O612" s="98"/>
      <c r="P612" s="98"/>
      <c r="Q612" s="98"/>
      <c r="R612" s="721">
        <v>8600054465</v>
      </c>
      <c r="S612" s="99">
        <v>43700</v>
      </c>
      <c r="T612" s="324">
        <v>1.4</v>
      </c>
      <c r="U612" s="98"/>
      <c r="V612" s="98">
        <v>1.4</v>
      </c>
      <c r="W612" s="98"/>
    </row>
    <row r="613" spans="1:23" ht="38.25" x14ac:dyDescent="0.25">
      <c r="A613" s="98">
        <f t="shared" si="6"/>
        <v>40</v>
      </c>
      <c r="B613" s="98"/>
      <c r="C613" s="98" t="s">
        <v>717</v>
      </c>
      <c r="D613" s="98" t="s">
        <v>5118</v>
      </c>
      <c r="E613" s="324">
        <v>1</v>
      </c>
      <c r="F613" s="98">
        <v>20</v>
      </c>
      <c r="G613" s="98"/>
      <c r="H613" s="98" t="s">
        <v>719</v>
      </c>
      <c r="I613" s="98" t="s">
        <v>419</v>
      </c>
      <c r="J613" s="98">
        <v>1200064297</v>
      </c>
      <c r="K613" s="99">
        <v>44475</v>
      </c>
      <c r="L613" s="98"/>
      <c r="M613" s="99"/>
      <c r="N613" s="99" t="s">
        <v>5116</v>
      </c>
      <c r="O613" s="98"/>
      <c r="P613" s="98"/>
      <c r="Q613" s="98"/>
      <c r="R613" s="721"/>
      <c r="S613" s="99"/>
      <c r="T613" s="324"/>
      <c r="U613" s="98"/>
      <c r="V613" s="98"/>
      <c r="W613" s="324">
        <v>1</v>
      </c>
    </row>
    <row r="614" spans="1:23" ht="25.5" x14ac:dyDescent="0.25">
      <c r="A614" s="98">
        <f t="shared" si="6"/>
        <v>41</v>
      </c>
      <c r="B614" s="98"/>
      <c r="C614" s="98" t="s">
        <v>720</v>
      </c>
      <c r="D614" s="98" t="s">
        <v>2650</v>
      </c>
      <c r="E614" s="324">
        <v>1.28</v>
      </c>
      <c r="F614" s="98">
        <v>20</v>
      </c>
      <c r="G614" s="98"/>
      <c r="H614" s="98" t="s">
        <v>721</v>
      </c>
      <c r="I614" s="98" t="s">
        <v>419</v>
      </c>
      <c r="J614" s="98">
        <v>1200063291</v>
      </c>
      <c r="K614" s="99">
        <v>44385</v>
      </c>
      <c r="L614" s="98">
        <v>3200076682</v>
      </c>
      <c r="M614" s="325">
        <v>44390</v>
      </c>
      <c r="N614" s="99">
        <v>44916</v>
      </c>
      <c r="O614" s="98"/>
      <c r="P614" s="98"/>
      <c r="Q614" s="98"/>
      <c r="R614" s="721">
        <v>8600074400</v>
      </c>
      <c r="S614" s="99">
        <v>44917</v>
      </c>
      <c r="T614" s="324">
        <v>1.28</v>
      </c>
      <c r="U614" s="98"/>
      <c r="V614" s="324">
        <f>T614</f>
        <v>1.28</v>
      </c>
      <c r="W614" s="324"/>
    </row>
    <row r="615" spans="1:23" ht="25.5" x14ac:dyDescent="0.25">
      <c r="A615" s="98">
        <f t="shared" si="6"/>
        <v>42</v>
      </c>
      <c r="B615" s="98"/>
      <c r="C615" s="98" t="s">
        <v>722</v>
      </c>
      <c r="D615" s="98" t="s">
        <v>1246</v>
      </c>
      <c r="E615" s="324">
        <v>1.6</v>
      </c>
      <c r="F615" s="98">
        <v>20</v>
      </c>
      <c r="G615" s="98"/>
      <c r="H615" s="98" t="s">
        <v>723</v>
      </c>
      <c r="I615" s="98" t="s">
        <v>419</v>
      </c>
      <c r="J615" s="98">
        <v>1200044361</v>
      </c>
      <c r="K615" s="99">
        <v>44596</v>
      </c>
      <c r="L615" s="98"/>
      <c r="M615" s="99"/>
      <c r="N615" s="99" t="s">
        <v>5116</v>
      </c>
      <c r="O615" s="98"/>
      <c r="P615" s="98"/>
      <c r="Q615" s="98"/>
      <c r="R615" s="721"/>
      <c r="S615" s="99"/>
      <c r="T615" s="324"/>
      <c r="U615" s="98"/>
      <c r="V615" s="98"/>
      <c r="W615" s="324"/>
    </row>
    <row r="616" spans="1:23" ht="25.5" x14ac:dyDescent="0.25">
      <c r="A616" s="98">
        <f t="shared" si="6"/>
        <v>43</v>
      </c>
      <c r="B616" s="98"/>
      <c r="C616" s="98" t="s">
        <v>724</v>
      </c>
      <c r="D616" s="98" t="s">
        <v>2650</v>
      </c>
      <c r="E616" s="324">
        <v>1.6</v>
      </c>
      <c r="F616" s="98">
        <v>20</v>
      </c>
      <c r="G616" s="98"/>
      <c r="H616" s="98" t="s">
        <v>725</v>
      </c>
      <c r="I616" s="98" t="s">
        <v>419</v>
      </c>
      <c r="J616" s="98">
        <v>1200062372</v>
      </c>
      <c r="K616" s="99">
        <v>44322</v>
      </c>
      <c r="L616" s="98">
        <v>3100136692</v>
      </c>
      <c r="M616" s="99">
        <v>44335</v>
      </c>
      <c r="N616" s="99">
        <v>44435</v>
      </c>
      <c r="O616" s="98"/>
      <c r="P616" s="98"/>
      <c r="Q616" s="98"/>
      <c r="R616" s="721">
        <v>8600068481</v>
      </c>
      <c r="S616" s="99">
        <v>44435</v>
      </c>
      <c r="T616" s="324">
        <f>E616</f>
        <v>1.6</v>
      </c>
      <c r="U616" s="98"/>
      <c r="V616" s="324">
        <f>T616</f>
        <v>1.6</v>
      </c>
      <c r="W616" s="98"/>
    </row>
    <row r="617" spans="1:23" ht="25.5" x14ac:dyDescent="0.25">
      <c r="A617" s="98">
        <f t="shared" si="6"/>
        <v>44</v>
      </c>
      <c r="B617" s="98"/>
      <c r="C617" s="98" t="s">
        <v>351</v>
      </c>
      <c r="D617" s="98" t="s">
        <v>1246</v>
      </c>
      <c r="E617" s="324">
        <v>2.79</v>
      </c>
      <c r="F617" s="98">
        <v>20</v>
      </c>
      <c r="G617" s="98"/>
      <c r="H617" s="98" t="s">
        <v>726</v>
      </c>
      <c r="I617" s="98" t="s">
        <v>419</v>
      </c>
      <c r="J617" s="98">
        <v>1200058704</v>
      </c>
      <c r="K617" s="99">
        <v>44069</v>
      </c>
      <c r="L617" s="98">
        <v>3100126035</v>
      </c>
      <c r="M617" s="325">
        <v>44113</v>
      </c>
      <c r="N617" s="99"/>
      <c r="O617" s="98"/>
      <c r="P617" s="98"/>
      <c r="Q617" s="98"/>
      <c r="R617" s="721"/>
      <c r="S617" s="99"/>
      <c r="T617" s="324"/>
      <c r="U617" s="98"/>
      <c r="V617" s="98"/>
      <c r="W617" s="324">
        <v>2.79</v>
      </c>
    </row>
    <row r="618" spans="1:23" ht="25.5" x14ac:dyDescent="0.25">
      <c r="A618" s="98">
        <f t="shared" si="6"/>
        <v>45</v>
      </c>
      <c r="B618" s="98"/>
      <c r="C618" s="98" t="s">
        <v>351</v>
      </c>
      <c r="D618" s="98" t="s">
        <v>1246</v>
      </c>
      <c r="E618" s="324">
        <v>2.79</v>
      </c>
      <c r="F618" s="98">
        <v>20</v>
      </c>
      <c r="G618" s="98"/>
      <c r="H618" s="98" t="s">
        <v>727</v>
      </c>
      <c r="I618" s="98" t="s">
        <v>419</v>
      </c>
      <c r="J618" s="98">
        <v>1200063346</v>
      </c>
      <c r="K618" s="99">
        <v>44389</v>
      </c>
      <c r="L618" s="98"/>
      <c r="M618" s="99"/>
      <c r="N618" s="99" t="s">
        <v>5116</v>
      </c>
      <c r="O618" s="98"/>
      <c r="P618" s="98"/>
      <c r="Q618" s="98"/>
      <c r="R618" s="721"/>
      <c r="S618" s="99"/>
      <c r="T618" s="324"/>
      <c r="U618" s="98"/>
      <c r="V618" s="98"/>
      <c r="W618" s="324">
        <v>2.79</v>
      </c>
    </row>
    <row r="619" spans="1:23" ht="25.5" x14ac:dyDescent="0.25">
      <c r="A619" s="98">
        <f t="shared" si="6"/>
        <v>46</v>
      </c>
      <c r="B619" s="98"/>
      <c r="C619" s="98" t="s">
        <v>728</v>
      </c>
      <c r="D619" s="98" t="s">
        <v>5118</v>
      </c>
      <c r="E619" s="324">
        <v>2.9</v>
      </c>
      <c r="F619" s="98">
        <v>20</v>
      </c>
      <c r="G619" s="98"/>
      <c r="H619" s="98" t="s">
        <v>729</v>
      </c>
      <c r="I619" s="98" t="s">
        <v>419</v>
      </c>
      <c r="J619" s="98">
        <v>1200057430</v>
      </c>
      <c r="K619" s="99">
        <v>43987</v>
      </c>
      <c r="L619" s="98">
        <v>3100119768</v>
      </c>
      <c r="M619" s="325">
        <v>44005</v>
      </c>
      <c r="N619" s="99"/>
      <c r="O619" s="98"/>
      <c r="P619" s="98"/>
      <c r="Q619" s="98"/>
      <c r="R619" s="721"/>
      <c r="S619" s="99"/>
      <c r="T619" s="324"/>
      <c r="U619" s="98"/>
      <c r="V619" s="98"/>
      <c r="W619" s="324">
        <v>2.9</v>
      </c>
    </row>
    <row r="620" spans="1:23" ht="25.5" x14ac:dyDescent="0.25">
      <c r="A620" s="98">
        <f t="shared" si="6"/>
        <v>47</v>
      </c>
      <c r="B620" s="98"/>
      <c r="C620" s="98" t="s">
        <v>730</v>
      </c>
      <c r="D620" s="98" t="s">
        <v>2650</v>
      </c>
      <c r="E620" s="324">
        <v>1.304</v>
      </c>
      <c r="F620" s="98">
        <v>20</v>
      </c>
      <c r="G620" s="98"/>
      <c r="H620" s="98" t="s">
        <v>731</v>
      </c>
      <c r="I620" s="98" t="s">
        <v>419</v>
      </c>
      <c r="J620" s="98">
        <v>1200065565</v>
      </c>
      <c r="K620" s="99">
        <v>44560</v>
      </c>
      <c r="L620" s="98">
        <v>3100152936</v>
      </c>
      <c r="M620" s="325">
        <v>44578</v>
      </c>
      <c r="N620" s="99">
        <v>44650</v>
      </c>
      <c r="O620" s="98"/>
      <c r="P620" s="98"/>
      <c r="Q620" s="98"/>
      <c r="R620" s="721">
        <v>8600071000</v>
      </c>
      <c r="S620" s="99">
        <v>44651</v>
      </c>
      <c r="T620" s="324">
        <v>1.304</v>
      </c>
      <c r="U620" s="98"/>
      <c r="V620" s="324">
        <f>T620</f>
        <v>1.304</v>
      </c>
      <c r="W620" s="324"/>
    </row>
    <row r="621" spans="1:23" ht="38.25" x14ac:dyDescent="0.25">
      <c r="A621" s="98">
        <f t="shared" si="6"/>
        <v>48</v>
      </c>
      <c r="B621" s="98"/>
      <c r="C621" s="98" t="s">
        <v>732</v>
      </c>
      <c r="D621" s="98" t="s">
        <v>2643</v>
      </c>
      <c r="E621" s="324">
        <v>1.9</v>
      </c>
      <c r="F621" s="98">
        <v>20</v>
      </c>
      <c r="G621" s="98"/>
      <c r="H621" s="98" t="s">
        <v>733</v>
      </c>
      <c r="I621" s="98" t="s">
        <v>419</v>
      </c>
      <c r="J621" s="98">
        <v>1200063744</v>
      </c>
      <c r="K621" s="99">
        <v>44421</v>
      </c>
      <c r="L621" s="98">
        <v>3200076994</v>
      </c>
      <c r="M621" s="325">
        <v>44421</v>
      </c>
      <c r="N621" s="99"/>
      <c r="O621" s="98"/>
      <c r="P621" s="98"/>
      <c r="Q621" s="98"/>
      <c r="R621" s="721"/>
      <c r="S621" s="99"/>
      <c r="T621" s="324"/>
      <c r="U621" s="98"/>
      <c r="V621" s="98"/>
      <c r="W621" s="324">
        <v>1.9</v>
      </c>
    </row>
    <row r="622" spans="1:23" ht="38.25" x14ac:dyDescent="0.25">
      <c r="A622" s="98">
        <f t="shared" si="6"/>
        <v>49</v>
      </c>
      <c r="B622" s="98"/>
      <c r="C622" s="98" t="s">
        <v>734</v>
      </c>
      <c r="D622" s="98" t="s">
        <v>2650</v>
      </c>
      <c r="E622" s="324">
        <v>5</v>
      </c>
      <c r="F622" s="98">
        <v>20</v>
      </c>
      <c r="G622" s="98"/>
      <c r="H622" s="98" t="s">
        <v>735</v>
      </c>
      <c r="I622" s="98" t="s">
        <v>419</v>
      </c>
      <c r="J622" s="98">
        <v>1200065029</v>
      </c>
      <c r="K622" s="99">
        <v>44552</v>
      </c>
      <c r="L622" s="98">
        <v>3200078138</v>
      </c>
      <c r="M622" s="325">
        <v>44601</v>
      </c>
      <c r="N622" s="99">
        <v>44855</v>
      </c>
      <c r="O622" s="98"/>
      <c r="P622" s="98"/>
      <c r="Q622" s="98"/>
      <c r="R622" s="721">
        <v>8600073620</v>
      </c>
      <c r="S622" s="99">
        <v>44861</v>
      </c>
      <c r="T622" s="324">
        <v>5</v>
      </c>
      <c r="U622" s="98"/>
      <c r="V622" s="324">
        <f>T622</f>
        <v>5</v>
      </c>
      <c r="W622" s="324"/>
    </row>
    <row r="623" spans="1:23" ht="25.5" x14ac:dyDescent="0.25">
      <c r="A623" s="98">
        <f t="shared" si="6"/>
        <v>50</v>
      </c>
      <c r="B623" s="98"/>
      <c r="C623" s="98" t="s">
        <v>736</v>
      </c>
      <c r="D623" s="98" t="s">
        <v>1250</v>
      </c>
      <c r="E623" s="324">
        <v>1.54</v>
      </c>
      <c r="F623" s="98">
        <v>20</v>
      </c>
      <c r="G623" s="98"/>
      <c r="H623" s="98" t="s">
        <v>737</v>
      </c>
      <c r="I623" s="98" t="s">
        <v>419</v>
      </c>
      <c r="J623" s="98">
        <v>1200057478</v>
      </c>
      <c r="K623" s="99">
        <v>43993</v>
      </c>
      <c r="L623" s="98">
        <v>3200065978</v>
      </c>
      <c r="M623" s="99">
        <v>44008</v>
      </c>
      <c r="N623" s="99">
        <v>44104</v>
      </c>
      <c r="O623" s="98"/>
      <c r="P623" s="98"/>
      <c r="Q623" s="98"/>
      <c r="R623" s="721">
        <v>8600064371</v>
      </c>
      <c r="S623" s="99">
        <v>44104</v>
      </c>
      <c r="T623" s="324">
        <f>E623</f>
        <v>1.54</v>
      </c>
      <c r="U623" s="98"/>
      <c r="V623" s="324">
        <f>T623</f>
        <v>1.54</v>
      </c>
      <c r="W623" s="98"/>
    </row>
    <row r="624" spans="1:23" ht="25.5" x14ac:dyDescent="0.25">
      <c r="A624" s="98">
        <f t="shared" si="6"/>
        <v>51</v>
      </c>
      <c r="B624" s="98"/>
      <c r="C624" s="98" t="s">
        <v>738</v>
      </c>
      <c r="D624" s="98" t="s">
        <v>2650</v>
      </c>
      <c r="E624" s="324">
        <v>1.8</v>
      </c>
      <c r="F624" s="98">
        <v>20</v>
      </c>
      <c r="G624" s="98"/>
      <c r="H624" s="98" t="s">
        <v>739</v>
      </c>
      <c r="I624" s="98" t="s">
        <v>419</v>
      </c>
      <c r="J624" s="98">
        <v>1200054889</v>
      </c>
      <c r="K624" s="99">
        <v>43796</v>
      </c>
      <c r="L624" s="98">
        <v>3100112340</v>
      </c>
      <c r="M624" s="325">
        <v>43809</v>
      </c>
      <c r="N624" s="99" t="s">
        <v>5116</v>
      </c>
      <c r="O624" s="98"/>
      <c r="P624" s="98"/>
      <c r="Q624" s="98"/>
      <c r="R624" s="721"/>
      <c r="S624" s="99"/>
      <c r="T624" s="324"/>
      <c r="U624" s="98"/>
      <c r="V624" s="98"/>
      <c r="W624" s="324">
        <v>1.8</v>
      </c>
    </row>
    <row r="625" spans="1:23" ht="25.5" x14ac:dyDescent="0.25">
      <c r="A625" s="98">
        <f t="shared" si="6"/>
        <v>52</v>
      </c>
      <c r="B625" s="98"/>
      <c r="C625" s="98" t="s">
        <v>740</v>
      </c>
      <c r="D625" s="98" t="s">
        <v>779</v>
      </c>
      <c r="E625" s="324">
        <v>1.5</v>
      </c>
      <c r="F625" s="98">
        <v>20</v>
      </c>
      <c r="G625" s="98"/>
      <c r="H625" s="98" t="s">
        <v>741</v>
      </c>
      <c r="I625" s="98" t="s">
        <v>419</v>
      </c>
      <c r="J625" s="98">
        <v>1200046666</v>
      </c>
      <c r="K625" s="99">
        <v>44519</v>
      </c>
      <c r="L625" s="98">
        <v>3100081484</v>
      </c>
      <c r="M625" s="99">
        <v>43129</v>
      </c>
      <c r="N625" s="99">
        <v>44522</v>
      </c>
      <c r="O625" s="98"/>
      <c r="P625" s="98"/>
      <c r="Q625" s="98"/>
      <c r="R625" s="721">
        <v>8600069357</v>
      </c>
      <c r="S625" s="99">
        <v>44522</v>
      </c>
      <c r="T625" s="324">
        <f t="shared" ref="T625:T627" si="13">E625</f>
        <v>1.5</v>
      </c>
      <c r="U625" s="98"/>
      <c r="V625" s="324">
        <f t="shared" ref="V625:V627" si="14">T625</f>
        <v>1.5</v>
      </c>
      <c r="W625" s="98"/>
    </row>
    <row r="626" spans="1:23" ht="25.5" x14ac:dyDescent="0.25">
      <c r="A626" s="98">
        <f t="shared" si="6"/>
        <v>53</v>
      </c>
      <c r="B626" s="98"/>
      <c r="C626" s="98" t="s">
        <v>742</v>
      </c>
      <c r="D626" s="98" t="s">
        <v>779</v>
      </c>
      <c r="E626" s="324">
        <v>3</v>
      </c>
      <c r="F626" s="98">
        <v>20</v>
      </c>
      <c r="G626" s="98"/>
      <c r="H626" s="98" t="s">
        <v>5119</v>
      </c>
      <c r="I626" s="98" t="s">
        <v>419</v>
      </c>
      <c r="J626" s="98">
        <v>1200062806</v>
      </c>
      <c r="K626" s="99">
        <v>44357</v>
      </c>
      <c r="L626" s="98"/>
      <c r="M626" s="99"/>
      <c r="N626" s="99">
        <v>44385</v>
      </c>
      <c r="O626" s="98"/>
      <c r="P626" s="98"/>
      <c r="Q626" s="98"/>
      <c r="R626" s="721">
        <v>8600067908</v>
      </c>
      <c r="S626" s="99">
        <v>44385</v>
      </c>
      <c r="T626" s="324">
        <f t="shared" si="13"/>
        <v>3</v>
      </c>
      <c r="U626" s="98"/>
      <c r="V626" s="324">
        <f t="shared" si="14"/>
        <v>3</v>
      </c>
      <c r="W626" s="98"/>
    </row>
    <row r="627" spans="1:23" ht="25.5" x14ac:dyDescent="0.25">
      <c r="A627" s="98">
        <f t="shared" si="6"/>
        <v>54</v>
      </c>
      <c r="B627" s="98"/>
      <c r="C627" s="98" t="s">
        <v>743</v>
      </c>
      <c r="D627" s="98" t="s">
        <v>2625</v>
      </c>
      <c r="E627" s="324">
        <v>1.575</v>
      </c>
      <c r="F627" s="98">
        <v>20</v>
      </c>
      <c r="G627" s="98"/>
      <c r="H627" s="98" t="s">
        <v>744</v>
      </c>
      <c r="I627" s="98" t="s">
        <v>419</v>
      </c>
      <c r="J627" s="98">
        <v>1200060273</v>
      </c>
      <c r="K627" s="99">
        <v>44179</v>
      </c>
      <c r="L627" s="98">
        <v>3100138195</v>
      </c>
      <c r="M627" s="99">
        <v>44357</v>
      </c>
      <c r="N627" s="99">
        <v>44358</v>
      </c>
      <c r="O627" s="98"/>
      <c r="P627" s="98"/>
      <c r="Q627" s="98"/>
      <c r="R627" s="721">
        <v>8600067635</v>
      </c>
      <c r="S627" s="99">
        <v>44358</v>
      </c>
      <c r="T627" s="324">
        <f t="shared" si="13"/>
        <v>1.575</v>
      </c>
      <c r="U627" s="98"/>
      <c r="V627" s="324">
        <f t="shared" si="14"/>
        <v>1.575</v>
      </c>
      <c r="W627" s="98"/>
    </row>
    <row r="628" spans="1:23" ht="38.25" x14ac:dyDescent="0.25">
      <c r="A628" s="98">
        <f t="shared" si="6"/>
        <v>55</v>
      </c>
      <c r="B628" s="98"/>
      <c r="C628" s="98" t="s">
        <v>745</v>
      </c>
      <c r="D628" s="98" t="s">
        <v>1246</v>
      </c>
      <c r="E628" s="324">
        <v>2.0760000000000001</v>
      </c>
      <c r="F628" s="98">
        <v>20</v>
      </c>
      <c r="G628" s="98"/>
      <c r="H628" s="98" t="s">
        <v>746</v>
      </c>
      <c r="I628" s="98" t="s">
        <v>419</v>
      </c>
      <c r="J628" s="98">
        <v>1200046388</v>
      </c>
      <c r="K628" s="99">
        <v>44610</v>
      </c>
      <c r="L628" s="98">
        <v>3200042460</v>
      </c>
      <c r="M628" s="325">
        <v>44610</v>
      </c>
      <c r="N628" s="99"/>
      <c r="O628" s="98"/>
      <c r="P628" s="98"/>
      <c r="Q628" s="98"/>
      <c r="R628" s="721"/>
      <c r="S628" s="99"/>
      <c r="T628" s="324"/>
      <c r="U628" s="98"/>
      <c r="V628" s="98"/>
      <c r="W628" s="324">
        <v>2.0760000000000001</v>
      </c>
    </row>
    <row r="629" spans="1:23" ht="25.5" x14ac:dyDescent="0.25">
      <c r="A629" s="98">
        <f t="shared" si="6"/>
        <v>56</v>
      </c>
      <c r="B629" s="98"/>
      <c r="C629" s="98" t="s">
        <v>747</v>
      </c>
      <c r="D629" s="98" t="s">
        <v>1246</v>
      </c>
      <c r="E629" s="324">
        <v>2</v>
      </c>
      <c r="F629" s="98">
        <v>20</v>
      </c>
      <c r="G629" s="98"/>
      <c r="H629" s="98" t="s">
        <v>748</v>
      </c>
      <c r="I629" s="98" t="s">
        <v>419</v>
      </c>
      <c r="J629" s="98">
        <v>1200058894</v>
      </c>
      <c r="K629" s="99">
        <v>44081</v>
      </c>
      <c r="L629" s="98">
        <v>3100124685</v>
      </c>
      <c r="M629" s="325">
        <v>44095</v>
      </c>
      <c r="N629" s="99"/>
      <c r="O629" s="98"/>
      <c r="P629" s="98"/>
      <c r="Q629" s="98"/>
      <c r="R629" s="721"/>
      <c r="S629" s="99"/>
      <c r="T629" s="324"/>
      <c r="U629" s="98"/>
      <c r="V629" s="98"/>
      <c r="W629" s="324">
        <v>2</v>
      </c>
    </row>
    <row r="630" spans="1:23" ht="51" x14ac:dyDescent="0.25">
      <c r="A630" s="98">
        <f t="shared" si="6"/>
        <v>57</v>
      </c>
      <c r="B630" s="98"/>
      <c r="C630" s="98" t="s">
        <v>749</v>
      </c>
      <c r="D630" s="98" t="s">
        <v>2650</v>
      </c>
      <c r="E630" s="324">
        <v>1.9950000000000001</v>
      </c>
      <c r="F630" s="98">
        <v>20</v>
      </c>
      <c r="G630" s="98"/>
      <c r="H630" s="98" t="s">
        <v>750</v>
      </c>
      <c r="I630" s="98" t="s">
        <v>419</v>
      </c>
      <c r="J630" s="98">
        <v>1200062024</v>
      </c>
      <c r="K630" s="99">
        <v>44300</v>
      </c>
      <c r="L630" s="98">
        <v>3200076128</v>
      </c>
      <c r="M630" s="325">
        <v>44336</v>
      </c>
      <c r="N630" s="99">
        <v>44648</v>
      </c>
      <c r="O630" s="98"/>
      <c r="P630" s="98"/>
      <c r="Q630" s="98"/>
      <c r="R630" s="721"/>
      <c r="S630" s="99"/>
      <c r="T630" s="324"/>
      <c r="U630" s="98"/>
      <c r="V630" s="98"/>
      <c r="W630" s="324">
        <v>1.9950000000000001</v>
      </c>
    </row>
    <row r="631" spans="1:23" ht="25.5" x14ac:dyDescent="0.25">
      <c r="A631" s="98">
        <f t="shared" si="6"/>
        <v>58</v>
      </c>
      <c r="B631" s="98"/>
      <c r="C631" s="98" t="s">
        <v>751</v>
      </c>
      <c r="D631" s="98" t="s">
        <v>2650</v>
      </c>
      <c r="E631" s="324">
        <v>2</v>
      </c>
      <c r="F631" s="98">
        <v>20</v>
      </c>
      <c r="G631" s="98"/>
      <c r="H631" s="98" t="s">
        <v>752</v>
      </c>
      <c r="I631" s="98" t="s">
        <v>419</v>
      </c>
      <c r="J631" s="98">
        <v>1200051228</v>
      </c>
      <c r="K631" s="99">
        <v>43538</v>
      </c>
      <c r="L631" s="98">
        <v>3200052811</v>
      </c>
      <c r="M631" s="99">
        <v>43570</v>
      </c>
      <c r="N631" s="99">
        <v>43619</v>
      </c>
      <c r="O631" s="98"/>
      <c r="P631" s="98"/>
      <c r="Q631" s="98"/>
      <c r="R631" s="721">
        <v>8600052424</v>
      </c>
      <c r="S631" s="99">
        <v>43619</v>
      </c>
      <c r="T631" s="324">
        <f t="shared" ref="T631:T632" si="15">E631</f>
        <v>2</v>
      </c>
      <c r="U631" s="98"/>
      <c r="V631" s="324">
        <f t="shared" ref="V631:V632" si="16">T631</f>
        <v>2</v>
      </c>
      <c r="W631" s="98"/>
    </row>
    <row r="632" spans="1:23" ht="25.5" x14ac:dyDescent="0.25">
      <c r="A632" s="98">
        <f t="shared" si="6"/>
        <v>59</v>
      </c>
      <c r="B632" s="98"/>
      <c r="C632" s="98" t="s">
        <v>753</v>
      </c>
      <c r="D632" s="98" t="s">
        <v>1246</v>
      </c>
      <c r="E632" s="324">
        <v>1.44</v>
      </c>
      <c r="F632" s="98">
        <v>20</v>
      </c>
      <c r="G632" s="98"/>
      <c r="H632" s="98" t="s">
        <v>754</v>
      </c>
      <c r="I632" s="98" t="s">
        <v>419</v>
      </c>
      <c r="J632" s="98">
        <v>1200050780</v>
      </c>
      <c r="K632" s="99">
        <v>43504</v>
      </c>
      <c r="L632" s="98">
        <v>3200051237</v>
      </c>
      <c r="M632" s="99">
        <v>43516</v>
      </c>
      <c r="N632" s="99">
        <v>43662</v>
      </c>
      <c r="O632" s="98"/>
      <c r="P632" s="98"/>
      <c r="Q632" s="98"/>
      <c r="R632" s="721">
        <v>8600053629</v>
      </c>
      <c r="S632" s="99">
        <v>43662</v>
      </c>
      <c r="T632" s="324">
        <f t="shared" si="15"/>
        <v>1.44</v>
      </c>
      <c r="U632" s="98"/>
      <c r="V632" s="324">
        <f t="shared" si="16"/>
        <v>1.44</v>
      </c>
      <c r="W632" s="98"/>
    </row>
    <row r="633" spans="1:23" ht="51" x14ac:dyDescent="0.25">
      <c r="A633" s="98">
        <f t="shared" si="6"/>
        <v>60</v>
      </c>
      <c r="B633" s="98"/>
      <c r="C633" s="98" t="s">
        <v>755</v>
      </c>
      <c r="D633" s="98" t="s">
        <v>2625</v>
      </c>
      <c r="E633" s="324">
        <v>1.22</v>
      </c>
      <c r="F633" s="98">
        <v>20</v>
      </c>
      <c r="G633" s="98"/>
      <c r="H633" s="98" t="s">
        <v>756</v>
      </c>
      <c r="I633" s="98" t="s">
        <v>419</v>
      </c>
      <c r="J633" s="98">
        <v>1200051164</v>
      </c>
      <c r="K633" s="99">
        <v>43535</v>
      </c>
      <c r="L633" s="98">
        <v>3100100565</v>
      </c>
      <c r="M633" s="325">
        <v>43570</v>
      </c>
      <c r="N633" s="99">
        <v>44893</v>
      </c>
      <c r="O633" s="98"/>
      <c r="P633" s="98"/>
      <c r="Q633" s="98"/>
      <c r="R633" s="721">
        <v>8600074131</v>
      </c>
      <c r="S633" s="99">
        <v>44900</v>
      </c>
      <c r="T633" s="324">
        <v>1.22</v>
      </c>
      <c r="U633" s="98"/>
      <c r="V633" s="324">
        <f>T633</f>
        <v>1.22</v>
      </c>
      <c r="W633" s="324"/>
    </row>
    <row r="634" spans="1:23" ht="25.5" x14ac:dyDescent="0.25">
      <c r="A634" s="98">
        <f t="shared" si="6"/>
        <v>61</v>
      </c>
      <c r="B634" s="98"/>
      <c r="C634" s="98" t="s">
        <v>757</v>
      </c>
      <c r="D634" s="98" t="s">
        <v>779</v>
      </c>
      <c r="E634" s="324">
        <v>1.39</v>
      </c>
      <c r="F634" s="98">
        <v>20</v>
      </c>
      <c r="G634" s="98"/>
      <c r="H634" s="98" t="s">
        <v>758</v>
      </c>
      <c r="I634" s="98" t="s">
        <v>419</v>
      </c>
      <c r="J634" s="98">
        <v>1200051611</v>
      </c>
      <c r="K634" s="99">
        <v>43563</v>
      </c>
      <c r="L634" s="98">
        <v>3100101245</v>
      </c>
      <c r="M634" s="99">
        <v>43588</v>
      </c>
      <c r="N634" s="99">
        <v>43630</v>
      </c>
      <c r="O634" s="98"/>
      <c r="P634" s="98"/>
      <c r="Q634" s="98"/>
      <c r="R634" s="721">
        <v>8600052768</v>
      </c>
      <c r="S634" s="99">
        <v>43630</v>
      </c>
      <c r="T634" s="324">
        <f t="shared" ref="T634:T636" si="17">E634</f>
        <v>1.39</v>
      </c>
      <c r="U634" s="98"/>
      <c r="V634" s="324">
        <f t="shared" ref="V634:V636" si="18">T634</f>
        <v>1.39</v>
      </c>
      <c r="W634" s="98"/>
    </row>
    <row r="635" spans="1:23" ht="25.5" x14ac:dyDescent="0.25">
      <c r="A635" s="98">
        <f t="shared" si="6"/>
        <v>62</v>
      </c>
      <c r="B635" s="98"/>
      <c r="C635" s="98" t="s">
        <v>757</v>
      </c>
      <c r="D635" s="98" t="s">
        <v>779</v>
      </c>
      <c r="E635" s="324">
        <v>1.23</v>
      </c>
      <c r="F635" s="98">
        <v>20</v>
      </c>
      <c r="G635" s="98"/>
      <c r="H635" s="98" t="s">
        <v>759</v>
      </c>
      <c r="I635" s="98" t="s">
        <v>419</v>
      </c>
      <c r="J635" s="98">
        <v>1200051782</v>
      </c>
      <c r="K635" s="99">
        <v>43578</v>
      </c>
      <c r="L635" s="98">
        <v>3100101244</v>
      </c>
      <c r="M635" s="99">
        <v>43588</v>
      </c>
      <c r="N635" s="99">
        <v>43630</v>
      </c>
      <c r="O635" s="98"/>
      <c r="P635" s="98"/>
      <c r="Q635" s="98"/>
      <c r="R635" s="721">
        <v>8600052769</v>
      </c>
      <c r="S635" s="99">
        <v>43630</v>
      </c>
      <c r="T635" s="324">
        <f t="shared" si="17"/>
        <v>1.23</v>
      </c>
      <c r="U635" s="98"/>
      <c r="V635" s="324">
        <f t="shared" si="18"/>
        <v>1.23</v>
      </c>
      <c r="W635" s="98"/>
    </row>
    <row r="636" spans="1:23" ht="51" x14ac:dyDescent="0.25">
      <c r="A636" s="98">
        <f t="shared" si="6"/>
        <v>63</v>
      </c>
      <c r="B636" s="98"/>
      <c r="C636" s="98" t="s">
        <v>760</v>
      </c>
      <c r="D636" s="98" t="s">
        <v>2650</v>
      </c>
      <c r="E636" s="324">
        <v>1.615</v>
      </c>
      <c r="F636" s="98">
        <v>20</v>
      </c>
      <c r="G636" s="98"/>
      <c r="H636" s="98" t="s">
        <v>761</v>
      </c>
      <c r="I636" s="98" t="s">
        <v>419</v>
      </c>
      <c r="J636" s="98">
        <v>1200060518</v>
      </c>
      <c r="K636" s="99">
        <v>44195</v>
      </c>
      <c r="L636" s="98">
        <v>3100130202</v>
      </c>
      <c r="M636" s="99">
        <v>44223</v>
      </c>
      <c r="N636" s="99">
        <v>44322</v>
      </c>
      <c r="O636" s="98"/>
      <c r="P636" s="98"/>
      <c r="Q636" s="98"/>
      <c r="R636" s="721">
        <v>8600067251</v>
      </c>
      <c r="S636" s="99">
        <v>44322</v>
      </c>
      <c r="T636" s="324">
        <f t="shared" si="17"/>
        <v>1.615</v>
      </c>
      <c r="U636" s="98"/>
      <c r="V636" s="324">
        <f t="shared" si="18"/>
        <v>1.615</v>
      </c>
      <c r="W636" s="98"/>
    </row>
    <row r="637" spans="1:23" ht="25.5" x14ac:dyDescent="0.25">
      <c r="A637" s="98">
        <f t="shared" si="6"/>
        <v>64</v>
      </c>
      <c r="B637" s="98"/>
      <c r="C637" s="98" t="s">
        <v>762</v>
      </c>
      <c r="D637" s="98" t="s">
        <v>2625</v>
      </c>
      <c r="E637" s="324">
        <v>1.35</v>
      </c>
      <c r="F637" s="98">
        <v>20</v>
      </c>
      <c r="G637" s="98"/>
      <c r="H637" s="98" t="s">
        <v>763</v>
      </c>
      <c r="I637" s="98" t="s">
        <v>419</v>
      </c>
      <c r="J637" s="98">
        <v>1200064866</v>
      </c>
      <c r="K637" s="99">
        <v>44517</v>
      </c>
      <c r="L637" s="98">
        <v>3300000003</v>
      </c>
      <c r="M637" s="325">
        <v>44608</v>
      </c>
      <c r="N637" s="99" t="s">
        <v>5116</v>
      </c>
      <c r="O637" s="98"/>
      <c r="P637" s="98"/>
      <c r="Q637" s="98"/>
      <c r="R637" s="721"/>
      <c r="S637" s="99"/>
      <c r="T637" s="324"/>
      <c r="U637" s="98"/>
      <c r="V637" s="98"/>
      <c r="W637" s="324"/>
    </row>
    <row r="638" spans="1:23" ht="38.25" x14ac:dyDescent="0.25">
      <c r="A638" s="98">
        <f t="shared" si="6"/>
        <v>65</v>
      </c>
      <c r="B638" s="98"/>
      <c r="C638" s="98" t="s">
        <v>764</v>
      </c>
      <c r="D638" s="98" t="s">
        <v>779</v>
      </c>
      <c r="E638" s="324">
        <v>3.2</v>
      </c>
      <c r="F638" s="98">
        <v>20</v>
      </c>
      <c r="G638" s="98"/>
      <c r="H638" s="98" t="s">
        <v>765</v>
      </c>
      <c r="I638" s="98" t="s">
        <v>419</v>
      </c>
      <c r="J638" s="98">
        <v>1200061034</v>
      </c>
      <c r="K638" s="99">
        <v>44244</v>
      </c>
      <c r="L638" s="98">
        <v>3200075535</v>
      </c>
      <c r="M638" s="99">
        <v>44271</v>
      </c>
      <c r="N638" s="99">
        <v>44337</v>
      </c>
      <c r="O638" s="98"/>
      <c r="P638" s="98"/>
      <c r="Q638" s="98"/>
      <c r="R638" s="721">
        <v>8600067427</v>
      </c>
      <c r="S638" s="99">
        <v>44337</v>
      </c>
      <c r="T638" s="324">
        <f>E638</f>
        <v>3.2</v>
      </c>
      <c r="U638" s="98"/>
      <c r="V638" s="324">
        <f>T638</f>
        <v>3.2</v>
      </c>
      <c r="W638" s="98"/>
    </row>
    <row r="639" spans="1:23" ht="38.25" x14ac:dyDescent="0.25">
      <c r="A639" s="98">
        <f t="shared" si="6"/>
        <v>66</v>
      </c>
      <c r="B639" s="98"/>
      <c r="C639" s="98" t="s">
        <v>766</v>
      </c>
      <c r="D639" s="98" t="s">
        <v>779</v>
      </c>
      <c r="E639" s="324">
        <v>1.8</v>
      </c>
      <c r="F639" s="98">
        <v>20</v>
      </c>
      <c r="G639" s="98"/>
      <c r="H639" s="98" t="s">
        <v>767</v>
      </c>
      <c r="I639" s="98" t="s">
        <v>419</v>
      </c>
      <c r="J639" s="98">
        <v>1200066318</v>
      </c>
      <c r="K639" s="99">
        <v>44615</v>
      </c>
      <c r="L639" s="98">
        <v>3100156115</v>
      </c>
      <c r="M639" s="99">
        <v>44657</v>
      </c>
      <c r="N639" s="99">
        <v>44922</v>
      </c>
      <c r="O639" s="98"/>
      <c r="P639" s="98"/>
      <c r="Q639" s="98"/>
      <c r="R639" s="721">
        <v>8600074452</v>
      </c>
      <c r="S639" s="99">
        <v>44922</v>
      </c>
      <c r="T639" s="324">
        <v>1.8</v>
      </c>
      <c r="U639" s="98"/>
      <c r="V639" s="324">
        <f t="shared" ref="V639:V640" si="19">T639</f>
        <v>1.8</v>
      </c>
      <c r="W639" s="324"/>
    </row>
    <row r="640" spans="1:23" ht="25.5" x14ac:dyDescent="0.25">
      <c r="A640" s="98">
        <f t="shared" ref="A640:A703" si="20">A639+1</f>
        <v>67</v>
      </c>
      <c r="B640" s="98"/>
      <c r="C640" s="98" t="s">
        <v>768</v>
      </c>
      <c r="D640" s="98" t="s">
        <v>2650</v>
      </c>
      <c r="E640" s="324">
        <v>1.35</v>
      </c>
      <c r="F640" s="98">
        <v>20</v>
      </c>
      <c r="G640" s="98"/>
      <c r="H640" s="98" t="s">
        <v>769</v>
      </c>
      <c r="I640" s="98" t="s">
        <v>419</v>
      </c>
      <c r="J640" s="98">
        <v>1200066172</v>
      </c>
      <c r="K640" s="99">
        <v>44600</v>
      </c>
      <c r="L640" s="98">
        <v>3200078242</v>
      </c>
      <c r="M640" s="325">
        <v>44616</v>
      </c>
      <c r="N640" s="99">
        <v>45055</v>
      </c>
      <c r="O640" s="98"/>
      <c r="P640" s="98"/>
      <c r="Q640" s="98"/>
      <c r="R640" s="721">
        <v>8600075897</v>
      </c>
      <c r="S640" s="99">
        <v>45056</v>
      </c>
      <c r="T640" s="324">
        <v>1.35</v>
      </c>
      <c r="U640" s="98"/>
      <c r="V640" s="324">
        <f t="shared" si="19"/>
        <v>1.35</v>
      </c>
      <c r="W640" s="324"/>
    </row>
    <row r="641" spans="1:23" ht="51" x14ac:dyDescent="0.25">
      <c r="A641" s="98">
        <f t="shared" si="20"/>
        <v>68</v>
      </c>
      <c r="B641" s="98" t="s">
        <v>770</v>
      </c>
      <c r="C641" s="98" t="s">
        <v>771</v>
      </c>
      <c r="D641" s="98" t="s">
        <v>1250</v>
      </c>
      <c r="E641" s="324">
        <v>3.3839999999999999</v>
      </c>
      <c r="F641" s="98">
        <v>20</v>
      </c>
      <c r="G641" s="98" t="s">
        <v>772</v>
      </c>
      <c r="H641" s="98" t="s">
        <v>773</v>
      </c>
      <c r="I641" s="98" t="s">
        <v>774</v>
      </c>
      <c r="J641" s="98">
        <v>4348</v>
      </c>
      <c r="K641" s="99">
        <v>44357</v>
      </c>
      <c r="L641" s="98" t="s">
        <v>775</v>
      </c>
      <c r="M641" s="325">
        <v>44358</v>
      </c>
      <c r="N641" s="99">
        <v>45291</v>
      </c>
      <c r="O641" s="98" t="s">
        <v>25</v>
      </c>
      <c r="P641" s="98" t="s">
        <v>25</v>
      </c>
      <c r="Q641" s="98" t="s">
        <v>25</v>
      </c>
      <c r="R641" s="721"/>
      <c r="S641" s="99"/>
      <c r="T641" s="98"/>
      <c r="U641" s="98" t="s">
        <v>776</v>
      </c>
      <c r="V641" s="98"/>
      <c r="W641" s="98">
        <v>3.3839999999999999</v>
      </c>
    </row>
    <row r="642" spans="1:23" ht="38.25" x14ac:dyDescent="0.25">
      <c r="A642" s="98">
        <f t="shared" si="20"/>
        <v>69</v>
      </c>
      <c r="B642" s="98" t="s">
        <v>777</v>
      </c>
      <c r="C642" s="98" t="s">
        <v>778</v>
      </c>
      <c r="D642" s="98" t="s">
        <v>779</v>
      </c>
      <c r="E642" s="324">
        <v>2.5</v>
      </c>
      <c r="F642" s="98" t="s">
        <v>780</v>
      </c>
      <c r="G642" s="98" t="s">
        <v>781</v>
      </c>
      <c r="H642" s="98" t="s">
        <v>782</v>
      </c>
      <c r="I642" s="98" t="s">
        <v>783</v>
      </c>
      <c r="J642" s="98" t="s">
        <v>784</v>
      </c>
      <c r="K642" s="99">
        <v>43907</v>
      </c>
      <c r="L642" s="98" t="s">
        <v>785</v>
      </c>
      <c r="M642" s="99">
        <v>43635</v>
      </c>
      <c r="N642" s="99" t="s">
        <v>786</v>
      </c>
      <c r="O642" s="98" t="s">
        <v>25</v>
      </c>
      <c r="P642" s="98" t="s">
        <v>25</v>
      </c>
      <c r="Q642" s="98" t="s">
        <v>25</v>
      </c>
      <c r="R642" s="721" t="s">
        <v>25</v>
      </c>
      <c r="S642" s="99" t="s">
        <v>25</v>
      </c>
      <c r="T642" s="98" t="s">
        <v>25</v>
      </c>
      <c r="U642" s="98" t="s">
        <v>787</v>
      </c>
      <c r="V642" s="98"/>
      <c r="W642" s="98"/>
    </row>
    <row r="643" spans="1:23" ht="76.5" x14ac:dyDescent="0.25">
      <c r="A643" s="98">
        <f t="shared" si="20"/>
        <v>70</v>
      </c>
      <c r="B643" s="98" t="s">
        <v>788</v>
      </c>
      <c r="C643" s="98" t="s">
        <v>789</v>
      </c>
      <c r="D643" s="98" t="s">
        <v>779</v>
      </c>
      <c r="E643" s="324">
        <v>1.476</v>
      </c>
      <c r="F643" s="98" t="s">
        <v>780</v>
      </c>
      <c r="G643" s="98" t="s">
        <v>790</v>
      </c>
      <c r="H643" s="98" t="s">
        <v>791</v>
      </c>
      <c r="I643" s="98" t="s">
        <v>783</v>
      </c>
      <c r="J643" s="98" t="s">
        <v>792</v>
      </c>
      <c r="K643" s="99">
        <v>44292</v>
      </c>
      <c r="L643" s="98" t="s">
        <v>793</v>
      </c>
      <c r="M643" s="99">
        <v>44326</v>
      </c>
      <c r="N643" s="99" t="s">
        <v>116</v>
      </c>
      <c r="O643" s="98" t="s">
        <v>25</v>
      </c>
      <c r="P643" s="98" t="s">
        <v>25</v>
      </c>
      <c r="Q643" s="98" t="s">
        <v>25</v>
      </c>
      <c r="R643" s="721" t="s">
        <v>25</v>
      </c>
      <c r="S643" s="99" t="s">
        <v>25</v>
      </c>
      <c r="T643" s="98" t="s">
        <v>25</v>
      </c>
      <c r="U643" s="98" t="s">
        <v>787</v>
      </c>
      <c r="V643" s="98"/>
      <c r="W643" s="98"/>
    </row>
    <row r="644" spans="1:23" ht="38.25" x14ac:dyDescent="0.25">
      <c r="A644" s="98">
        <f t="shared" si="20"/>
        <v>71</v>
      </c>
      <c r="B644" s="98"/>
      <c r="C644" s="98" t="s">
        <v>853</v>
      </c>
      <c r="D644" s="98" t="s">
        <v>2650</v>
      </c>
      <c r="E644" s="324">
        <v>1</v>
      </c>
      <c r="F644" s="98">
        <v>20</v>
      </c>
      <c r="G644" s="98"/>
      <c r="H644" s="98" t="s">
        <v>854</v>
      </c>
      <c r="I644" s="98" t="s">
        <v>783</v>
      </c>
      <c r="J644" s="98">
        <v>1200066657</v>
      </c>
      <c r="K644" s="99">
        <v>44627</v>
      </c>
      <c r="L644" s="98">
        <v>3100160139</v>
      </c>
      <c r="M644" s="99">
        <v>44809</v>
      </c>
      <c r="N644" s="99">
        <v>44820</v>
      </c>
      <c r="O644" s="98"/>
      <c r="P644" s="98"/>
      <c r="Q644" s="98"/>
      <c r="R644" s="721">
        <v>8600073067</v>
      </c>
      <c r="S644" s="99">
        <v>44824</v>
      </c>
      <c r="T644" s="324">
        <v>1</v>
      </c>
      <c r="U644" s="98"/>
      <c r="V644" s="324">
        <f>T644</f>
        <v>1</v>
      </c>
      <c r="W644" s="324"/>
    </row>
    <row r="645" spans="1:23" ht="38.25" x14ac:dyDescent="0.25">
      <c r="A645" s="98">
        <f t="shared" si="20"/>
        <v>72</v>
      </c>
      <c r="B645" s="98"/>
      <c r="C645" s="98" t="s">
        <v>855</v>
      </c>
      <c r="D645" s="98" t="s">
        <v>779</v>
      </c>
      <c r="E645" s="324">
        <v>1.24</v>
      </c>
      <c r="F645" s="98">
        <v>20</v>
      </c>
      <c r="G645" s="98"/>
      <c r="H645" s="98" t="s">
        <v>856</v>
      </c>
      <c r="I645" s="98" t="s">
        <v>783</v>
      </c>
      <c r="J645" s="98">
        <v>1200067066</v>
      </c>
      <c r="K645" s="99">
        <v>44652</v>
      </c>
      <c r="L645" s="98">
        <v>3200080710</v>
      </c>
      <c r="M645" s="99">
        <v>44708</v>
      </c>
      <c r="N645" s="99" t="s">
        <v>5116</v>
      </c>
      <c r="O645" s="98"/>
      <c r="P645" s="98"/>
      <c r="Q645" s="98"/>
      <c r="R645" s="721"/>
      <c r="S645" s="99"/>
      <c r="T645" s="98"/>
      <c r="U645" s="98"/>
      <c r="V645" s="98"/>
      <c r="W645" s="324">
        <v>1.24</v>
      </c>
    </row>
    <row r="646" spans="1:23" ht="38.25" x14ac:dyDescent="0.25">
      <c r="A646" s="98">
        <f t="shared" si="20"/>
        <v>73</v>
      </c>
      <c r="B646" s="98" t="s">
        <v>1259</v>
      </c>
      <c r="C646" s="98"/>
      <c r="D646" s="98" t="s">
        <v>2650</v>
      </c>
      <c r="E646" s="324">
        <v>3.375</v>
      </c>
      <c r="F646" s="98">
        <v>20</v>
      </c>
      <c r="G646" s="98"/>
      <c r="H646" s="98" t="s">
        <v>1260</v>
      </c>
      <c r="I646" s="98" t="s">
        <v>783</v>
      </c>
      <c r="J646" s="98">
        <v>1200067599</v>
      </c>
      <c r="K646" s="325">
        <v>44685</v>
      </c>
      <c r="L646" s="98">
        <v>3200080757</v>
      </c>
      <c r="M646" s="99">
        <v>44795</v>
      </c>
      <c r="N646" s="99">
        <v>44876</v>
      </c>
      <c r="O646" s="98" t="s">
        <v>25</v>
      </c>
      <c r="P646" s="98" t="s">
        <v>25</v>
      </c>
      <c r="Q646" s="98" t="s">
        <v>25</v>
      </c>
      <c r="R646" s="721">
        <v>8600073811</v>
      </c>
      <c r="S646" s="99">
        <v>44876</v>
      </c>
      <c r="T646" s="98">
        <v>3.375</v>
      </c>
      <c r="U646" s="98"/>
      <c r="V646" s="98">
        <v>3.375</v>
      </c>
      <c r="W646" s="98"/>
    </row>
    <row r="647" spans="1:23" ht="38.25" x14ac:dyDescent="0.25">
      <c r="A647" s="98">
        <f t="shared" si="20"/>
        <v>74</v>
      </c>
      <c r="B647" s="98" t="s">
        <v>1261</v>
      </c>
      <c r="C647" s="98" t="s">
        <v>1262</v>
      </c>
      <c r="D647" s="98" t="s">
        <v>2625</v>
      </c>
      <c r="E647" s="324">
        <v>6.3</v>
      </c>
      <c r="F647" s="98">
        <v>110</v>
      </c>
      <c r="G647" s="98" t="s">
        <v>1263</v>
      </c>
      <c r="H647" s="98" t="s">
        <v>1264</v>
      </c>
      <c r="I647" s="98" t="s">
        <v>783</v>
      </c>
      <c r="J647" s="98">
        <v>1200068044</v>
      </c>
      <c r="K647" s="325">
        <v>44707</v>
      </c>
      <c r="L647" s="98">
        <v>3100157915</v>
      </c>
      <c r="M647" s="99">
        <v>44712</v>
      </c>
      <c r="N647" s="99">
        <v>44741</v>
      </c>
      <c r="O647" s="98" t="s">
        <v>25</v>
      </c>
      <c r="P647" s="98" t="s">
        <v>25</v>
      </c>
      <c r="Q647" s="98" t="s">
        <v>25</v>
      </c>
      <c r="R647" s="721">
        <v>8600072235</v>
      </c>
      <c r="S647" s="99">
        <v>44741</v>
      </c>
      <c r="T647" s="98">
        <v>6.3</v>
      </c>
      <c r="U647" s="98"/>
      <c r="V647" s="98">
        <v>6.3</v>
      </c>
      <c r="W647" s="98"/>
    </row>
    <row r="648" spans="1:23" ht="38.25" x14ac:dyDescent="0.25">
      <c r="A648" s="98">
        <f t="shared" si="20"/>
        <v>75</v>
      </c>
      <c r="B648" s="98" t="s">
        <v>1266</v>
      </c>
      <c r="C648" s="98" t="s">
        <v>1267</v>
      </c>
      <c r="D648" s="98" t="s">
        <v>779</v>
      </c>
      <c r="E648" s="324">
        <v>1.2</v>
      </c>
      <c r="F648" s="98">
        <v>20</v>
      </c>
      <c r="G648" s="98"/>
      <c r="H648" s="98" t="s">
        <v>1268</v>
      </c>
      <c r="I648" s="98" t="s">
        <v>783</v>
      </c>
      <c r="J648" s="98">
        <v>1200067765</v>
      </c>
      <c r="K648" s="325">
        <v>44694</v>
      </c>
      <c r="L648" s="98">
        <v>3100166284</v>
      </c>
      <c r="M648" s="99">
        <v>45056</v>
      </c>
      <c r="N648" s="99">
        <v>45266</v>
      </c>
      <c r="O648" s="98"/>
      <c r="P648" s="98"/>
      <c r="Q648" s="98"/>
      <c r="R648" s="721">
        <v>8600078481</v>
      </c>
      <c r="S648" s="99">
        <v>45266</v>
      </c>
      <c r="T648" s="324">
        <v>1.2</v>
      </c>
      <c r="U648" s="98"/>
      <c r="V648" s="324">
        <f t="shared" ref="V648:V649" si="21">T648</f>
        <v>1.2</v>
      </c>
      <c r="W648" s="98"/>
    </row>
    <row r="649" spans="1:23" ht="38.25" x14ac:dyDescent="0.25">
      <c r="A649" s="98">
        <f t="shared" si="20"/>
        <v>76</v>
      </c>
      <c r="B649" s="98" t="s">
        <v>1269</v>
      </c>
      <c r="C649" s="98" t="s">
        <v>1270</v>
      </c>
      <c r="D649" s="98" t="s">
        <v>779</v>
      </c>
      <c r="E649" s="324">
        <v>1</v>
      </c>
      <c r="F649" s="98">
        <v>20</v>
      </c>
      <c r="G649" s="98"/>
      <c r="H649" s="98" t="s">
        <v>1271</v>
      </c>
      <c r="I649" s="98" t="s">
        <v>783</v>
      </c>
      <c r="J649" s="98">
        <v>1200067775</v>
      </c>
      <c r="K649" s="325">
        <v>44694</v>
      </c>
      <c r="L649" s="98">
        <v>3100166278</v>
      </c>
      <c r="M649" s="99">
        <v>45056</v>
      </c>
      <c r="N649" s="99">
        <v>45113</v>
      </c>
      <c r="O649" s="98"/>
      <c r="P649" s="98"/>
      <c r="Q649" s="98"/>
      <c r="R649" s="721">
        <v>8600076537</v>
      </c>
      <c r="S649" s="99">
        <v>45113</v>
      </c>
      <c r="T649" s="324">
        <v>1</v>
      </c>
      <c r="U649" s="98"/>
      <c r="V649" s="324">
        <f t="shared" si="21"/>
        <v>1</v>
      </c>
      <c r="W649" s="98"/>
    </row>
    <row r="650" spans="1:23" ht="38.25" x14ac:dyDescent="0.25">
      <c r="A650" s="98">
        <f t="shared" si="20"/>
        <v>77</v>
      </c>
      <c r="B650" s="98"/>
      <c r="C650" s="98" t="s">
        <v>2670</v>
      </c>
      <c r="D650" s="98" t="s">
        <v>1250</v>
      </c>
      <c r="E650" s="324">
        <v>1.2170000000000001</v>
      </c>
      <c r="F650" s="98">
        <v>20</v>
      </c>
      <c r="G650" s="98"/>
      <c r="H650" s="98" t="s">
        <v>2671</v>
      </c>
      <c r="I650" s="98" t="s">
        <v>783</v>
      </c>
      <c r="J650" s="98">
        <v>1200071493</v>
      </c>
      <c r="K650" s="325">
        <v>44956</v>
      </c>
      <c r="L650" s="98">
        <v>3200092294</v>
      </c>
      <c r="M650" s="99">
        <v>45086</v>
      </c>
      <c r="N650" s="99">
        <v>45254</v>
      </c>
      <c r="O650" s="98"/>
      <c r="P650" s="98"/>
      <c r="Q650" s="98"/>
      <c r="R650" s="721">
        <v>8600078399</v>
      </c>
      <c r="S650" s="99">
        <v>45254</v>
      </c>
      <c r="T650" s="98">
        <v>1.2170000000000001</v>
      </c>
      <c r="U650" s="98"/>
      <c r="V650" s="324">
        <v>1.2170000000000001</v>
      </c>
      <c r="W650" s="324"/>
    </row>
    <row r="651" spans="1:23" ht="51" x14ac:dyDescent="0.25">
      <c r="A651" s="98">
        <f t="shared" si="20"/>
        <v>78</v>
      </c>
      <c r="B651" s="98"/>
      <c r="C651" s="98" t="s">
        <v>2672</v>
      </c>
      <c r="D651" s="98" t="s">
        <v>2650</v>
      </c>
      <c r="E651" s="324">
        <v>1.45</v>
      </c>
      <c r="F651" s="98">
        <v>20</v>
      </c>
      <c r="G651" s="98"/>
      <c r="H651" s="98" t="s">
        <v>2673</v>
      </c>
      <c r="I651" s="98" t="s">
        <v>783</v>
      </c>
      <c r="J651" s="98">
        <v>1200068213</v>
      </c>
      <c r="K651" s="325">
        <v>44721</v>
      </c>
      <c r="L651" s="98">
        <v>3100158387</v>
      </c>
      <c r="M651" s="99">
        <v>44729</v>
      </c>
      <c r="N651" s="99">
        <v>44953</v>
      </c>
      <c r="O651" s="98"/>
      <c r="P651" s="98"/>
      <c r="Q651" s="98"/>
      <c r="R651" s="721">
        <v>8600074762</v>
      </c>
      <c r="S651" s="99">
        <v>44953</v>
      </c>
      <c r="T651" s="324">
        <v>1.45</v>
      </c>
      <c r="U651" s="98"/>
      <c r="V651" s="324">
        <v>1.45</v>
      </c>
      <c r="W651" s="324"/>
    </row>
    <row r="652" spans="1:23" ht="38.25" x14ac:dyDescent="0.25">
      <c r="A652" s="98">
        <f t="shared" si="20"/>
        <v>79</v>
      </c>
      <c r="B652" s="98"/>
      <c r="C652" s="334" t="s">
        <v>2674</v>
      </c>
      <c r="D652" s="98" t="s">
        <v>2643</v>
      </c>
      <c r="E652" s="324">
        <v>1.6</v>
      </c>
      <c r="F652" s="98">
        <v>20</v>
      </c>
      <c r="G652" s="98"/>
      <c r="H652" s="98" t="s">
        <v>2675</v>
      </c>
      <c r="I652" s="98" t="s">
        <v>783</v>
      </c>
      <c r="J652" s="98">
        <v>1200069069</v>
      </c>
      <c r="K652" s="325">
        <v>44792</v>
      </c>
      <c r="L652" s="98"/>
      <c r="M652" s="99"/>
      <c r="N652" s="99" t="s">
        <v>5116</v>
      </c>
      <c r="O652" s="98"/>
      <c r="P652" s="98"/>
      <c r="Q652" s="98"/>
      <c r="R652" s="721"/>
      <c r="S652" s="99"/>
      <c r="T652" s="325"/>
      <c r="U652" s="98"/>
      <c r="V652" s="98"/>
      <c r="W652" s="324">
        <v>1.6</v>
      </c>
    </row>
    <row r="653" spans="1:23" ht="38.25" x14ac:dyDescent="0.25">
      <c r="A653" s="98">
        <f t="shared" si="20"/>
        <v>80</v>
      </c>
      <c r="B653" s="98"/>
      <c r="C653" s="334" t="s">
        <v>2676</v>
      </c>
      <c r="D653" s="98" t="s">
        <v>2650</v>
      </c>
      <c r="E653" s="324">
        <v>45</v>
      </c>
      <c r="F653" s="98">
        <v>110</v>
      </c>
      <c r="G653" s="98" t="s">
        <v>2677</v>
      </c>
      <c r="H653" s="98" t="s">
        <v>2678</v>
      </c>
      <c r="I653" s="98" t="s">
        <v>783</v>
      </c>
      <c r="J653" s="98">
        <v>1200069674</v>
      </c>
      <c r="K653" s="325">
        <v>44837</v>
      </c>
      <c r="L653" s="98">
        <v>3100162127</v>
      </c>
      <c r="M653" s="99">
        <v>44882</v>
      </c>
      <c r="N653" s="99"/>
      <c r="O653" s="98"/>
      <c r="P653" s="98"/>
      <c r="Q653" s="98"/>
      <c r="R653" s="721"/>
      <c r="S653" s="99"/>
      <c r="T653" s="325"/>
      <c r="U653" s="98" t="s">
        <v>2680</v>
      </c>
      <c r="V653" s="98"/>
      <c r="W653" s="324">
        <v>45</v>
      </c>
    </row>
    <row r="654" spans="1:23" ht="38.25" x14ac:dyDescent="0.25">
      <c r="A654" s="98">
        <f t="shared" si="20"/>
        <v>81</v>
      </c>
      <c r="B654" s="98"/>
      <c r="C654" s="334" t="s">
        <v>2681</v>
      </c>
      <c r="D654" s="98" t="s">
        <v>1246</v>
      </c>
      <c r="E654" s="324">
        <v>1.2</v>
      </c>
      <c r="F654" s="98">
        <v>20</v>
      </c>
      <c r="G654" s="98"/>
      <c r="H654" s="98" t="s">
        <v>2682</v>
      </c>
      <c r="I654" s="98" t="s">
        <v>783</v>
      </c>
      <c r="J654" s="98">
        <v>1200069241</v>
      </c>
      <c r="K654" s="325">
        <v>44806</v>
      </c>
      <c r="L654" s="98">
        <v>3100160082</v>
      </c>
      <c r="M654" s="99">
        <v>44806</v>
      </c>
      <c r="N654" s="99">
        <v>45042</v>
      </c>
      <c r="O654" s="98"/>
      <c r="P654" s="98"/>
      <c r="Q654" s="98"/>
      <c r="R654" s="721">
        <v>8600075726</v>
      </c>
      <c r="S654" s="99">
        <v>45042</v>
      </c>
      <c r="T654" s="324">
        <v>1.2</v>
      </c>
      <c r="U654" s="98"/>
      <c r="V654" s="324">
        <f t="shared" ref="V654:V655" si="22">T654</f>
        <v>1.2</v>
      </c>
      <c r="W654" s="324"/>
    </row>
    <row r="655" spans="1:23" ht="38.25" x14ac:dyDescent="0.25">
      <c r="A655" s="98">
        <f t="shared" si="20"/>
        <v>82</v>
      </c>
      <c r="B655" s="98"/>
      <c r="C655" s="334" t="s">
        <v>676</v>
      </c>
      <c r="D655" s="98" t="s">
        <v>2650</v>
      </c>
      <c r="E655" s="324">
        <v>4.5</v>
      </c>
      <c r="F655" s="98">
        <v>20</v>
      </c>
      <c r="G655" s="98"/>
      <c r="H655" s="98" t="s">
        <v>2683</v>
      </c>
      <c r="I655" s="98" t="s">
        <v>783</v>
      </c>
      <c r="J655" s="98">
        <v>1200070715</v>
      </c>
      <c r="K655" s="325">
        <v>44900</v>
      </c>
      <c r="L655" s="98">
        <v>3200088509</v>
      </c>
      <c r="M655" s="99">
        <v>44984</v>
      </c>
      <c r="N655" s="99">
        <v>45316</v>
      </c>
      <c r="O655" s="98"/>
      <c r="P655" s="98"/>
      <c r="Q655" s="98"/>
      <c r="R655" s="721">
        <v>8600079049</v>
      </c>
      <c r="S655" s="99">
        <v>45316</v>
      </c>
      <c r="T655" s="324">
        <v>4.5</v>
      </c>
      <c r="U655" s="98"/>
      <c r="V655" s="324">
        <f t="shared" si="22"/>
        <v>4.5</v>
      </c>
      <c r="W655" s="324"/>
    </row>
    <row r="656" spans="1:23" ht="38.25" x14ac:dyDescent="0.25">
      <c r="A656" s="98">
        <f t="shared" si="20"/>
        <v>83</v>
      </c>
      <c r="B656" s="98"/>
      <c r="C656" s="334" t="s">
        <v>855</v>
      </c>
      <c r="D656" s="98" t="s">
        <v>779</v>
      </c>
      <c r="E656" s="324">
        <v>1.24</v>
      </c>
      <c r="F656" s="98">
        <v>20</v>
      </c>
      <c r="G656" s="98"/>
      <c r="H656" s="98" t="s">
        <v>856</v>
      </c>
      <c r="I656" s="98" t="s">
        <v>783</v>
      </c>
      <c r="J656" s="98">
        <v>1200071468</v>
      </c>
      <c r="K656" s="325">
        <v>44957</v>
      </c>
      <c r="L656" s="98">
        <v>3200080710</v>
      </c>
      <c r="M656" s="99">
        <v>44708</v>
      </c>
      <c r="N656" s="99">
        <v>45307</v>
      </c>
      <c r="O656" s="98"/>
      <c r="P656" s="98"/>
      <c r="Q656" s="98"/>
      <c r="R656" s="721">
        <v>8600078986</v>
      </c>
      <c r="S656" s="99">
        <v>45309</v>
      </c>
      <c r="T656" s="324">
        <v>1.24</v>
      </c>
      <c r="U656" s="98" t="s">
        <v>5120</v>
      </c>
      <c r="V656" s="324">
        <v>1.24</v>
      </c>
      <c r="W656" s="324"/>
    </row>
    <row r="657" spans="1:23" ht="51" x14ac:dyDescent="0.25">
      <c r="A657" s="98">
        <f t="shared" si="20"/>
        <v>84</v>
      </c>
      <c r="B657" s="98"/>
      <c r="C657" s="334" t="s">
        <v>2684</v>
      </c>
      <c r="D657" s="98" t="s">
        <v>779</v>
      </c>
      <c r="E657" s="324">
        <v>4</v>
      </c>
      <c r="F657" s="98">
        <v>20</v>
      </c>
      <c r="G657" s="98"/>
      <c r="H657" s="98" t="s">
        <v>2685</v>
      </c>
      <c r="I657" s="98" t="s">
        <v>783</v>
      </c>
      <c r="J657" s="98">
        <v>1200068082</v>
      </c>
      <c r="K657" s="325">
        <v>44720</v>
      </c>
      <c r="L657" s="98">
        <v>3200081638</v>
      </c>
      <c r="M657" s="99">
        <v>44756</v>
      </c>
      <c r="N657" s="99" t="s">
        <v>5116</v>
      </c>
      <c r="O657" s="98"/>
      <c r="P657" s="98"/>
      <c r="Q657" s="98"/>
      <c r="R657" s="721"/>
      <c r="S657" s="99"/>
      <c r="T657" s="325"/>
      <c r="U657" s="98"/>
      <c r="V657" s="98"/>
      <c r="W657" s="324">
        <v>4</v>
      </c>
    </row>
    <row r="658" spans="1:23" ht="38.25" x14ac:dyDescent="0.25">
      <c r="A658" s="98">
        <f t="shared" si="20"/>
        <v>85</v>
      </c>
      <c r="B658" s="98"/>
      <c r="C658" s="334" t="s">
        <v>696</v>
      </c>
      <c r="D658" s="98" t="s">
        <v>2643</v>
      </c>
      <c r="E658" s="324">
        <v>1.0549999999999999</v>
      </c>
      <c r="F658" s="98">
        <v>20</v>
      </c>
      <c r="G658" s="98"/>
      <c r="H658" s="98" t="s">
        <v>697</v>
      </c>
      <c r="I658" s="98" t="s">
        <v>783</v>
      </c>
      <c r="J658" s="98">
        <v>1200070991</v>
      </c>
      <c r="K658" s="325">
        <v>44917</v>
      </c>
      <c r="L658" s="98"/>
      <c r="M658" s="98"/>
      <c r="N658" s="99" t="s">
        <v>5116</v>
      </c>
      <c r="O658" s="98"/>
      <c r="P658" s="98"/>
      <c r="Q658" s="98"/>
      <c r="R658" s="721"/>
      <c r="S658" s="99"/>
      <c r="T658" s="325"/>
      <c r="U658" s="98"/>
      <c r="V658" s="98"/>
      <c r="W658" s="324">
        <v>1.0549999999999999</v>
      </c>
    </row>
    <row r="659" spans="1:23" ht="38.25" x14ac:dyDescent="0.25">
      <c r="A659" s="98">
        <f t="shared" si="20"/>
        <v>86</v>
      </c>
      <c r="B659" s="98"/>
      <c r="C659" s="334" t="s">
        <v>2686</v>
      </c>
      <c r="D659" s="98" t="s">
        <v>1250</v>
      </c>
      <c r="E659" s="324">
        <v>1.6830000000000001</v>
      </c>
      <c r="F659" s="98">
        <v>20</v>
      </c>
      <c r="G659" s="98"/>
      <c r="H659" s="98" t="s">
        <v>2687</v>
      </c>
      <c r="I659" s="98" t="s">
        <v>783</v>
      </c>
      <c r="J659" s="98">
        <v>1200070268</v>
      </c>
      <c r="K659" s="325">
        <v>44869</v>
      </c>
      <c r="L659" s="98">
        <v>3200085706</v>
      </c>
      <c r="M659" s="99">
        <v>44871</v>
      </c>
      <c r="N659" s="99">
        <v>45203</v>
      </c>
      <c r="O659" s="98"/>
      <c r="P659" s="98"/>
      <c r="Q659" s="98"/>
      <c r="R659" s="721">
        <v>8600077602</v>
      </c>
      <c r="S659" s="99">
        <v>45203</v>
      </c>
      <c r="T659" s="324">
        <v>1.6830000000000001</v>
      </c>
      <c r="U659" s="98"/>
      <c r="V659" s="324">
        <f t="shared" ref="V659:V662" si="23">T659</f>
        <v>1.6830000000000001</v>
      </c>
      <c r="W659" s="324"/>
    </row>
    <row r="660" spans="1:23" ht="38.25" x14ac:dyDescent="0.25">
      <c r="A660" s="98">
        <f t="shared" si="20"/>
        <v>87</v>
      </c>
      <c r="B660" s="98"/>
      <c r="C660" s="334" t="s">
        <v>2688</v>
      </c>
      <c r="D660" s="98" t="s">
        <v>1250</v>
      </c>
      <c r="E660" s="324">
        <v>5.95</v>
      </c>
      <c r="F660" s="98">
        <v>20</v>
      </c>
      <c r="G660" s="98"/>
      <c r="H660" s="98" t="s">
        <v>2689</v>
      </c>
      <c r="I660" s="98" t="s">
        <v>783</v>
      </c>
      <c r="J660" s="98">
        <v>1200068200</v>
      </c>
      <c r="K660" s="325">
        <v>44721</v>
      </c>
      <c r="L660" s="98">
        <v>3200090547</v>
      </c>
      <c r="M660" s="99">
        <v>45035</v>
      </c>
      <c r="N660" s="99">
        <v>45267</v>
      </c>
      <c r="O660" s="98"/>
      <c r="P660" s="98"/>
      <c r="Q660" s="98"/>
      <c r="R660" s="721">
        <v>8600078914</v>
      </c>
      <c r="S660" s="99">
        <v>45299</v>
      </c>
      <c r="T660" s="324">
        <v>5.95</v>
      </c>
      <c r="U660" s="98"/>
      <c r="V660" s="324">
        <f t="shared" si="23"/>
        <v>5.95</v>
      </c>
      <c r="W660" s="324"/>
    </row>
    <row r="661" spans="1:23" ht="38.25" x14ac:dyDescent="0.25">
      <c r="A661" s="98">
        <f t="shared" si="20"/>
        <v>88</v>
      </c>
      <c r="B661" s="98"/>
      <c r="C661" s="334" t="s">
        <v>2690</v>
      </c>
      <c r="D661" s="98" t="s">
        <v>2625</v>
      </c>
      <c r="E661" s="324">
        <v>2</v>
      </c>
      <c r="F661" s="98">
        <v>20</v>
      </c>
      <c r="G661" s="98"/>
      <c r="H661" s="98" t="s">
        <v>2691</v>
      </c>
      <c r="I661" s="98" t="s">
        <v>783</v>
      </c>
      <c r="J661" s="98">
        <v>1200069645</v>
      </c>
      <c r="K661" s="325">
        <v>44833</v>
      </c>
      <c r="L661" s="98">
        <v>3200085445</v>
      </c>
      <c r="M661" s="99">
        <v>44865</v>
      </c>
      <c r="N661" s="99">
        <v>44986</v>
      </c>
      <c r="O661" s="98"/>
      <c r="P661" s="98"/>
      <c r="Q661" s="98"/>
      <c r="R661" s="721">
        <v>8600075032</v>
      </c>
      <c r="S661" s="99">
        <v>44986</v>
      </c>
      <c r="T661" s="324">
        <v>2</v>
      </c>
      <c r="U661" s="98"/>
      <c r="V661" s="324">
        <f t="shared" si="23"/>
        <v>2</v>
      </c>
      <c r="W661" s="324"/>
    </row>
    <row r="662" spans="1:23" ht="38.25" x14ac:dyDescent="0.25">
      <c r="A662" s="98">
        <f t="shared" si="20"/>
        <v>89</v>
      </c>
      <c r="B662" s="98"/>
      <c r="C662" s="334" t="s">
        <v>2693</v>
      </c>
      <c r="D662" s="98" t="s">
        <v>2650</v>
      </c>
      <c r="E662" s="324">
        <v>1.0640000000000001</v>
      </c>
      <c r="F662" s="98">
        <v>20</v>
      </c>
      <c r="G662" s="98"/>
      <c r="H662" s="98" t="s">
        <v>2694</v>
      </c>
      <c r="I662" s="98" t="s">
        <v>783</v>
      </c>
      <c r="J662" s="98">
        <v>1200070854</v>
      </c>
      <c r="K662" s="325">
        <v>44907</v>
      </c>
      <c r="L662" s="98">
        <v>3200088355</v>
      </c>
      <c r="M662" s="99">
        <v>44974</v>
      </c>
      <c r="N662" s="99">
        <v>45097</v>
      </c>
      <c r="O662" s="98"/>
      <c r="P662" s="98"/>
      <c r="Q662" s="98"/>
      <c r="R662" s="721">
        <v>8600076313</v>
      </c>
      <c r="S662" s="99">
        <v>45097</v>
      </c>
      <c r="T662" s="324">
        <v>1.0640000000000001</v>
      </c>
      <c r="U662" s="98"/>
      <c r="V662" s="324">
        <f t="shared" si="23"/>
        <v>1.0640000000000001</v>
      </c>
      <c r="W662" s="324"/>
    </row>
    <row r="663" spans="1:23" ht="38.25" x14ac:dyDescent="0.25">
      <c r="A663" s="98">
        <f t="shared" si="20"/>
        <v>90</v>
      </c>
      <c r="B663" s="98"/>
      <c r="C663" s="334" t="s">
        <v>2695</v>
      </c>
      <c r="D663" s="98" t="s">
        <v>1250</v>
      </c>
      <c r="E663" s="324">
        <v>1.2</v>
      </c>
      <c r="F663" s="98">
        <v>20</v>
      </c>
      <c r="G663" s="98"/>
      <c r="H663" s="98" t="s">
        <v>2696</v>
      </c>
      <c r="I663" s="98" t="s">
        <v>783</v>
      </c>
      <c r="J663" s="98">
        <v>1200068189</v>
      </c>
      <c r="K663" s="325">
        <v>44720</v>
      </c>
      <c r="L663" s="98"/>
      <c r="M663" s="99"/>
      <c r="N663" s="99" t="s">
        <v>5116</v>
      </c>
      <c r="O663" s="98"/>
      <c r="P663" s="98"/>
      <c r="Q663" s="98"/>
      <c r="R663" s="721"/>
      <c r="S663" s="99"/>
      <c r="T663" s="324"/>
      <c r="U663" s="98"/>
      <c r="V663" s="98"/>
      <c r="W663" s="324">
        <v>1.2</v>
      </c>
    </row>
    <row r="664" spans="1:23" ht="38.25" x14ac:dyDescent="0.25">
      <c r="A664" s="98">
        <f t="shared" si="20"/>
        <v>91</v>
      </c>
      <c r="B664" s="98"/>
      <c r="C664" s="334" t="s">
        <v>2697</v>
      </c>
      <c r="D664" s="98" t="s">
        <v>2650</v>
      </c>
      <c r="E664" s="324">
        <v>1.45</v>
      </c>
      <c r="F664" s="98">
        <v>20</v>
      </c>
      <c r="G664" s="98"/>
      <c r="H664" s="98" t="s">
        <v>2698</v>
      </c>
      <c r="I664" s="98" t="s">
        <v>783</v>
      </c>
      <c r="J664" s="98">
        <v>1200072041</v>
      </c>
      <c r="K664" s="325">
        <v>44993</v>
      </c>
      <c r="L664" s="98">
        <v>3100164887</v>
      </c>
      <c r="M664" s="99">
        <v>44628</v>
      </c>
      <c r="N664" s="99"/>
      <c r="O664" s="98"/>
      <c r="P664" s="98"/>
      <c r="Q664" s="98"/>
      <c r="R664" s="721"/>
      <c r="S664" s="99"/>
      <c r="T664" s="324"/>
      <c r="U664" s="98"/>
      <c r="V664" s="98"/>
      <c r="W664" s="326">
        <v>1.45</v>
      </c>
    </row>
    <row r="665" spans="1:23" ht="51" x14ac:dyDescent="0.25">
      <c r="A665" s="98">
        <f t="shared" si="20"/>
        <v>92</v>
      </c>
      <c r="B665" s="98"/>
      <c r="C665" s="334" t="s">
        <v>2699</v>
      </c>
      <c r="D665" s="98" t="s">
        <v>2650</v>
      </c>
      <c r="E665" s="324">
        <v>1.25</v>
      </c>
      <c r="F665" s="98">
        <v>20</v>
      </c>
      <c r="G665" s="98"/>
      <c r="H665" s="98" t="s">
        <v>2700</v>
      </c>
      <c r="I665" s="98" t="s">
        <v>783</v>
      </c>
      <c r="J665" s="98">
        <v>1200072277</v>
      </c>
      <c r="K665" s="325">
        <v>45016</v>
      </c>
      <c r="L665" s="98">
        <v>3100170273</v>
      </c>
      <c r="M665" s="99">
        <v>45232</v>
      </c>
      <c r="N665" s="99">
        <v>45405</v>
      </c>
      <c r="O665" s="98"/>
      <c r="P665" s="98"/>
      <c r="Q665" s="98"/>
      <c r="R665" s="721">
        <v>8600080194</v>
      </c>
      <c r="S665" s="99">
        <v>45405</v>
      </c>
      <c r="T665" s="324">
        <v>1.25</v>
      </c>
      <c r="U665" s="98"/>
      <c r="V665" s="324">
        <f t="shared" ref="V665:V666" si="24">T665</f>
        <v>1.25</v>
      </c>
      <c r="W665" s="326"/>
    </row>
    <row r="666" spans="1:23" ht="38.25" x14ac:dyDescent="0.25">
      <c r="A666" s="98">
        <f t="shared" si="20"/>
        <v>93</v>
      </c>
      <c r="B666" s="98"/>
      <c r="C666" s="334" t="s">
        <v>2701</v>
      </c>
      <c r="D666" s="98" t="s">
        <v>2650</v>
      </c>
      <c r="E666" s="324">
        <v>1.48</v>
      </c>
      <c r="F666" s="98">
        <v>20</v>
      </c>
      <c r="G666" s="98"/>
      <c r="H666" s="98" t="s">
        <v>2702</v>
      </c>
      <c r="I666" s="98" t="s">
        <v>783</v>
      </c>
      <c r="J666" s="98">
        <v>1200072352</v>
      </c>
      <c r="K666" s="325">
        <v>45007</v>
      </c>
      <c r="L666" s="98">
        <v>3200090260</v>
      </c>
      <c r="M666" s="99">
        <v>45022</v>
      </c>
      <c r="N666" s="99">
        <v>45218</v>
      </c>
      <c r="O666" s="98"/>
      <c r="P666" s="98"/>
      <c r="Q666" s="98"/>
      <c r="R666" s="721">
        <v>8600077801</v>
      </c>
      <c r="S666" s="99">
        <v>45218</v>
      </c>
      <c r="T666" s="324">
        <v>1.48</v>
      </c>
      <c r="U666" s="98"/>
      <c r="V666" s="324">
        <f t="shared" si="24"/>
        <v>1.48</v>
      </c>
      <c r="W666" s="326"/>
    </row>
    <row r="667" spans="1:23" ht="38.25" x14ac:dyDescent="0.25">
      <c r="A667" s="98">
        <f t="shared" si="20"/>
        <v>94</v>
      </c>
      <c r="B667" s="98"/>
      <c r="C667" s="334" t="s">
        <v>684</v>
      </c>
      <c r="D667" s="98" t="s">
        <v>779</v>
      </c>
      <c r="E667" s="324">
        <v>6</v>
      </c>
      <c r="F667" s="98">
        <v>20</v>
      </c>
      <c r="G667" s="98"/>
      <c r="H667" s="98" t="s">
        <v>2703</v>
      </c>
      <c r="I667" s="98" t="s">
        <v>783</v>
      </c>
      <c r="J667" s="98">
        <v>1200072320</v>
      </c>
      <c r="K667" s="325">
        <v>45009</v>
      </c>
      <c r="L667" s="98"/>
      <c r="M667" s="99"/>
      <c r="N667" s="99" t="s">
        <v>5116</v>
      </c>
      <c r="O667" s="98"/>
      <c r="P667" s="98"/>
      <c r="Q667" s="98"/>
      <c r="R667" s="721"/>
      <c r="S667" s="99"/>
      <c r="T667" s="324"/>
      <c r="U667" s="98"/>
      <c r="V667" s="98"/>
      <c r="W667" s="326">
        <v>6</v>
      </c>
    </row>
    <row r="668" spans="1:23" ht="38.25" x14ac:dyDescent="0.25">
      <c r="A668" s="98">
        <f t="shared" si="20"/>
        <v>95</v>
      </c>
      <c r="B668" s="98"/>
      <c r="C668" s="334" t="s">
        <v>2704</v>
      </c>
      <c r="D668" s="98" t="s">
        <v>2650</v>
      </c>
      <c r="E668" s="324">
        <v>4.95</v>
      </c>
      <c r="F668" s="98">
        <v>20</v>
      </c>
      <c r="G668" s="98"/>
      <c r="H668" s="98" t="s">
        <v>2705</v>
      </c>
      <c r="I668" s="98" t="s">
        <v>783</v>
      </c>
      <c r="J668" s="98">
        <v>1200072531</v>
      </c>
      <c r="K668" s="325">
        <v>45022</v>
      </c>
      <c r="L668" s="98" t="s">
        <v>5121</v>
      </c>
      <c r="M668" s="99">
        <v>45233</v>
      </c>
      <c r="N668" s="99"/>
      <c r="O668" s="98"/>
      <c r="P668" s="98"/>
      <c r="Q668" s="98"/>
      <c r="R668" s="721"/>
      <c r="S668" s="99"/>
      <c r="T668" s="324"/>
      <c r="U668" s="98"/>
      <c r="V668" s="98"/>
      <c r="W668" s="326">
        <v>4.95</v>
      </c>
    </row>
    <row r="669" spans="1:23" ht="38.25" x14ac:dyDescent="0.25">
      <c r="A669" s="98">
        <f t="shared" si="20"/>
        <v>96</v>
      </c>
      <c r="B669" s="98"/>
      <c r="C669" s="334" t="s">
        <v>2704</v>
      </c>
      <c r="D669" s="98" t="s">
        <v>2650</v>
      </c>
      <c r="E669" s="324">
        <v>1</v>
      </c>
      <c r="F669" s="98">
        <v>20</v>
      </c>
      <c r="G669" s="98"/>
      <c r="H669" s="98" t="s">
        <v>2705</v>
      </c>
      <c r="I669" s="98" t="s">
        <v>783</v>
      </c>
      <c r="J669" s="98">
        <v>1200072542</v>
      </c>
      <c r="K669" s="325">
        <v>45022</v>
      </c>
      <c r="L669" s="98" t="s">
        <v>5122</v>
      </c>
      <c r="M669" s="99">
        <v>45233</v>
      </c>
      <c r="N669" s="99"/>
      <c r="O669" s="98"/>
      <c r="P669" s="98"/>
      <c r="Q669" s="98"/>
      <c r="R669" s="721"/>
      <c r="S669" s="99"/>
      <c r="T669" s="324"/>
      <c r="U669" s="98"/>
      <c r="V669" s="98"/>
      <c r="W669" s="326">
        <v>1</v>
      </c>
    </row>
    <row r="670" spans="1:23" ht="51" x14ac:dyDescent="0.25">
      <c r="A670" s="98">
        <f t="shared" si="20"/>
        <v>97</v>
      </c>
      <c r="B670" s="98"/>
      <c r="C670" s="334" t="s">
        <v>2706</v>
      </c>
      <c r="D670" s="98" t="s">
        <v>779</v>
      </c>
      <c r="E670" s="324">
        <v>3</v>
      </c>
      <c r="F670" s="98">
        <v>20</v>
      </c>
      <c r="G670" s="98"/>
      <c r="H670" s="98" t="s">
        <v>2707</v>
      </c>
      <c r="I670" s="98" t="s">
        <v>783</v>
      </c>
      <c r="J670" s="98">
        <v>1200071834</v>
      </c>
      <c r="K670" s="325">
        <v>44987</v>
      </c>
      <c r="L670" s="98" t="s">
        <v>5123</v>
      </c>
      <c r="M670" s="99">
        <v>45384</v>
      </c>
      <c r="N670" s="99"/>
      <c r="O670" s="98"/>
      <c r="P670" s="98"/>
      <c r="Q670" s="98"/>
      <c r="R670" s="721"/>
      <c r="S670" s="99"/>
      <c r="T670" s="324"/>
      <c r="U670" s="98"/>
      <c r="V670" s="98"/>
      <c r="W670" s="326">
        <v>3</v>
      </c>
    </row>
    <row r="671" spans="1:23" ht="38.25" x14ac:dyDescent="0.25">
      <c r="A671" s="98">
        <f t="shared" si="20"/>
        <v>98</v>
      </c>
      <c r="B671" s="98"/>
      <c r="C671" s="334" t="s">
        <v>762</v>
      </c>
      <c r="D671" s="98" t="s">
        <v>2625</v>
      </c>
      <c r="E671" s="324">
        <v>1.35</v>
      </c>
      <c r="F671" s="98">
        <v>20</v>
      </c>
      <c r="G671" s="98"/>
      <c r="H671" s="98" t="s">
        <v>2708</v>
      </c>
      <c r="I671" s="98" t="s">
        <v>783</v>
      </c>
      <c r="J671" s="98">
        <v>1200071843</v>
      </c>
      <c r="K671" s="325">
        <v>44980</v>
      </c>
      <c r="L671" s="98">
        <v>3300000003</v>
      </c>
      <c r="M671" s="99">
        <v>44608</v>
      </c>
      <c r="N671" s="99">
        <v>45008</v>
      </c>
      <c r="O671" s="98"/>
      <c r="P671" s="98"/>
      <c r="Q671" s="98"/>
      <c r="R671" s="721">
        <v>8600075969</v>
      </c>
      <c r="S671" s="99">
        <v>45062</v>
      </c>
      <c r="T671" s="326">
        <v>1.35</v>
      </c>
      <c r="U671" s="98" t="s">
        <v>5124</v>
      </c>
      <c r="V671" s="326">
        <v>1.35</v>
      </c>
      <c r="W671" s="326"/>
    </row>
    <row r="672" spans="1:23" ht="38.25" x14ac:dyDescent="0.25">
      <c r="A672" s="98">
        <f t="shared" si="20"/>
        <v>99</v>
      </c>
      <c r="B672" s="98"/>
      <c r="C672" s="334" t="s">
        <v>2709</v>
      </c>
      <c r="D672" s="98" t="s">
        <v>2625</v>
      </c>
      <c r="E672" s="324">
        <v>1</v>
      </c>
      <c r="F672" s="98">
        <v>20</v>
      </c>
      <c r="G672" s="98"/>
      <c r="H672" s="98" t="s">
        <v>2710</v>
      </c>
      <c r="I672" s="98" t="s">
        <v>783</v>
      </c>
      <c r="J672" s="98">
        <v>1200072289</v>
      </c>
      <c r="K672" s="325">
        <v>45005</v>
      </c>
      <c r="L672" s="98">
        <v>3100165137</v>
      </c>
      <c r="M672" s="99">
        <v>45005</v>
      </c>
      <c r="N672" s="99"/>
      <c r="O672" s="98"/>
      <c r="P672" s="98"/>
      <c r="Q672" s="98"/>
      <c r="R672" s="721">
        <v>8600076620</v>
      </c>
      <c r="S672" s="99">
        <v>45120</v>
      </c>
      <c r="T672" s="326">
        <v>1</v>
      </c>
      <c r="U672" s="98"/>
      <c r="V672" s="326">
        <v>1</v>
      </c>
      <c r="W672" s="326"/>
    </row>
    <row r="673" spans="1:23" ht="38.25" x14ac:dyDescent="0.25">
      <c r="A673" s="98">
        <f t="shared" si="20"/>
        <v>100</v>
      </c>
      <c r="B673" s="98"/>
      <c r="C673" s="334" t="s">
        <v>2711</v>
      </c>
      <c r="D673" s="98" t="s">
        <v>2650</v>
      </c>
      <c r="E673" s="324">
        <v>1.25</v>
      </c>
      <c r="F673" s="98">
        <v>20</v>
      </c>
      <c r="G673" s="98"/>
      <c r="H673" s="98" t="s">
        <v>2712</v>
      </c>
      <c r="I673" s="98" t="s">
        <v>783</v>
      </c>
      <c r="J673" s="98">
        <v>1200072657</v>
      </c>
      <c r="K673" s="325">
        <v>45028</v>
      </c>
      <c r="L673" s="98">
        <v>3300000008</v>
      </c>
      <c r="M673" s="99">
        <v>45245</v>
      </c>
      <c r="N673" s="99">
        <v>45421</v>
      </c>
      <c r="O673" s="98"/>
      <c r="P673" s="98"/>
      <c r="Q673" s="98"/>
      <c r="R673" s="721">
        <v>8600080375</v>
      </c>
      <c r="S673" s="99">
        <v>45421</v>
      </c>
      <c r="T673" s="324">
        <v>1.25</v>
      </c>
      <c r="U673" s="98"/>
      <c r="V673" s="324">
        <f>T673</f>
        <v>1.25</v>
      </c>
      <c r="W673" s="326"/>
    </row>
    <row r="674" spans="1:23" ht="38.25" x14ac:dyDescent="0.25">
      <c r="A674" s="98">
        <f t="shared" si="20"/>
        <v>101</v>
      </c>
      <c r="B674" s="98"/>
      <c r="C674" s="334" t="s">
        <v>5125</v>
      </c>
      <c r="D674" s="98" t="s">
        <v>2650</v>
      </c>
      <c r="E674" s="324">
        <v>1</v>
      </c>
      <c r="F674" s="98">
        <v>20</v>
      </c>
      <c r="G674" s="98"/>
      <c r="H674" s="98" t="s">
        <v>5126</v>
      </c>
      <c r="I674" s="98" t="s">
        <v>783</v>
      </c>
      <c r="J674" s="98">
        <v>1200073234</v>
      </c>
      <c r="K674" s="99">
        <v>45061</v>
      </c>
      <c r="L674" s="98">
        <v>3200094129</v>
      </c>
      <c r="M674" s="99">
        <v>45147</v>
      </c>
      <c r="N674" s="99">
        <v>45316</v>
      </c>
      <c r="O674" s="98"/>
      <c r="P674" s="98"/>
      <c r="Q674" s="98"/>
      <c r="R674" s="721">
        <v>8600079161</v>
      </c>
      <c r="S674" s="99">
        <v>45327</v>
      </c>
      <c r="T674" s="324">
        <v>1</v>
      </c>
      <c r="U674" s="98"/>
      <c r="V674" s="98"/>
      <c r="W674" s="326"/>
    </row>
    <row r="675" spans="1:23" ht="38.25" x14ac:dyDescent="0.25">
      <c r="A675" s="98">
        <f t="shared" si="20"/>
        <v>102</v>
      </c>
      <c r="B675" s="98"/>
      <c r="C675" s="334" t="s">
        <v>1269</v>
      </c>
      <c r="D675" s="98" t="s">
        <v>779</v>
      </c>
      <c r="E675" s="324">
        <v>1.1000000000000001</v>
      </c>
      <c r="F675" s="98">
        <v>20</v>
      </c>
      <c r="G675" s="98"/>
      <c r="H675" s="98" t="s">
        <v>5127</v>
      </c>
      <c r="I675" s="98" t="s">
        <v>783</v>
      </c>
      <c r="J675" s="98">
        <v>1200073551</v>
      </c>
      <c r="K675" s="99">
        <v>45089</v>
      </c>
      <c r="L675" s="98">
        <v>3100174005</v>
      </c>
      <c r="M675" s="99">
        <v>45390</v>
      </c>
      <c r="N675" s="99" t="s">
        <v>5128</v>
      </c>
      <c r="O675" s="98"/>
      <c r="P675" s="98"/>
      <c r="Q675" s="98"/>
      <c r="R675" s="721"/>
      <c r="S675" s="99"/>
      <c r="T675" s="324"/>
      <c r="U675" s="98"/>
      <c r="V675" s="98"/>
      <c r="W675" s="326">
        <v>1.1000000000000001</v>
      </c>
    </row>
    <row r="676" spans="1:23" ht="51" x14ac:dyDescent="0.25">
      <c r="A676" s="98">
        <f t="shared" si="20"/>
        <v>103</v>
      </c>
      <c r="B676" s="98"/>
      <c r="C676" s="334" t="s">
        <v>2672</v>
      </c>
      <c r="D676" s="98" t="s">
        <v>2650</v>
      </c>
      <c r="E676" s="324">
        <v>1.45</v>
      </c>
      <c r="F676" s="98">
        <v>20</v>
      </c>
      <c r="G676" s="98"/>
      <c r="H676" s="98" t="s">
        <v>2673</v>
      </c>
      <c r="I676" s="98" t="s">
        <v>783</v>
      </c>
      <c r="J676" s="721">
        <v>1200073869</v>
      </c>
      <c r="K676" s="99">
        <v>45106</v>
      </c>
      <c r="L676" s="98">
        <v>3100171234</v>
      </c>
      <c r="M676" s="98" t="s">
        <v>5129</v>
      </c>
      <c r="N676" s="99">
        <v>44953</v>
      </c>
      <c r="O676" s="98"/>
      <c r="P676" s="98"/>
      <c r="Q676" s="98"/>
      <c r="R676" s="721">
        <v>8600078975</v>
      </c>
      <c r="S676" s="99">
        <v>45307</v>
      </c>
      <c r="T676" s="326">
        <v>1.45</v>
      </c>
      <c r="U676" s="98"/>
      <c r="V676" s="326">
        <v>1.45</v>
      </c>
      <c r="W676" s="326"/>
    </row>
    <row r="677" spans="1:23" ht="38.25" x14ac:dyDescent="0.25">
      <c r="A677" s="98">
        <f t="shared" si="20"/>
        <v>104</v>
      </c>
      <c r="B677" s="98"/>
      <c r="C677" s="334" t="s">
        <v>5130</v>
      </c>
      <c r="D677" s="98" t="s">
        <v>1246</v>
      </c>
      <c r="E677" s="324">
        <v>1.8</v>
      </c>
      <c r="F677" s="98">
        <v>20</v>
      </c>
      <c r="G677" s="98"/>
      <c r="H677" s="98" t="s">
        <v>5131</v>
      </c>
      <c r="I677" s="98" t="s">
        <v>783</v>
      </c>
      <c r="J677" s="98">
        <v>1200075131</v>
      </c>
      <c r="K677" s="99">
        <v>45204</v>
      </c>
      <c r="L677" s="98">
        <v>3200095857</v>
      </c>
      <c r="M677" s="99">
        <v>45209</v>
      </c>
      <c r="N677" s="99" t="s">
        <v>5132</v>
      </c>
      <c r="O677" s="98"/>
      <c r="P677" s="98"/>
      <c r="Q677" s="98"/>
      <c r="R677" s="721"/>
      <c r="S677" s="99"/>
      <c r="T677" s="324"/>
      <c r="U677" s="98"/>
      <c r="V677" s="98"/>
      <c r="W677" s="324">
        <v>1.8</v>
      </c>
    </row>
    <row r="678" spans="1:23" ht="63.75" x14ac:dyDescent="0.25">
      <c r="A678" s="98">
        <f t="shared" si="20"/>
        <v>105</v>
      </c>
      <c r="B678" s="98"/>
      <c r="C678" s="334" t="s">
        <v>5133</v>
      </c>
      <c r="D678" s="98" t="s">
        <v>5118</v>
      </c>
      <c r="E678" s="324">
        <v>3</v>
      </c>
      <c r="F678" s="98">
        <v>110</v>
      </c>
      <c r="G678" s="98"/>
      <c r="H678" s="98" t="s">
        <v>5134</v>
      </c>
      <c r="I678" s="98" t="s">
        <v>783</v>
      </c>
      <c r="J678" s="98">
        <v>1200075199</v>
      </c>
      <c r="K678" s="99">
        <v>45211</v>
      </c>
      <c r="L678" s="98"/>
      <c r="M678" s="99"/>
      <c r="N678" s="99" t="s">
        <v>5135</v>
      </c>
      <c r="O678" s="98"/>
      <c r="P678" s="98"/>
      <c r="Q678" s="98"/>
      <c r="R678" s="721"/>
      <c r="S678" s="99"/>
      <c r="T678" s="324"/>
      <c r="U678" s="98"/>
      <c r="V678" s="98"/>
      <c r="W678" s="324">
        <v>3</v>
      </c>
    </row>
    <row r="679" spans="1:23" ht="38.25" x14ac:dyDescent="0.25">
      <c r="A679" s="98">
        <f t="shared" si="20"/>
        <v>106</v>
      </c>
      <c r="B679" s="98"/>
      <c r="C679" s="334" t="s">
        <v>5136</v>
      </c>
      <c r="D679" s="98" t="s">
        <v>779</v>
      </c>
      <c r="E679" s="324">
        <v>6.98</v>
      </c>
      <c r="F679" s="98">
        <v>20</v>
      </c>
      <c r="G679" s="98"/>
      <c r="H679" s="98" t="s">
        <v>5137</v>
      </c>
      <c r="I679" s="98" t="s">
        <v>783</v>
      </c>
      <c r="J679" s="98">
        <v>1200075177</v>
      </c>
      <c r="K679" s="99">
        <v>45209</v>
      </c>
      <c r="L679" s="98"/>
      <c r="M679" s="99"/>
      <c r="N679" s="99" t="s">
        <v>5132</v>
      </c>
      <c r="O679" s="98"/>
      <c r="P679" s="98"/>
      <c r="Q679" s="98"/>
      <c r="R679" s="721"/>
      <c r="S679" s="99"/>
      <c r="T679" s="324"/>
      <c r="U679" s="98"/>
      <c r="V679" s="98"/>
      <c r="W679" s="324">
        <v>6.98</v>
      </c>
    </row>
    <row r="680" spans="1:23" ht="38.25" x14ac:dyDescent="0.25">
      <c r="A680" s="98">
        <f t="shared" si="20"/>
        <v>107</v>
      </c>
      <c r="B680" s="98"/>
      <c r="C680" s="334" t="s">
        <v>5138</v>
      </c>
      <c r="D680" s="98" t="s">
        <v>2650</v>
      </c>
      <c r="E680" s="324">
        <v>1.3</v>
      </c>
      <c r="F680" s="98">
        <v>20</v>
      </c>
      <c r="G680" s="98"/>
      <c r="H680" s="98" t="s">
        <v>5139</v>
      </c>
      <c r="I680" s="98" t="s">
        <v>783</v>
      </c>
      <c r="J680" s="98">
        <v>1200075206</v>
      </c>
      <c r="K680" s="99">
        <v>45217</v>
      </c>
      <c r="L680" s="98">
        <v>3100169850</v>
      </c>
      <c r="M680" s="99">
        <v>45217</v>
      </c>
      <c r="N680" s="99" t="s">
        <v>5140</v>
      </c>
      <c r="O680" s="98"/>
      <c r="P680" s="98"/>
      <c r="Q680" s="98"/>
      <c r="R680" s="721"/>
      <c r="S680" s="99"/>
      <c r="T680" s="324"/>
      <c r="U680" s="98"/>
      <c r="V680" s="98"/>
      <c r="W680" s="324">
        <v>1.3</v>
      </c>
    </row>
    <row r="681" spans="1:23" ht="38.25" x14ac:dyDescent="0.25">
      <c r="A681" s="98">
        <f t="shared" si="20"/>
        <v>108</v>
      </c>
      <c r="B681" s="98"/>
      <c r="C681" s="334" t="s">
        <v>5141</v>
      </c>
      <c r="D681" s="98" t="s">
        <v>1250</v>
      </c>
      <c r="E681" s="324">
        <v>1.2110000000000001</v>
      </c>
      <c r="F681" s="98">
        <v>20</v>
      </c>
      <c r="G681" s="98"/>
      <c r="H681" s="98" t="s">
        <v>5142</v>
      </c>
      <c r="I681" s="98" t="s">
        <v>783</v>
      </c>
      <c r="J681" s="98">
        <v>1200075165</v>
      </c>
      <c r="K681" s="99">
        <v>45205</v>
      </c>
      <c r="L681" s="98"/>
      <c r="M681" s="99"/>
      <c r="N681" s="99" t="s">
        <v>5143</v>
      </c>
      <c r="O681" s="98"/>
      <c r="P681" s="98"/>
      <c r="Q681" s="98"/>
      <c r="R681" s="721"/>
      <c r="S681" s="99"/>
      <c r="T681" s="324"/>
      <c r="U681" s="98"/>
      <c r="V681" s="98"/>
      <c r="W681" s="324">
        <v>1.2110000000000001</v>
      </c>
    </row>
    <row r="682" spans="1:23" ht="38.25" x14ac:dyDescent="0.25">
      <c r="A682" s="98">
        <f t="shared" si="20"/>
        <v>109</v>
      </c>
      <c r="B682" s="98"/>
      <c r="C682" s="334" t="s">
        <v>5141</v>
      </c>
      <c r="D682" s="98" t="s">
        <v>1250</v>
      </c>
      <c r="E682" s="324">
        <v>1.099</v>
      </c>
      <c r="F682" s="98">
        <v>20</v>
      </c>
      <c r="G682" s="98"/>
      <c r="H682" s="98" t="s">
        <v>5144</v>
      </c>
      <c r="I682" s="98" t="s">
        <v>783</v>
      </c>
      <c r="J682" s="98">
        <v>1200075163</v>
      </c>
      <c r="K682" s="99">
        <v>45205</v>
      </c>
      <c r="L682" s="98"/>
      <c r="M682" s="99"/>
      <c r="N682" s="99" t="s">
        <v>5143</v>
      </c>
      <c r="O682" s="98"/>
      <c r="P682" s="98"/>
      <c r="Q682" s="98"/>
      <c r="R682" s="721"/>
      <c r="S682" s="99"/>
      <c r="T682" s="324"/>
      <c r="U682" s="98"/>
      <c r="V682" s="98"/>
      <c r="W682" s="324">
        <v>1.099</v>
      </c>
    </row>
    <row r="683" spans="1:23" ht="25.5" x14ac:dyDescent="0.25">
      <c r="A683" s="98">
        <f t="shared" si="20"/>
        <v>110</v>
      </c>
      <c r="B683" s="98"/>
      <c r="C683" s="334" t="s">
        <v>768</v>
      </c>
      <c r="D683" s="98" t="s">
        <v>779</v>
      </c>
      <c r="E683" s="324">
        <v>2.25</v>
      </c>
      <c r="F683" s="98">
        <v>20</v>
      </c>
      <c r="G683" s="98"/>
      <c r="H683" s="98" t="s">
        <v>5145</v>
      </c>
      <c r="I683" s="98"/>
      <c r="J683" s="98">
        <v>1200075691</v>
      </c>
      <c r="K683" s="99">
        <v>45236</v>
      </c>
      <c r="L683" s="98">
        <v>3100171830</v>
      </c>
      <c r="M683" s="99">
        <v>45300</v>
      </c>
      <c r="N683" s="99" t="s">
        <v>5146</v>
      </c>
      <c r="O683" s="98"/>
      <c r="P683" s="98"/>
      <c r="Q683" s="98"/>
      <c r="R683" s="721"/>
      <c r="S683" s="99"/>
      <c r="T683" s="324"/>
      <c r="U683" s="98"/>
      <c r="V683" s="98"/>
      <c r="W683" s="326"/>
    </row>
    <row r="684" spans="1:23" ht="38.25" x14ac:dyDescent="0.25">
      <c r="A684" s="98">
        <f t="shared" si="20"/>
        <v>111</v>
      </c>
      <c r="B684" s="98"/>
      <c r="C684" s="334" t="s">
        <v>5147</v>
      </c>
      <c r="D684" s="98" t="s">
        <v>2650</v>
      </c>
      <c r="E684" s="324">
        <v>2</v>
      </c>
      <c r="F684" s="98">
        <v>20</v>
      </c>
      <c r="G684" s="98"/>
      <c r="H684" s="98" t="s">
        <v>5148</v>
      </c>
      <c r="I684" s="98" t="s">
        <v>783</v>
      </c>
      <c r="J684" s="98">
        <v>1200048764</v>
      </c>
      <c r="K684" s="99">
        <v>45279</v>
      </c>
      <c r="L684" s="98" t="s">
        <v>5149</v>
      </c>
      <c r="M684" s="99">
        <v>43704</v>
      </c>
      <c r="N684" s="99" t="s">
        <v>5150</v>
      </c>
      <c r="O684" s="98"/>
      <c r="P684" s="98"/>
      <c r="Q684" s="98"/>
      <c r="R684" s="721"/>
      <c r="S684" s="99"/>
      <c r="T684" s="324"/>
      <c r="U684" s="98"/>
      <c r="V684" s="98"/>
      <c r="W684" s="324">
        <v>2</v>
      </c>
    </row>
    <row r="685" spans="1:23" ht="38.25" x14ac:dyDescent="0.25">
      <c r="A685" s="98">
        <f t="shared" si="20"/>
        <v>112</v>
      </c>
      <c r="B685" s="98"/>
      <c r="C685" s="334" t="s">
        <v>660</v>
      </c>
      <c r="D685" s="98" t="s">
        <v>779</v>
      </c>
      <c r="E685" s="324">
        <v>2.6709999999999998</v>
      </c>
      <c r="F685" s="98">
        <v>20</v>
      </c>
      <c r="G685" s="98"/>
      <c r="H685" s="98" t="s">
        <v>5151</v>
      </c>
      <c r="I685" s="98" t="s">
        <v>783</v>
      </c>
      <c r="J685" s="98">
        <v>1200076149</v>
      </c>
      <c r="K685" s="99">
        <v>45271</v>
      </c>
      <c r="L685" s="98"/>
      <c r="M685" s="99"/>
      <c r="N685" s="99" t="s">
        <v>5152</v>
      </c>
      <c r="O685" s="98"/>
      <c r="P685" s="98"/>
      <c r="Q685" s="98"/>
      <c r="R685" s="721"/>
      <c r="S685" s="99"/>
      <c r="T685" s="324"/>
      <c r="U685" s="98"/>
      <c r="V685" s="98"/>
      <c r="W685" s="324">
        <v>2.6709999999999998</v>
      </c>
    </row>
    <row r="686" spans="1:23" ht="38.25" x14ac:dyDescent="0.25">
      <c r="A686" s="98">
        <f t="shared" si="20"/>
        <v>113</v>
      </c>
      <c r="B686" s="98"/>
      <c r="C686" s="334" t="s">
        <v>5153</v>
      </c>
      <c r="D686" s="98" t="s">
        <v>2650</v>
      </c>
      <c r="E686" s="324">
        <v>1.3</v>
      </c>
      <c r="F686" s="98">
        <v>20</v>
      </c>
      <c r="G686" s="98"/>
      <c r="H686" s="98" t="s">
        <v>5154</v>
      </c>
      <c r="I686" s="98" t="s">
        <v>783</v>
      </c>
      <c r="J686" s="98">
        <v>1200076148</v>
      </c>
      <c r="K686" s="99">
        <v>45264</v>
      </c>
      <c r="L686" s="98">
        <v>3200098503</v>
      </c>
      <c r="M686" s="99">
        <v>45320</v>
      </c>
      <c r="N686" s="99" t="s">
        <v>5155</v>
      </c>
      <c r="O686" s="98"/>
      <c r="P686" s="98"/>
      <c r="Q686" s="98"/>
      <c r="R686" s="721"/>
      <c r="S686" s="99"/>
      <c r="T686" s="324"/>
      <c r="U686" s="98"/>
      <c r="V686" s="98"/>
      <c r="W686" s="324">
        <v>1.3</v>
      </c>
    </row>
    <row r="687" spans="1:23" ht="38.25" x14ac:dyDescent="0.25">
      <c r="A687" s="98">
        <f t="shared" si="20"/>
        <v>114</v>
      </c>
      <c r="B687" s="98"/>
      <c r="C687" s="334" t="s">
        <v>5156</v>
      </c>
      <c r="D687" s="98" t="s">
        <v>2650</v>
      </c>
      <c r="E687" s="324">
        <v>1.28</v>
      </c>
      <c r="F687" s="98">
        <v>20</v>
      </c>
      <c r="G687" s="98"/>
      <c r="H687" s="98" t="s">
        <v>5157</v>
      </c>
      <c r="I687" s="98" t="s">
        <v>783</v>
      </c>
      <c r="J687" s="98">
        <v>1200077108</v>
      </c>
      <c r="K687" s="99">
        <v>45331</v>
      </c>
      <c r="L687" s="98">
        <v>3200100545</v>
      </c>
      <c r="M687" s="99">
        <v>45387</v>
      </c>
      <c r="N687" s="99" t="s">
        <v>5158</v>
      </c>
      <c r="O687" s="98"/>
      <c r="P687" s="98"/>
      <c r="Q687" s="98"/>
      <c r="R687" s="721"/>
      <c r="S687" s="99"/>
      <c r="T687" s="324"/>
      <c r="U687" s="98"/>
      <c r="V687" s="98"/>
      <c r="W687" s="326">
        <v>1.28</v>
      </c>
    </row>
    <row r="688" spans="1:23" ht="38.25" x14ac:dyDescent="0.25">
      <c r="A688" s="98">
        <f t="shared" si="20"/>
        <v>115</v>
      </c>
      <c r="B688" s="98"/>
      <c r="C688" s="334" t="s">
        <v>2701</v>
      </c>
      <c r="D688" s="98" t="s">
        <v>2650</v>
      </c>
      <c r="E688" s="324">
        <v>1.77</v>
      </c>
      <c r="F688" s="98">
        <v>20</v>
      </c>
      <c r="G688" s="98"/>
      <c r="H688" s="98" t="s">
        <v>5159</v>
      </c>
      <c r="I688" s="98" t="s">
        <v>783</v>
      </c>
      <c r="J688" s="98">
        <v>1200078140</v>
      </c>
      <c r="K688" s="99">
        <v>45400</v>
      </c>
      <c r="L688" s="98"/>
      <c r="M688" s="99"/>
      <c r="N688" s="99" t="s">
        <v>5160</v>
      </c>
      <c r="O688" s="98"/>
      <c r="P688" s="98"/>
      <c r="Q688" s="98"/>
      <c r="R688" s="721"/>
      <c r="S688" s="99"/>
      <c r="T688" s="324"/>
      <c r="U688" s="98"/>
      <c r="V688" s="98"/>
      <c r="W688" s="326">
        <v>1.77</v>
      </c>
    </row>
    <row r="689" spans="1:23" ht="38.25" x14ac:dyDescent="0.25">
      <c r="A689" s="98">
        <f t="shared" si="20"/>
        <v>116</v>
      </c>
      <c r="B689" s="98"/>
      <c r="C689" s="334" t="s">
        <v>5161</v>
      </c>
      <c r="D689" s="98" t="s">
        <v>2650</v>
      </c>
      <c r="E689" s="324">
        <v>1.52</v>
      </c>
      <c r="F689" s="98">
        <v>20</v>
      </c>
      <c r="G689" s="98"/>
      <c r="H689" s="98" t="s">
        <v>5162</v>
      </c>
      <c r="I689" s="98" t="s">
        <v>783</v>
      </c>
      <c r="J689" s="98">
        <v>1200077944</v>
      </c>
      <c r="K689" s="99">
        <v>45387</v>
      </c>
      <c r="L689" s="98"/>
      <c r="M689" s="99"/>
      <c r="N689" s="99" t="s">
        <v>5158</v>
      </c>
      <c r="O689" s="98"/>
      <c r="P689" s="98"/>
      <c r="Q689" s="98"/>
      <c r="R689" s="721"/>
      <c r="S689" s="99"/>
      <c r="T689" s="324"/>
      <c r="U689" s="98"/>
      <c r="V689" s="98"/>
      <c r="W689" s="326">
        <v>1.52</v>
      </c>
    </row>
    <row r="690" spans="1:23" ht="38.25" x14ac:dyDescent="0.25">
      <c r="A690" s="98">
        <f t="shared" si="20"/>
        <v>117</v>
      </c>
      <c r="B690" s="98"/>
      <c r="C690" s="334" t="s">
        <v>2704</v>
      </c>
      <c r="D690" s="98" t="s">
        <v>2650</v>
      </c>
      <c r="E690" s="324">
        <v>1.494</v>
      </c>
      <c r="F690" s="98">
        <v>20</v>
      </c>
      <c r="G690" s="98"/>
      <c r="H690" s="98" t="s">
        <v>5163</v>
      </c>
      <c r="I690" s="98" t="s">
        <v>783</v>
      </c>
      <c r="J690" s="98">
        <v>1200077666</v>
      </c>
      <c r="K690" s="99">
        <v>45372</v>
      </c>
      <c r="L690" s="98">
        <v>3100173611</v>
      </c>
      <c r="M690" s="99">
        <v>45372</v>
      </c>
      <c r="N690" s="99" t="s">
        <v>5164</v>
      </c>
      <c r="O690" s="98"/>
      <c r="P690" s="98"/>
      <c r="Q690" s="98"/>
      <c r="R690" s="721"/>
      <c r="S690" s="99"/>
      <c r="T690" s="324"/>
      <c r="U690" s="98"/>
      <c r="V690" s="98"/>
      <c r="W690" s="326">
        <v>1.494</v>
      </c>
    </row>
    <row r="691" spans="1:23" ht="38.25" x14ac:dyDescent="0.25">
      <c r="A691" s="98">
        <f t="shared" si="20"/>
        <v>118</v>
      </c>
      <c r="B691" s="98"/>
      <c r="C691" s="334" t="s">
        <v>2704</v>
      </c>
      <c r="D691" s="98" t="s">
        <v>2650</v>
      </c>
      <c r="E691" s="324">
        <v>3.456</v>
      </c>
      <c r="F691" s="98">
        <v>20</v>
      </c>
      <c r="G691" s="98"/>
      <c r="H691" s="98" t="s">
        <v>5165</v>
      </c>
      <c r="I691" s="98" t="s">
        <v>783</v>
      </c>
      <c r="J691" s="98">
        <v>1200077667</v>
      </c>
      <c r="K691" s="99">
        <v>45372</v>
      </c>
      <c r="L691" s="98">
        <v>3100173610</v>
      </c>
      <c r="M691" s="99">
        <v>45372</v>
      </c>
      <c r="N691" s="99" t="s">
        <v>5164</v>
      </c>
      <c r="O691" s="98"/>
      <c r="P691" s="98"/>
      <c r="Q691" s="98"/>
      <c r="R691" s="721"/>
      <c r="S691" s="99"/>
      <c r="T691" s="324"/>
      <c r="U691" s="98"/>
      <c r="V691" s="98"/>
      <c r="W691" s="326">
        <v>3.456</v>
      </c>
    </row>
    <row r="692" spans="1:23" ht="38.25" x14ac:dyDescent="0.25">
      <c r="A692" s="98">
        <f t="shared" si="20"/>
        <v>119</v>
      </c>
      <c r="B692" s="98"/>
      <c r="C692" s="334" t="s">
        <v>2704</v>
      </c>
      <c r="D692" s="98" t="s">
        <v>2650</v>
      </c>
      <c r="E692" s="324">
        <v>1</v>
      </c>
      <c r="F692" s="98">
        <v>20</v>
      </c>
      <c r="G692" s="98"/>
      <c r="H692" s="98" t="s">
        <v>5166</v>
      </c>
      <c r="I692" s="98" t="s">
        <v>783</v>
      </c>
      <c r="J692" s="98">
        <v>1200077671</v>
      </c>
      <c r="K692" s="99">
        <v>45372</v>
      </c>
      <c r="L692" s="98">
        <v>3100173609</v>
      </c>
      <c r="M692" s="99">
        <v>45372</v>
      </c>
      <c r="N692" s="99" t="s">
        <v>5164</v>
      </c>
      <c r="O692" s="98"/>
      <c r="P692" s="98"/>
      <c r="Q692" s="98"/>
      <c r="R692" s="721"/>
      <c r="S692" s="99"/>
      <c r="T692" s="324"/>
      <c r="U692" s="98"/>
      <c r="V692" s="98"/>
      <c r="W692" s="326">
        <v>1</v>
      </c>
    </row>
    <row r="693" spans="1:23" ht="38.25" x14ac:dyDescent="0.25">
      <c r="A693" s="98">
        <f t="shared" si="20"/>
        <v>120</v>
      </c>
      <c r="B693" s="98"/>
      <c r="C693" s="334" t="s">
        <v>5167</v>
      </c>
      <c r="D693" s="98" t="s">
        <v>2650</v>
      </c>
      <c r="E693" s="324">
        <v>1.1200000000000001</v>
      </c>
      <c r="F693" s="98">
        <v>20</v>
      </c>
      <c r="G693" s="98"/>
      <c r="H693" s="98" t="s">
        <v>5168</v>
      </c>
      <c r="I693" s="98" t="s">
        <v>783</v>
      </c>
      <c r="J693" s="98">
        <v>1200078190</v>
      </c>
      <c r="K693" s="99">
        <v>45401</v>
      </c>
      <c r="L693" s="98"/>
      <c r="M693" s="99"/>
      <c r="N693" s="99" t="s">
        <v>5169</v>
      </c>
      <c r="O693" s="98"/>
      <c r="P693" s="98"/>
      <c r="Q693" s="98"/>
      <c r="R693" s="721"/>
      <c r="S693" s="99"/>
      <c r="T693" s="324"/>
      <c r="U693" s="98"/>
      <c r="V693" s="98"/>
      <c r="W693" s="326">
        <v>1.1200000000000001</v>
      </c>
    </row>
    <row r="694" spans="1:23" ht="38.25" x14ac:dyDescent="0.25">
      <c r="A694" s="98">
        <f t="shared" si="20"/>
        <v>121</v>
      </c>
      <c r="B694" s="98"/>
      <c r="C694" s="334" t="s">
        <v>5170</v>
      </c>
      <c r="D694" s="98" t="s">
        <v>779</v>
      </c>
      <c r="E694" s="324">
        <v>1.8</v>
      </c>
      <c r="F694" s="98">
        <v>20</v>
      </c>
      <c r="G694" s="98"/>
      <c r="H694" s="98" t="s">
        <v>5171</v>
      </c>
      <c r="I694" s="98" t="s">
        <v>783</v>
      </c>
      <c r="J694" s="98">
        <v>1200078207</v>
      </c>
      <c r="K694" s="99">
        <v>45405</v>
      </c>
      <c r="L694" s="98"/>
      <c r="M694" s="99"/>
      <c r="N694" s="99" t="s">
        <v>5172</v>
      </c>
      <c r="O694" s="98"/>
      <c r="P694" s="98"/>
      <c r="Q694" s="98"/>
      <c r="R694" s="721"/>
      <c r="S694" s="99"/>
      <c r="T694" s="324"/>
      <c r="U694" s="98"/>
      <c r="V694" s="98"/>
      <c r="W694" s="326">
        <v>1.8</v>
      </c>
    </row>
    <row r="695" spans="1:23" ht="38.25" x14ac:dyDescent="0.25">
      <c r="A695" s="98">
        <f t="shared" si="20"/>
        <v>122</v>
      </c>
      <c r="B695" s="98"/>
      <c r="C695" s="334" t="s">
        <v>5173</v>
      </c>
      <c r="D695" s="98" t="s">
        <v>779</v>
      </c>
      <c r="E695" s="324">
        <v>1.98</v>
      </c>
      <c r="F695" s="98">
        <v>20</v>
      </c>
      <c r="G695" s="98"/>
      <c r="H695" s="98" t="s">
        <v>5174</v>
      </c>
      <c r="I695" s="98" t="s">
        <v>783</v>
      </c>
      <c r="J695" s="98">
        <v>1200078346</v>
      </c>
      <c r="K695" s="99">
        <v>45411</v>
      </c>
      <c r="L695" s="98"/>
      <c r="M695" s="99"/>
      <c r="N695" s="99" t="s">
        <v>5175</v>
      </c>
      <c r="O695" s="98"/>
      <c r="P695" s="98"/>
      <c r="Q695" s="98"/>
      <c r="R695" s="721"/>
      <c r="S695" s="99"/>
      <c r="T695" s="324"/>
      <c r="U695" s="98"/>
      <c r="V695" s="98"/>
      <c r="W695" s="326">
        <v>1.98</v>
      </c>
    </row>
    <row r="696" spans="1:23" ht="38.25" x14ac:dyDescent="0.25">
      <c r="A696" s="98">
        <f t="shared" si="20"/>
        <v>123</v>
      </c>
      <c r="B696" s="98"/>
      <c r="C696" s="334" t="s">
        <v>5176</v>
      </c>
      <c r="D696" s="98" t="s">
        <v>1246</v>
      </c>
      <c r="E696" s="324">
        <v>2.1</v>
      </c>
      <c r="F696" s="98">
        <v>6</v>
      </c>
      <c r="G696" s="98"/>
      <c r="H696" s="98" t="s">
        <v>5177</v>
      </c>
      <c r="I696" s="98" t="s">
        <v>783</v>
      </c>
      <c r="J696" s="98">
        <v>1200077006</v>
      </c>
      <c r="K696" s="99">
        <v>45328</v>
      </c>
      <c r="L696" s="98">
        <v>3100173623</v>
      </c>
      <c r="M696" s="99">
        <v>45376</v>
      </c>
      <c r="N696" s="99" t="s">
        <v>5178</v>
      </c>
      <c r="O696" s="98"/>
      <c r="P696" s="98"/>
      <c r="Q696" s="98"/>
      <c r="R696" s="721"/>
      <c r="S696" s="99"/>
      <c r="T696" s="324"/>
      <c r="U696" s="98"/>
      <c r="V696" s="98"/>
      <c r="W696" s="326">
        <v>2.1</v>
      </c>
    </row>
    <row r="697" spans="1:23" ht="38.25" x14ac:dyDescent="0.25">
      <c r="A697" s="98">
        <f t="shared" si="20"/>
        <v>124</v>
      </c>
      <c r="B697" s="98"/>
      <c r="C697" s="334" t="s">
        <v>728</v>
      </c>
      <c r="D697" s="98" t="s">
        <v>5118</v>
      </c>
      <c r="E697" s="324">
        <v>8.8000000000000007</v>
      </c>
      <c r="F697" s="98">
        <v>20</v>
      </c>
      <c r="G697" s="98"/>
      <c r="H697" s="98" t="s">
        <v>5179</v>
      </c>
      <c r="I697" s="98" t="s">
        <v>783</v>
      </c>
      <c r="J697" s="98">
        <v>1200077684</v>
      </c>
      <c r="K697" s="99">
        <v>45376</v>
      </c>
      <c r="L697" s="98" t="s">
        <v>5180</v>
      </c>
      <c r="M697" s="99">
        <v>45376</v>
      </c>
      <c r="N697" s="99">
        <v>45379</v>
      </c>
      <c r="O697" s="98"/>
      <c r="P697" s="98"/>
      <c r="Q697" s="98"/>
      <c r="R697" s="721">
        <v>8600079870</v>
      </c>
      <c r="S697" s="99">
        <v>45379</v>
      </c>
      <c r="T697" s="326">
        <v>8.8000000000000007</v>
      </c>
      <c r="U697" s="98"/>
      <c r="V697" s="326">
        <v>8.8000000000000007</v>
      </c>
      <c r="W697" s="326"/>
    </row>
    <row r="698" spans="1:23" ht="38.25" x14ac:dyDescent="0.25">
      <c r="A698" s="98">
        <f t="shared" si="20"/>
        <v>125</v>
      </c>
      <c r="B698" s="98"/>
      <c r="C698" s="334" t="s">
        <v>5181</v>
      </c>
      <c r="D698" s="98" t="s">
        <v>2625</v>
      </c>
      <c r="E698" s="324">
        <v>1.8540000000000001</v>
      </c>
      <c r="F698" s="98">
        <v>20</v>
      </c>
      <c r="G698" s="98"/>
      <c r="H698" s="98" t="s">
        <v>5182</v>
      </c>
      <c r="I698" s="98" t="s">
        <v>783</v>
      </c>
      <c r="J698" s="98">
        <v>1200076493</v>
      </c>
      <c r="K698" s="99">
        <v>45294</v>
      </c>
      <c r="L698" s="98" t="s">
        <v>5183</v>
      </c>
      <c r="M698" s="99">
        <v>45296</v>
      </c>
      <c r="N698" s="99" t="s">
        <v>5184</v>
      </c>
      <c r="O698" s="98"/>
      <c r="P698" s="98"/>
      <c r="Q698" s="98"/>
      <c r="R698" s="721"/>
      <c r="S698" s="99"/>
      <c r="T698" s="324"/>
      <c r="U698" s="98"/>
      <c r="V698" s="98"/>
      <c r="W698" s="326">
        <v>1.8540000000000001</v>
      </c>
    </row>
    <row r="699" spans="1:23" ht="38.25" x14ac:dyDescent="0.25">
      <c r="A699" s="98">
        <f t="shared" si="20"/>
        <v>126</v>
      </c>
      <c r="B699" s="98"/>
      <c r="C699" s="334" t="s">
        <v>696</v>
      </c>
      <c r="D699" s="98" t="s">
        <v>2643</v>
      </c>
      <c r="E699" s="324">
        <v>1.0549999999999999</v>
      </c>
      <c r="F699" s="98">
        <v>20</v>
      </c>
      <c r="G699" s="98"/>
      <c r="H699" s="98" t="s">
        <v>5185</v>
      </c>
      <c r="I699" s="98" t="s">
        <v>783</v>
      </c>
      <c r="J699" s="98">
        <v>1200077600</v>
      </c>
      <c r="K699" s="99">
        <v>45369</v>
      </c>
      <c r="L699" s="98"/>
      <c r="M699" s="99"/>
      <c r="N699" s="99" t="s">
        <v>5186</v>
      </c>
      <c r="O699" s="98"/>
      <c r="P699" s="98"/>
      <c r="Q699" s="98"/>
      <c r="R699" s="721"/>
      <c r="S699" s="99"/>
      <c r="T699" s="324"/>
      <c r="U699" s="98"/>
      <c r="V699" s="98"/>
      <c r="W699" s="326">
        <v>1.0549999999999999</v>
      </c>
    </row>
    <row r="700" spans="1:23" ht="38.25" x14ac:dyDescent="0.25">
      <c r="A700" s="98">
        <f t="shared" si="20"/>
        <v>127</v>
      </c>
      <c r="B700" s="98"/>
      <c r="C700" s="334" t="s">
        <v>5187</v>
      </c>
      <c r="D700" s="98" t="s">
        <v>1250</v>
      </c>
      <c r="E700" s="324">
        <v>5</v>
      </c>
      <c r="F700" s="98">
        <v>20</v>
      </c>
      <c r="G700" s="98"/>
      <c r="H700" s="98" t="s">
        <v>5188</v>
      </c>
      <c r="I700" s="98" t="s">
        <v>783</v>
      </c>
      <c r="J700" s="98">
        <v>1200077356</v>
      </c>
      <c r="K700" s="99">
        <v>45349</v>
      </c>
      <c r="L700" s="98">
        <v>3500000008</v>
      </c>
      <c r="M700" s="99">
        <v>45296</v>
      </c>
      <c r="N700" s="99" t="s">
        <v>5189</v>
      </c>
      <c r="O700" s="98"/>
      <c r="P700" s="98"/>
      <c r="Q700" s="98"/>
      <c r="R700" s="721"/>
      <c r="S700" s="99"/>
      <c r="T700" s="324"/>
      <c r="U700" s="98"/>
      <c r="V700" s="98"/>
      <c r="W700" s="326">
        <v>5</v>
      </c>
    </row>
    <row r="701" spans="1:23" ht="38.25" x14ac:dyDescent="0.25">
      <c r="A701" s="98">
        <f t="shared" si="20"/>
        <v>128</v>
      </c>
      <c r="B701" s="98"/>
      <c r="C701" s="334" t="s">
        <v>5190</v>
      </c>
      <c r="D701" s="98" t="s">
        <v>1250</v>
      </c>
      <c r="E701" s="324">
        <v>1.2</v>
      </c>
      <c r="F701" s="98">
        <v>20</v>
      </c>
      <c r="G701" s="98"/>
      <c r="H701" s="98" t="s">
        <v>5191</v>
      </c>
      <c r="I701" s="98" t="s">
        <v>783</v>
      </c>
      <c r="J701" s="98">
        <v>1200077435</v>
      </c>
      <c r="K701" s="99">
        <v>45356</v>
      </c>
      <c r="L701" s="98"/>
      <c r="M701" s="99"/>
      <c r="N701" s="99" t="s">
        <v>5192</v>
      </c>
      <c r="O701" s="98"/>
      <c r="P701" s="98"/>
      <c r="Q701" s="98"/>
      <c r="R701" s="721"/>
      <c r="S701" s="99"/>
      <c r="T701" s="324"/>
      <c r="U701" s="98"/>
      <c r="V701" s="98"/>
      <c r="W701" s="326">
        <v>1.2</v>
      </c>
    </row>
    <row r="702" spans="1:23" ht="51" x14ac:dyDescent="0.25">
      <c r="A702" s="98">
        <f t="shared" si="20"/>
        <v>129</v>
      </c>
      <c r="B702" s="98"/>
      <c r="C702" s="334" t="s">
        <v>2684</v>
      </c>
      <c r="D702" s="98" t="s">
        <v>779</v>
      </c>
      <c r="E702" s="324">
        <v>4</v>
      </c>
      <c r="F702" s="98">
        <v>20</v>
      </c>
      <c r="G702" s="98"/>
      <c r="H702" s="98" t="s">
        <v>2685</v>
      </c>
      <c r="I702" s="98" t="s">
        <v>783</v>
      </c>
      <c r="J702" s="98">
        <v>1200074172</v>
      </c>
      <c r="K702" s="99">
        <v>45128</v>
      </c>
      <c r="L702" s="98">
        <v>3100167842</v>
      </c>
      <c r="M702" s="99">
        <v>45128</v>
      </c>
      <c r="N702" s="99" t="s">
        <v>5193</v>
      </c>
      <c r="O702" s="98"/>
      <c r="P702" s="98"/>
      <c r="Q702" s="98"/>
      <c r="R702" s="721"/>
      <c r="S702" s="99"/>
      <c r="T702" s="324"/>
      <c r="U702" s="98"/>
      <c r="V702" s="98"/>
      <c r="W702" s="98">
        <v>4.01</v>
      </c>
    </row>
    <row r="703" spans="1:23" ht="38.25" x14ac:dyDescent="0.25">
      <c r="A703" s="98">
        <f t="shared" si="20"/>
        <v>130</v>
      </c>
      <c r="B703" s="98"/>
      <c r="C703" s="334" t="s">
        <v>5194</v>
      </c>
      <c r="D703" s="98" t="s">
        <v>2650</v>
      </c>
      <c r="E703" s="324">
        <v>7</v>
      </c>
      <c r="F703" s="98">
        <v>110</v>
      </c>
      <c r="G703" s="98" t="s">
        <v>5195</v>
      </c>
      <c r="H703" s="98" t="s">
        <v>5195</v>
      </c>
      <c r="I703" s="98" t="s">
        <v>783</v>
      </c>
      <c r="J703" s="98">
        <v>1200078520</v>
      </c>
      <c r="K703" s="99">
        <v>45428</v>
      </c>
      <c r="L703" s="98"/>
      <c r="M703" s="99"/>
      <c r="N703" s="99" t="s">
        <v>5196</v>
      </c>
      <c r="O703" s="98"/>
      <c r="P703" s="98"/>
      <c r="Q703" s="98"/>
      <c r="R703" s="721"/>
      <c r="S703" s="99"/>
      <c r="T703" s="324"/>
      <c r="U703" s="98"/>
      <c r="V703" s="98"/>
      <c r="W703" s="324">
        <v>7</v>
      </c>
    </row>
    <row r="704" spans="1:23" ht="38.25" x14ac:dyDescent="0.25">
      <c r="A704" s="98">
        <f t="shared" ref="A704:A719" si="25">A703+1</f>
        <v>131</v>
      </c>
      <c r="B704" s="98"/>
      <c r="C704" s="334" t="s">
        <v>5197</v>
      </c>
      <c r="D704" s="98" t="s">
        <v>779</v>
      </c>
      <c r="E704" s="324">
        <v>1.6</v>
      </c>
      <c r="F704" s="98">
        <v>20</v>
      </c>
      <c r="G704" s="98"/>
      <c r="H704" s="98" t="s">
        <v>5198</v>
      </c>
      <c r="I704" s="98" t="s">
        <v>783</v>
      </c>
      <c r="J704" s="98">
        <v>1200078708</v>
      </c>
      <c r="K704" s="99">
        <v>45442</v>
      </c>
      <c r="L704" s="98"/>
      <c r="M704" s="99"/>
      <c r="N704" s="99" t="s">
        <v>5101</v>
      </c>
      <c r="O704" s="98"/>
      <c r="P704" s="98"/>
      <c r="Q704" s="98"/>
      <c r="R704" s="721"/>
      <c r="S704" s="99"/>
      <c r="T704" s="324"/>
      <c r="U704" s="98"/>
      <c r="V704" s="98"/>
      <c r="W704" s="98">
        <v>1.6</v>
      </c>
    </row>
    <row r="705" spans="1:23" ht="38.25" x14ac:dyDescent="0.25">
      <c r="A705" s="98">
        <f t="shared" si="25"/>
        <v>132</v>
      </c>
      <c r="B705" s="98"/>
      <c r="C705" s="334" t="s">
        <v>5199</v>
      </c>
      <c r="D705" s="98" t="s">
        <v>2650</v>
      </c>
      <c r="E705" s="324">
        <v>1.665</v>
      </c>
      <c r="F705" s="98">
        <v>20</v>
      </c>
      <c r="G705" s="98"/>
      <c r="H705" s="98" t="s">
        <v>671</v>
      </c>
      <c r="I705" s="98" t="s">
        <v>783</v>
      </c>
      <c r="J705" s="98">
        <v>1200078278</v>
      </c>
      <c r="K705" s="99">
        <v>45421</v>
      </c>
      <c r="L705" s="98"/>
      <c r="M705" s="99"/>
      <c r="N705" s="99" t="s">
        <v>5200</v>
      </c>
      <c r="O705" s="98"/>
      <c r="P705" s="98"/>
      <c r="Q705" s="98"/>
      <c r="R705" s="721"/>
      <c r="S705" s="99"/>
      <c r="T705" s="324"/>
      <c r="U705" s="98"/>
      <c r="V705" s="98"/>
      <c r="W705" s="98">
        <v>1.665</v>
      </c>
    </row>
    <row r="706" spans="1:23" ht="38.25" x14ac:dyDescent="0.25">
      <c r="A706" s="98">
        <f t="shared" si="25"/>
        <v>133</v>
      </c>
      <c r="B706" s="98"/>
      <c r="C706" s="334" t="s">
        <v>738</v>
      </c>
      <c r="D706" s="98" t="s">
        <v>2650</v>
      </c>
      <c r="E706" s="324">
        <v>3.6</v>
      </c>
      <c r="F706" s="98">
        <v>20</v>
      </c>
      <c r="G706" s="98" t="s">
        <v>739</v>
      </c>
      <c r="H706" s="98" t="s">
        <v>5201</v>
      </c>
      <c r="I706" s="98" t="s">
        <v>783</v>
      </c>
      <c r="J706" s="98">
        <v>1200078937</v>
      </c>
      <c r="K706" s="99">
        <v>45461</v>
      </c>
      <c r="L706" s="98">
        <v>3100112340</v>
      </c>
      <c r="M706" s="325">
        <v>43809</v>
      </c>
      <c r="N706" s="99" t="s">
        <v>5202</v>
      </c>
      <c r="O706" s="98"/>
      <c r="P706" s="98"/>
      <c r="Q706" s="98"/>
      <c r="R706" s="721"/>
      <c r="S706" s="99"/>
      <c r="T706" s="324"/>
      <c r="U706" s="98"/>
      <c r="V706" s="98"/>
      <c r="W706" s="324">
        <v>3.6</v>
      </c>
    </row>
    <row r="707" spans="1:23" ht="38.25" x14ac:dyDescent="0.25">
      <c r="A707" s="98">
        <f t="shared" si="25"/>
        <v>134</v>
      </c>
      <c r="B707" s="98"/>
      <c r="C707" s="334" t="s">
        <v>5203</v>
      </c>
      <c r="D707" s="98" t="s">
        <v>779</v>
      </c>
      <c r="E707" s="324">
        <v>1.1399999999999999</v>
      </c>
      <c r="F707" s="98">
        <v>20</v>
      </c>
      <c r="G707" s="98" t="s">
        <v>5204</v>
      </c>
      <c r="H707" s="98" t="s">
        <v>5205</v>
      </c>
      <c r="I707" s="98" t="s">
        <v>783</v>
      </c>
      <c r="J707" s="98">
        <v>1200079059</v>
      </c>
      <c r="K707" s="99">
        <v>45467</v>
      </c>
      <c r="L707" s="98"/>
      <c r="M707" s="99"/>
      <c r="N707" s="99"/>
      <c r="O707" s="98"/>
      <c r="P707" s="98"/>
      <c r="Q707" s="98"/>
      <c r="R707" s="721"/>
      <c r="S707" s="99"/>
      <c r="T707" s="324"/>
      <c r="U707" s="98"/>
      <c r="V707" s="98"/>
      <c r="W707" s="98">
        <v>1.1399999999999999</v>
      </c>
    </row>
    <row r="708" spans="1:23" ht="38.25" x14ac:dyDescent="0.25">
      <c r="A708" s="98">
        <f t="shared" si="25"/>
        <v>135</v>
      </c>
      <c r="B708" s="98"/>
      <c r="C708" s="334" t="s">
        <v>5242</v>
      </c>
      <c r="D708" s="98" t="s">
        <v>2650</v>
      </c>
      <c r="E708" s="324">
        <v>1.28</v>
      </c>
      <c r="F708" s="98">
        <v>20</v>
      </c>
      <c r="G708" s="98" t="s">
        <v>5243</v>
      </c>
      <c r="H708" s="98" t="s">
        <v>5244</v>
      </c>
      <c r="I708" s="98" t="s">
        <v>783</v>
      </c>
      <c r="J708" s="98">
        <v>1200079103</v>
      </c>
      <c r="K708" s="99">
        <v>45481</v>
      </c>
      <c r="L708" s="98"/>
      <c r="M708" s="99"/>
      <c r="N708" s="99" t="s">
        <v>5245</v>
      </c>
      <c r="O708" s="98"/>
      <c r="P708" s="98"/>
      <c r="Q708" s="98"/>
      <c r="R708" s="721"/>
      <c r="S708" s="99"/>
      <c r="T708" s="324"/>
      <c r="U708" s="98"/>
      <c r="V708" s="98"/>
      <c r="W708" s="324">
        <v>1.28</v>
      </c>
    </row>
    <row r="709" spans="1:23" ht="38.25" x14ac:dyDescent="0.25">
      <c r="A709" s="98">
        <f t="shared" si="25"/>
        <v>136</v>
      </c>
      <c r="B709" s="98"/>
      <c r="C709" s="334" t="s">
        <v>5668</v>
      </c>
      <c r="D709" s="98" t="s">
        <v>779</v>
      </c>
      <c r="E709" s="324">
        <v>1.383</v>
      </c>
      <c r="F709" s="98">
        <v>20</v>
      </c>
      <c r="G709" s="98" t="s">
        <v>5669</v>
      </c>
      <c r="H709" s="98" t="s">
        <v>5670</v>
      </c>
      <c r="I709" s="98" t="s">
        <v>783</v>
      </c>
      <c r="J709" s="98">
        <v>1200079931</v>
      </c>
      <c r="K709" s="99">
        <v>45530</v>
      </c>
      <c r="L709" s="98"/>
      <c r="M709" s="99"/>
      <c r="N709" s="99" t="s">
        <v>5671</v>
      </c>
      <c r="O709" s="98"/>
      <c r="P709" s="98"/>
      <c r="Q709" s="98"/>
      <c r="R709" s="98"/>
      <c r="S709" s="99"/>
      <c r="T709" s="324"/>
      <c r="U709" s="98"/>
      <c r="V709" s="98"/>
      <c r="W709" s="98">
        <v>1.383</v>
      </c>
    </row>
    <row r="710" spans="1:23" ht="38.25" x14ac:dyDescent="0.25">
      <c r="A710" s="98">
        <f t="shared" si="25"/>
        <v>137</v>
      </c>
      <c r="B710" s="98"/>
      <c r="C710" s="334" t="s">
        <v>5672</v>
      </c>
      <c r="D710" s="98" t="s">
        <v>779</v>
      </c>
      <c r="E710" s="324">
        <v>2.8250000000000002</v>
      </c>
      <c r="F710" s="98">
        <v>20</v>
      </c>
      <c r="G710" s="98" t="s">
        <v>5673</v>
      </c>
      <c r="H710" s="98" t="s">
        <v>5674</v>
      </c>
      <c r="I710" s="98" t="s">
        <v>783</v>
      </c>
      <c r="J710" s="98">
        <v>1200079559</v>
      </c>
      <c r="K710" s="99">
        <v>45505</v>
      </c>
      <c r="L710" s="98"/>
      <c r="M710" s="99"/>
      <c r="N710" s="99"/>
      <c r="O710" s="98"/>
      <c r="P710" s="98"/>
      <c r="Q710" s="98"/>
      <c r="R710" s="98"/>
      <c r="S710" s="99"/>
      <c r="T710" s="324"/>
      <c r="U710" s="98"/>
      <c r="V710" s="98"/>
      <c r="W710" s="324">
        <v>2.8250000000000002</v>
      </c>
    </row>
    <row r="711" spans="1:23" ht="38.25" x14ac:dyDescent="0.25">
      <c r="A711" s="98">
        <f t="shared" si="25"/>
        <v>138</v>
      </c>
      <c r="B711" s="98"/>
      <c r="C711" s="334" t="s">
        <v>5675</v>
      </c>
      <c r="D711" s="98" t="s">
        <v>2650</v>
      </c>
      <c r="E711" s="324">
        <v>3.456</v>
      </c>
      <c r="F711" s="98">
        <v>20</v>
      </c>
      <c r="G711" s="98" t="s">
        <v>5676</v>
      </c>
      <c r="H711" s="98" t="s">
        <v>5677</v>
      </c>
      <c r="I711" s="98" t="s">
        <v>783</v>
      </c>
      <c r="J711" s="98">
        <v>1200079607</v>
      </c>
      <c r="K711" s="99">
        <v>45505</v>
      </c>
      <c r="L711" s="98"/>
      <c r="M711" s="99"/>
      <c r="N711" s="99"/>
      <c r="O711" s="98"/>
      <c r="P711" s="98"/>
      <c r="Q711" s="98"/>
      <c r="R711" s="98" t="s">
        <v>5678</v>
      </c>
      <c r="S711" s="99">
        <v>45516</v>
      </c>
      <c r="T711" s="324">
        <v>3.456</v>
      </c>
      <c r="U711" s="98"/>
      <c r="V711" s="98">
        <v>3.456</v>
      </c>
      <c r="W711" s="324">
        <v>3.456</v>
      </c>
    </row>
    <row r="712" spans="1:23" ht="38.25" x14ac:dyDescent="0.25">
      <c r="A712" s="98">
        <f t="shared" si="25"/>
        <v>139</v>
      </c>
      <c r="B712" s="98"/>
      <c r="C712" s="334" t="s">
        <v>5679</v>
      </c>
      <c r="D712" s="98" t="s">
        <v>1250</v>
      </c>
      <c r="E712" s="324">
        <v>5</v>
      </c>
      <c r="F712" s="98">
        <v>20</v>
      </c>
      <c r="G712" s="98"/>
      <c r="H712" s="98" t="s">
        <v>5191</v>
      </c>
      <c r="I712" s="98" t="s">
        <v>783</v>
      </c>
      <c r="J712" s="98">
        <v>1200079611</v>
      </c>
      <c r="K712" s="99">
        <v>45506</v>
      </c>
      <c r="L712" s="98"/>
      <c r="M712" s="99"/>
      <c r="N712" s="99"/>
      <c r="O712" s="98"/>
      <c r="P712" s="98"/>
      <c r="Q712" s="98"/>
      <c r="R712" s="98"/>
      <c r="S712" s="99"/>
      <c r="T712" s="324"/>
      <c r="U712" s="98"/>
      <c r="V712" s="98"/>
      <c r="W712" s="98">
        <v>5</v>
      </c>
    </row>
    <row r="713" spans="1:23" ht="38.25" x14ac:dyDescent="0.25">
      <c r="A713" s="98">
        <f t="shared" si="25"/>
        <v>140</v>
      </c>
      <c r="B713" s="98"/>
      <c r="C713" s="334" t="s">
        <v>2704</v>
      </c>
      <c r="D713" s="98" t="s">
        <v>2650</v>
      </c>
      <c r="E713" s="324">
        <v>1.494</v>
      </c>
      <c r="F713" s="98">
        <v>20</v>
      </c>
      <c r="G713" s="98"/>
      <c r="H713" s="98" t="s">
        <v>5677</v>
      </c>
      <c r="I713" s="98" t="s">
        <v>783</v>
      </c>
      <c r="J713" s="98">
        <v>1200079609</v>
      </c>
      <c r="K713" s="99">
        <v>45505</v>
      </c>
      <c r="L713" s="98"/>
      <c r="M713" s="99"/>
      <c r="N713" s="99"/>
      <c r="O713" s="98"/>
      <c r="P713" s="98"/>
      <c r="Q713" s="98"/>
      <c r="R713" s="98" t="s">
        <v>5680</v>
      </c>
      <c r="S713" s="99">
        <v>45516</v>
      </c>
      <c r="T713" s="324">
        <v>1.494</v>
      </c>
      <c r="U713" s="98"/>
      <c r="V713" s="98">
        <v>1.494</v>
      </c>
      <c r="W713" s="98">
        <v>1.494</v>
      </c>
    </row>
    <row r="714" spans="1:23" ht="30" x14ac:dyDescent="0.25">
      <c r="A714" s="98">
        <f t="shared" si="25"/>
        <v>141</v>
      </c>
      <c r="B714" s="838"/>
      <c r="C714" s="334" t="s">
        <v>1112</v>
      </c>
      <c r="D714" s="689" t="s">
        <v>2643</v>
      </c>
      <c r="E714" s="839">
        <v>1.127</v>
      </c>
      <c r="F714" s="840">
        <v>20</v>
      </c>
      <c r="G714" s="838" t="s">
        <v>5839</v>
      </c>
      <c r="H714" s="813" t="s">
        <v>5840</v>
      </c>
      <c r="I714" s="838" t="s">
        <v>783</v>
      </c>
      <c r="J714" s="815">
        <v>1200080119</v>
      </c>
      <c r="K714" s="816">
        <v>45539</v>
      </c>
      <c r="L714" s="841"/>
      <c r="M714" s="842"/>
      <c r="N714" s="715" t="s">
        <v>5818</v>
      </c>
      <c r="O714" s="838"/>
      <c r="P714" s="838"/>
      <c r="Q714" s="838"/>
      <c r="R714" s="838"/>
      <c r="S714" s="842"/>
      <c r="T714" s="839"/>
      <c r="U714" s="838"/>
      <c r="V714" s="838"/>
      <c r="W714" s="839">
        <v>1.127</v>
      </c>
    </row>
    <row r="715" spans="1:23" ht="30" x14ac:dyDescent="0.25">
      <c r="A715" s="876">
        <f t="shared" si="25"/>
        <v>142</v>
      </c>
      <c r="B715" s="877"/>
      <c r="C715" s="878" t="s">
        <v>1112</v>
      </c>
      <c r="D715" s="879" t="s">
        <v>2625</v>
      </c>
      <c r="E715" s="880">
        <v>1.0409999999999999</v>
      </c>
      <c r="F715" s="881">
        <v>20</v>
      </c>
      <c r="G715" s="877" t="s">
        <v>5839</v>
      </c>
      <c r="H715" s="882" t="s">
        <v>5841</v>
      </c>
      <c r="I715" s="877" t="s">
        <v>783</v>
      </c>
      <c r="J715" s="843">
        <v>1200079620</v>
      </c>
      <c r="K715" s="844">
        <v>45544</v>
      </c>
      <c r="L715" s="883" t="s">
        <v>5842</v>
      </c>
      <c r="M715" s="884">
        <v>45544</v>
      </c>
      <c r="N715" s="885" t="s">
        <v>5818</v>
      </c>
      <c r="O715" s="877"/>
      <c r="P715" s="877"/>
      <c r="Q715" s="877"/>
      <c r="R715" s="877"/>
      <c r="S715" s="886"/>
      <c r="T715" s="880"/>
      <c r="U715" s="877"/>
      <c r="V715" s="877"/>
      <c r="W715" s="880">
        <v>1.0409999999999999</v>
      </c>
    </row>
    <row r="716" spans="1:23" ht="45" x14ac:dyDescent="0.25">
      <c r="A716" s="98">
        <f t="shared" si="25"/>
        <v>143</v>
      </c>
      <c r="B716" s="838"/>
      <c r="C716" s="646" t="s">
        <v>5896</v>
      </c>
      <c r="D716" s="887" t="s">
        <v>2650</v>
      </c>
      <c r="E716" s="839">
        <v>3.6</v>
      </c>
      <c r="F716" s="840">
        <v>20</v>
      </c>
      <c r="G716" s="838"/>
      <c r="H716" s="888" t="s">
        <v>5201</v>
      </c>
      <c r="I716" s="838" t="s">
        <v>783</v>
      </c>
      <c r="J716" s="815">
        <v>1200078937</v>
      </c>
      <c r="K716" s="816">
        <v>45461</v>
      </c>
      <c r="L716" s="845"/>
      <c r="M716" s="846"/>
      <c r="N716" s="716"/>
      <c r="O716" s="838"/>
      <c r="P716" s="838"/>
      <c r="Q716" s="838"/>
      <c r="R716" s="838">
        <v>8600082307</v>
      </c>
      <c r="S716" s="842">
        <v>45615</v>
      </c>
      <c r="T716" s="839">
        <v>3.6</v>
      </c>
      <c r="U716" s="838" t="s">
        <v>5897</v>
      </c>
      <c r="V716" s="839">
        <v>3.6</v>
      </c>
      <c r="W716" s="839">
        <v>3.6</v>
      </c>
    </row>
    <row r="717" spans="1:23" ht="30" x14ac:dyDescent="0.25">
      <c r="A717" s="98">
        <f t="shared" si="25"/>
        <v>144</v>
      </c>
      <c r="B717" s="838"/>
      <c r="C717" s="646" t="s">
        <v>682</v>
      </c>
      <c r="D717" s="887" t="s">
        <v>779</v>
      </c>
      <c r="E717" s="839">
        <v>1.42</v>
      </c>
      <c r="F717" s="840">
        <v>20</v>
      </c>
      <c r="G717" s="838" t="s">
        <v>5898</v>
      </c>
      <c r="H717" s="813" t="s">
        <v>5899</v>
      </c>
      <c r="I717" s="838" t="s">
        <v>783</v>
      </c>
      <c r="J717" s="815">
        <v>1200081199</v>
      </c>
      <c r="K717" s="875"/>
      <c r="L717" s="845"/>
      <c r="M717" s="846"/>
      <c r="N717" s="716"/>
      <c r="O717" s="838"/>
      <c r="P717" s="838"/>
      <c r="Q717" s="838"/>
      <c r="R717" s="838">
        <v>8600082203</v>
      </c>
      <c r="S717" s="842">
        <v>45608</v>
      </c>
      <c r="T717" s="839">
        <v>1.42</v>
      </c>
      <c r="U717" s="838"/>
      <c r="V717" s="839">
        <v>1.42</v>
      </c>
      <c r="W717" s="839">
        <v>1.42</v>
      </c>
    </row>
    <row r="718" spans="1:23" ht="30" x14ac:dyDescent="0.25">
      <c r="A718" s="98">
        <f t="shared" si="25"/>
        <v>145</v>
      </c>
      <c r="B718" s="838"/>
      <c r="C718" s="646" t="s">
        <v>5900</v>
      </c>
      <c r="D718" s="689" t="s">
        <v>779</v>
      </c>
      <c r="E718" s="839">
        <v>1.48</v>
      </c>
      <c r="F718" s="840">
        <v>20</v>
      </c>
      <c r="G718" s="838"/>
      <c r="H718" s="813" t="s">
        <v>5901</v>
      </c>
      <c r="I718" s="838" t="s">
        <v>783</v>
      </c>
      <c r="J718" s="815">
        <v>1200080923</v>
      </c>
      <c r="K718" s="816">
        <v>45597</v>
      </c>
      <c r="L718" s="845"/>
      <c r="M718" s="846"/>
      <c r="N718" s="716"/>
      <c r="O718" s="838"/>
      <c r="P718" s="838"/>
      <c r="Q718" s="838"/>
      <c r="R718" s="838"/>
      <c r="S718" s="842"/>
      <c r="T718" s="839"/>
      <c r="U718" s="838"/>
      <c r="V718" s="839"/>
      <c r="W718" s="839"/>
    </row>
    <row r="719" spans="1:23" ht="45" x14ac:dyDescent="0.25">
      <c r="A719" s="98">
        <f t="shared" si="25"/>
        <v>146</v>
      </c>
      <c r="B719" s="838"/>
      <c r="C719" s="646" t="s">
        <v>5902</v>
      </c>
      <c r="D719" s="689" t="s">
        <v>2650</v>
      </c>
      <c r="E719" s="839">
        <v>1.05</v>
      </c>
      <c r="F719" s="840">
        <v>20</v>
      </c>
      <c r="G719" s="838"/>
      <c r="H719" s="813" t="s">
        <v>5903</v>
      </c>
      <c r="I719" s="838" t="s">
        <v>783</v>
      </c>
      <c r="J719" s="815">
        <v>1200081308</v>
      </c>
      <c r="K719" s="816">
        <v>45616</v>
      </c>
      <c r="L719" s="845"/>
      <c r="M719" s="846"/>
      <c r="N719" s="716" t="s">
        <v>5904</v>
      </c>
      <c r="O719" s="838"/>
      <c r="P719" s="838"/>
      <c r="Q719" s="838"/>
      <c r="R719" s="838"/>
      <c r="S719" s="842"/>
      <c r="T719" s="839"/>
      <c r="U719" s="838"/>
      <c r="V719" s="839"/>
      <c r="W719" s="839"/>
    </row>
    <row r="721" spans="1:23" x14ac:dyDescent="0.25">
      <c r="A721" s="29">
        <v>1</v>
      </c>
      <c r="B721" s="29" t="s">
        <v>967</v>
      </c>
      <c r="C721" s="29" t="s">
        <v>967</v>
      </c>
      <c r="D721" s="29" t="s">
        <v>886</v>
      </c>
      <c r="E721" s="235">
        <v>1.5</v>
      </c>
      <c r="F721" s="29">
        <v>20</v>
      </c>
      <c r="G721" s="29" t="s">
        <v>968</v>
      </c>
      <c r="H721" s="29" t="s">
        <v>964</v>
      </c>
      <c r="I721" s="29" t="s">
        <v>899</v>
      </c>
      <c r="J721" s="73">
        <v>3030210502436</v>
      </c>
      <c r="K721" s="185" t="s">
        <v>969</v>
      </c>
      <c r="L721" s="73">
        <v>5489</v>
      </c>
      <c r="M721" s="185" t="s">
        <v>970</v>
      </c>
      <c r="N721" s="29"/>
      <c r="O721" s="29" t="s">
        <v>25</v>
      </c>
      <c r="P721" s="29" t="s">
        <v>25</v>
      </c>
      <c r="Q721" s="29" t="s">
        <v>25</v>
      </c>
      <c r="R721" s="73"/>
      <c r="S721" s="185"/>
      <c r="T721" s="29"/>
      <c r="U721" s="29"/>
      <c r="V721" s="29"/>
      <c r="W721" s="29"/>
    </row>
    <row r="722" spans="1:23" x14ac:dyDescent="0.25">
      <c r="A722" s="29">
        <v>2</v>
      </c>
      <c r="B722" s="29" t="s">
        <v>971</v>
      </c>
      <c r="C722" s="29" t="s">
        <v>971</v>
      </c>
      <c r="D722" s="29" t="s">
        <v>921</v>
      </c>
      <c r="E722" s="235">
        <v>3</v>
      </c>
      <c r="F722" s="29">
        <v>20</v>
      </c>
      <c r="G722" s="29" t="s">
        <v>972</v>
      </c>
      <c r="H722" s="29" t="s">
        <v>963</v>
      </c>
      <c r="I722" s="29" t="s">
        <v>899</v>
      </c>
      <c r="J722" s="73">
        <v>3010210604121</v>
      </c>
      <c r="K722" s="185" t="s">
        <v>973</v>
      </c>
      <c r="L722" s="94" t="s">
        <v>974</v>
      </c>
      <c r="M722" s="185" t="s">
        <v>945</v>
      </c>
      <c r="N722" s="29"/>
      <c r="O722" s="29" t="s">
        <v>25</v>
      </c>
      <c r="P722" s="29" t="s">
        <v>25</v>
      </c>
      <c r="Q722" s="29" t="s">
        <v>25</v>
      </c>
      <c r="R722" s="73">
        <v>3010210604121</v>
      </c>
      <c r="S722" s="185">
        <v>45433</v>
      </c>
      <c r="T722" s="29"/>
      <c r="U722" s="29"/>
      <c r="V722" s="29"/>
      <c r="W722" s="29"/>
    </row>
    <row r="723" spans="1:23" x14ac:dyDescent="0.25">
      <c r="A723" s="29">
        <v>3</v>
      </c>
      <c r="B723" s="29" t="s">
        <v>976</v>
      </c>
      <c r="C723" s="29" t="s">
        <v>976</v>
      </c>
      <c r="D723" s="29" t="s">
        <v>921</v>
      </c>
      <c r="E723" s="235">
        <v>5</v>
      </c>
      <c r="F723" s="29">
        <v>20</v>
      </c>
      <c r="G723" s="29" t="s">
        <v>977</v>
      </c>
      <c r="H723" s="29" t="s">
        <v>964</v>
      </c>
      <c r="I723" s="29" t="s">
        <v>899</v>
      </c>
      <c r="J723" s="73">
        <v>3010210604247</v>
      </c>
      <c r="K723" s="185" t="s">
        <v>969</v>
      </c>
      <c r="L723" s="94"/>
      <c r="M723" s="185"/>
      <c r="N723" s="29"/>
      <c r="O723" s="29" t="s">
        <v>25</v>
      </c>
      <c r="P723" s="29" t="s">
        <v>25</v>
      </c>
      <c r="Q723" s="29" t="s">
        <v>25</v>
      </c>
      <c r="R723" s="73"/>
      <c r="S723" s="185"/>
      <c r="T723" s="29"/>
      <c r="U723" s="29"/>
      <c r="V723" s="29"/>
      <c r="W723" s="29"/>
    </row>
    <row r="724" spans="1:23" x14ac:dyDescent="0.25">
      <c r="A724" s="29">
        <v>4</v>
      </c>
      <c r="B724" s="375" t="s">
        <v>978</v>
      </c>
      <c r="C724" s="29" t="s">
        <v>978</v>
      </c>
      <c r="D724" s="29" t="s">
        <v>886</v>
      </c>
      <c r="E724" s="235">
        <v>1.06</v>
      </c>
      <c r="F724" s="29">
        <v>6</v>
      </c>
      <c r="G724" s="29" t="s">
        <v>979</v>
      </c>
      <c r="H724" s="29" t="s">
        <v>964</v>
      </c>
      <c r="I724" s="29" t="s">
        <v>899</v>
      </c>
      <c r="J724" s="73">
        <v>3030210602714</v>
      </c>
      <c r="K724" s="185" t="s">
        <v>980</v>
      </c>
      <c r="L724" s="375" t="s">
        <v>3641</v>
      </c>
      <c r="M724" s="455" t="s">
        <v>3642</v>
      </c>
      <c r="N724" s="29"/>
      <c r="O724" s="29" t="s">
        <v>25</v>
      </c>
      <c r="P724" s="29" t="s">
        <v>25</v>
      </c>
      <c r="Q724" s="29" t="s">
        <v>25</v>
      </c>
      <c r="R724" s="73"/>
      <c r="S724" s="185"/>
      <c r="T724" s="29"/>
      <c r="U724" s="29"/>
      <c r="V724" s="29"/>
      <c r="W724" s="29"/>
    </row>
    <row r="725" spans="1:23" x14ac:dyDescent="0.25">
      <c r="A725" s="29">
        <v>5</v>
      </c>
      <c r="B725" s="29" t="s">
        <v>982</v>
      </c>
      <c r="C725" s="29" t="s">
        <v>982</v>
      </c>
      <c r="D725" s="29" t="s">
        <v>921</v>
      </c>
      <c r="E725" s="235">
        <v>1.47</v>
      </c>
      <c r="F725" s="29">
        <v>20</v>
      </c>
      <c r="G725" s="29" t="s">
        <v>983</v>
      </c>
      <c r="H725" s="29" t="s">
        <v>964</v>
      </c>
      <c r="I725" s="29" t="s">
        <v>899</v>
      </c>
      <c r="J725" s="73">
        <v>3010210604738</v>
      </c>
      <c r="K725" s="185" t="s">
        <v>984</v>
      </c>
      <c r="L725" s="94"/>
      <c r="M725" s="185"/>
      <c r="N725" s="29"/>
      <c r="O725" s="29" t="s">
        <v>25</v>
      </c>
      <c r="P725" s="29" t="s">
        <v>25</v>
      </c>
      <c r="Q725" s="29" t="s">
        <v>25</v>
      </c>
      <c r="R725" s="73">
        <v>3010210705212</v>
      </c>
      <c r="S725" s="185">
        <v>45422</v>
      </c>
      <c r="T725" s="29"/>
      <c r="U725" s="29"/>
      <c r="V725" s="29"/>
      <c r="W725" s="29"/>
    </row>
    <row r="726" spans="1:23" x14ac:dyDescent="0.25">
      <c r="A726" s="29">
        <v>6</v>
      </c>
      <c r="B726" s="29" t="s">
        <v>986</v>
      </c>
      <c r="C726" s="29" t="s">
        <v>986</v>
      </c>
      <c r="D726" s="29" t="s">
        <v>921</v>
      </c>
      <c r="E726" s="235">
        <v>3</v>
      </c>
      <c r="F726" s="29">
        <v>20</v>
      </c>
      <c r="G726" s="29" t="s">
        <v>987</v>
      </c>
      <c r="H726" s="29" t="s">
        <v>963</v>
      </c>
      <c r="I726" s="29" t="s">
        <v>899</v>
      </c>
      <c r="J726" s="73">
        <v>3010210705212</v>
      </c>
      <c r="K726" s="185" t="s">
        <v>988</v>
      </c>
      <c r="L726" s="94" t="s">
        <v>989</v>
      </c>
      <c r="M726" s="185" t="s">
        <v>990</v>
      </c>
      <c r="N726" s="29"/>
      <c r="O726" s="29" t="s">
        <v>25</v>
      </c>
      <c r="P726" s="29" t="s">
        <v>25</v>
      </c>
      <c r="Q726" s="29" t="s">
        <v>25</v>
      </c>
      <c r="R726" s="73"/>
      <c r="S726" s="185"/>
      <c r="T726" s="29"/>
      <c r="U726" s="29"/>
      <c r="V726" s="29"/>
      <c r="W726" s="29"/>
    </row>
    <row r="727" spans="1:23" x14ac:dyDescent="0.25">
      <c r="A727" s="29">
        <v>7</v>
      </c>
      <c r="B727" s="29" t="s">
        <v>1001</v>
      </c>
      <c r="C727" s="29" t="s">
        <v>1001</v>
      </c>
      <c r="D727" s="29" t="s">
        <v>859</v>
      </c>
      <c r="E727" s="235">
        <v>1.2</v>
      </c>
      <c r="F727" s="29">
        <v>20</v>
      </c>
      <c r="G727" s="29" t="s">
        <v>1002</v>
      </c>
      <c r="H727" s="29" t="s">
        <v>963</v>
      </c>
      <c r="I727" s="29" t="s">
        <v>899</v>
      </c>
      <c r="J727" s="73">
        <v>3020211104654</v>
      </c>
      <c r="K727" s="185" t="s">
        <v>1003</v>
      </c>
      <c r="L727" s="94"/>
      <c r="M727" s="185"/>
      <c r="N727" s="29"/>
      <c r="O727" s="29" t="s">
        <v>25</v>
      </c>
      <c r="P727" s="29" t="s">
        <v>25</v>
      </c>
      <c r="Q727" s="29" t="s">
        <v>25</v>
      </c>
      <c r="R727" s="73"/>
      <c r="S727" s="185"/>
      <c r="T727" s="29"/>
      <c r="U727" s="29"/>
      <c r="V727" s="29"/>
      <c r="W727" s="29"/>
    </row>
    <row r="728" spans="1:23" x14ac:dyDescent="0.25">
      <c r="A728" s="29">
        <v>8</v>
      </c>
      <c r="B728" s="29" t="s">
        <v>1007</v>
      </c>
      <c r="C728" s="29" t="s">
        <v>1007</v>
      </c>
      <c r="D728" s="29" t="s">
        <v>921</v>
      </c>
      <c r="E728" s="235">
        <v>2.62</v>
      </c>
      <c r="F728" s="29">
        <v>20</v>
      </c>
      <c r="G728" s="29" t="s">
        <v>1008</v>
      </c>
      <c r="H728" s="29" t="s">
        <v>964</v>
      </c>
      <c r="I728" s="29" t="s">
        <v>899</v>
      </c>
      <c r="J728" s="73">
        <v>3010220210947</v>
      </c>
      <c r="K728" s="185" t="s">
        <v>1009</v>
      </c>
      <c r="L728" s="94"/>
      <c r="M728" s="185"/>
      <c r="N728" s="29"/>
      <c r="O728" s="29" t="s">
        <v>25</v>
      </c>
      <c r="P728" s="29" t="s">
        <v>25</v>
      </c>
      <c r="Q728" s="29" t="s">
        <v>25</v>
      </c>
      <c r="R728" s="73"/>
      <c r="S728" s="185"/>
      <c r="T728" s="29"/>
      <c r="U728" s="29"/>
      <c r="V728" s="29"/>
      <c r="W728" s="29"/>
    </row>
    <row r="729" spans="1:23" x14ac:dyDescent="0.25">
      <c r="A729" s="29">
        <v>9</v>
      </c>
      <c r="B729" s="29" t="s">
        <v>1010</v>
      </c>
      <c r="C729" s="29" t="s">
        <v>1010</v>
      </c>
      <c r="D729" s="29" t="s">
        <v>886</v>
      </c>
      <c r="E729" s="235">
        <v>12.01</v>
      </c>
      <c r="F729" s="29">
        <v>6</v>
      </c>
      <c r="G729" s="29" t="s">
        <v>981</v>
      </c>
      <c r="H729" s="29" t="s">
        <v>964</v>
      </c>
      <c r="I729" s="29" t="s">
        <v>899</v>
      </c>
      <c r="J729" s="73">
        <v>3030210200482</v>
      </c>
      <c r="K729" s="185" t="s">
        <v>1011</v>
      </c>
      <c r="L729" s="94" t="s">
        <v>1012</v>
      </c>
      <c r="M729" s="185" t="s">
        <v>1013</v>
      </c>
      <c r="N729" s="29"/>
      <c r="O729" s="29" t="s">
        <v>25</v>
      </c>
      <c r="P729" s="29" t="s">
        <v>25</v>
      </c>
      <c r="Q729" s="29" t="s">
        <v>25</v>
      </c>
      <c r="R729" s="73"/>
      <c r="S729" s="185"/>
      <c r="T729" s="29"/>
      <c r="U729" s="29"/>
      <c r="V729" s="29"/>
      <c r="W729" s="29"/>
    </row>
    <row r="730" spans="1:23" x14ac:dyDescent="0.25">
      <c r="A730" s="29">
        <v>10</v>
      </c>
      <c r="B730" s="29" t="s">
        <v>1015</v>
      </c>
      <c r="C730" s="29" t="s">
        <v>1015</v>
      </c>
      <c r="D730" s="29" t="s">
        <v>886</v>
      </c>
      <c r="E730" s="235">
        <v>2.5</v>
      </c>
      <c r="F730" s="29">
        <v>6</v>
      </c>
      <c r="G730" s="29" t="s">
        <v>1016</v>
      </c>
      <c r="H730" s="29" t="s">
        <v>963</v>
      </c>
      <c r="I730" s="29" t="s">
        <v>899</v>
      </c>
      <c r="J730" s="73">
        <v>3030210301198</v>
      </c>
      <c r="K730" s="185" t="s">
        <v>1017</v>
      </c>
      <c r="L730" s="94"/>
      <c r="M730" s="185"/>
      <c r="N730" s="29"/>
      <c r="O730" s="29" t="s">
        <v>25</v>
      </c>
      <c r="P730" s="29" t="s">
        <v>25</v>
      </c>
      <c r="Q730" s="29" t="s">
        <v>25</v>
      </c>
      <c r="R730" s="73"/>
      <c r="S730" s="185"/>
      <c r="T730" s="29"/>
      <c r="U730" s="29"/>
      <c r="V730" s="29"/>
      <c r="W730" s="29"/>
    </row>
    <row r="731" spans="1:23" x14ac:dyDescent="0.25">
      <c r="A731" s="29">
        <v>11</v>
      </c>
      <c r="B731" s="29" t="s">
        <v>1018</v>
      </c>
      <c r="C731" s="29" t="s">
        <v>1018</v>
      </c>
      <c r="D731" s="29" t="s">
        <v>925</v>
      </c>
      <c r="E731" s="235">
        <v>1.55</v>
      </c>
      <c r="F731" s="29">
        <v>20</v>
      </c>
      <c r="G731" s="29" t="s">
        <v>1019</v>
      </c>
      <c r="H731" s="29" t="s">
        <v>964</v>
      </c>
      <c r="I731" s="29" t="s">
        <v>899</v>
      </c>
      <c r="J731" s="73" t="s">
        <v>1020</v>
      </c>
      <c r="K731" s="185" t="s">
        <v>1021</v>
      </c>
      <c r="L731" s="94"/>
      <c r="M731" s="185"/>
      <c r="N731" s="29"/>
      <c r="O731" s="29" t="s">
        <v>25</v>
      </c>
      <c r="P731" s="29" t="s">
        <v>25</v>
      </c>
      <c r="Q731" s="29" t="s">
        <v>25</v>
      </c>
      <c r="R731" s="73"/>
      <c r="S731" s="185"/>
      <c r="T731" s="29"/>
      <c r="U731" s="29"/>
      <c r="V731" s="29"/>
      <c r="W731" s="29"/>
    </row>
    <row r="732" spans="1:23" x14ac:dyDescent="0.25">
      <c r="A732" s="29">
        <v>12</v>
      </c>
      <c r="B732" s="375" t="s">
        <v>1179</v>
      </c>
      <c r="C732" s="29" t="s">
        <v>1179</v>
      </c>
      <c r="D732" s="29" t="s">
        <v>925</v>
      </c>
      <c r="E732" s="235">
        <v>1.6060000000000001</v>
      </c>
      <c r="F732" s="29">
        <v>20</v>
      </c>
      <c r="G732" s="29" t="s">
        <v>1180</v>
      </c>
      <c r="H732" s="29" t="s">
        <v>964</v>
      </c>
      <c r="I732" s="29" t="s">
        <v>899</v>
      </c>
      <c r="J732" s="73">
        <v>3040210401635</v>
      </c>
      <c r="K732" s="185" t="s">
        <v>992</v>
      </c>
      <c r="L732" s="375" t="s">
        <v>3644</v>
      </c>
      <c r="M732" s="375" t="s">
        <v>3645</v>
      </c>
      <c r="N732" s="29"/>
      <c r="O732" s="29" t="s">
        <v>25</v>
      </c>
      <c r="P732" s="29" t="s">
        <v>25</v>
      </c>
      <c r="Q732" s="29" t="s">
        <v>25</v>
      </c>
      <c r="R732" s="73"/>
      <c r="S732" s="185"/>
      <c r="T732" s="29"/>
      <c r="U732" s="29"/>
      <c r="V732" s="29"/>
      <c r="W732" s="29"/>
    </row>
    <row r="733" spans="1:23" x14ac:dyDescent="0.25">
      <c r="A733" s="29">
        <v>13</v>
      </c>
      <c r="B733" s="29" t="s">
        <v>1324</v>
      </c>
      <c r="C733" s="29" t="s">
        <v>1324</v>
      </c>
      <c r="D733" s="29" t="s">
        <v>921</v>
      </c>
      <c r="E733" s="235">
        <v>3.76</v>
      </c>
      <c r="F733" s="29">
        <v>20</v>
      </c>
      <c r="G733" s="29" t="s">
        <v>1325</v>
      </c>
      <c r="H733" s="29" t="s">
        <v>963</v>
      </c>
      <c r="I733" s="29" t="s">
        <v>899</v>
      </c>
      <c r="J733" s="73">
        <v>3010210200889</v>
      </c>
      <c r="K733" s="185" t="s">
        <v>595</v>
      </c>
      <c r="L733" s="73">
        <v>2614</v>
      </c>
      <c r="M733" s="185" t="s">
        <v>975</v>
      </c>
      <c r="N733" s="29"/>
      <c r="O733" s="29" t="s">
        <v>25</v>
      </c>
      <c r="P733" s="29" t="s">
        <v>25</v>
      </c>
      <c r="Q733" s="29" t="s">
        <v>25</v>
      </c>
      <c r="R733" s="73"/>
      <c r="S733" s="185"/>
      <c r="T733" s="29"/>
      <c r="U733" s="29"/>
      <c r="V733" s="29"/>
      <c r="W733" s="29"/>
    </row>
    <row r="734" spans="1:23" x14ac:dyDescent="0.25">
      <c r="A734" s="29">
        <v>14</v>
      </c>
      <c r="B734" s="375" t="s">
        <v>1327</v>
      </c>
      <c r="C734" s="29" t="s">
        <v>1327</v>
      </c>
      <c r="D734" s="29" t="s">
        <v>921</v>
      </c>
      <c r="E734" s="235">
        <v>8</v>
      </c>
      <c r="F734" s="29">
        <v>20</v>
      </c>
      <c r="G734" s="29" t="s">
        <v>1328</v>
      </c>
      <c r="H734" s="29" t="s">
        <v>964</v>
      </c>
      <c r="I734" s="29" t="s">
        <v>899</v>
      </c>
      <c r="J734" s="73">
        <v>3010220210896</v>
      </c>
      <c r="K734" s="185" t="s">
        <v>1265</v>
      </c>
      <c r="L734" s="375" t="s">
        <v>3643</v>
      </c>
      <c r="M734" s="427">
        <v>44998</v>
      </c>
      <c r="N734" s="29"/>
      <c r="O734" s="29" t="s">
        <v>25</v>
      </c>
      <c r="P734" s="29" t="s">
        <v>25</v>
      </c>
      <c r="Q734" s="29" t="s">
        <v>25</v>
      </c>
      <c r="R734" s="73"/>
      <c r="S734" s="185"/>
      <c r="T734" s="29"/>
      <c r="U734" s="29"/>
      <c r="V734" s="29"/>
      <c r="W734" s="29"/>
    </row>
    <row r="735" spans="1:23" x14ac:dyDescent="0.25">
      <c r="A735" s="29">
        <v>15</v>
      </c>
      <c r="B735" s="136" t="s">
        <v>1821</v>
      </c>
      <c r="C735" s="136" t="s">
        <v>1821</v>
      </c>
      <c r="D735" s="136" t="s">
        <v>921</v>
      </c>
      <c r="E735" s="235">
        <v>2.52</v>
      </c>
      <c r="F735" s="136">
        <v>20</v>
      </c>
      <c r="G735" s="136" t="s">
        <v>1822</v>
      </c>
      <c r="H735" s="136" t="s">
        <v>964</v>
      </c>
      <c r="I735" s="29" t="s">
        <v>899</v>
      </c>
      <c r="J735" s="308">
        <v>3010220513490</v>
      </c>
      <c r="K735" s="187" t="s">
        <v>1806</v>
      </c>
      <c r="L735" s="215"/>
      <c r="M735" s="187"/>
      <c r="N735" s="136"/>
      <c r="O735" s="136" t="s">
        <v>25</v>
      </c>
      <c r="P735" s="136" t="s">
        <v>25</v>
      </c>
      <c r="Q735" s="136" t="s">
        <v>25</v>
      </c>
      <c r="R735" s="73"/>
      <c r="S735" s="185"/>
      <c r="T735" s="136"/>
      <c r="U735" s="136"/>
      <c r="V735" s="136"/>
      <c r="W735" s="136"/>
    </row>
    <row r="736" spans="1:23" x14ac:dyDescent="0.25">
      <c r="A736" s="29">
        <v>16</v>
      </c>
      <c r="B736" s="249" t="s">
        <v>1937</v>
      </c>
      <c r="C736" s="136" t="s">
        <v>1937</v>
      </c>
      <c r="D736" s="136" t="s">
        <v>859</v>
      </c>
      <c r="E736" s="215">
        <v>1.1519999999999999</v>
      </c>
      <c r="F736" s="136">
        <v>20</v>
      </c>
      <c r="G736" s="136" t="s">
        <v>1938</v>
      </c>
      <c r="H736" s="136" t="s">
        <v>963</v>
      </c>
      <c r="I736" s="29" t="s">
        <v>899</v>
      </c>
      <c r="J736" s="308">
        <v>3020220908156</v>
      </c>
      <c r="K736" s="237" t="s">
        <v>1939</v>
      </c>
      <c r="L736" s="136" t="s">
        <v>116</v>
      </c>
      <c r="M736" s="136" t="s">
        <v>116</v>
      </c>
      <c r="N736" s="136"/>
      <c r="O736" s="136" t="s">
        <v>25</v>
      </c>
      <c r="P736" s="136" t="s">
        <v>25</v>
      </c>
      <c r="Q736" s="136" t="s">
        <v>25</v>
      </c>
      <c r="R736" s="73"/>
      <c r="S736" s="185"/>
      <c r="T736" s="136"/>
      <c r="U736" s="136"/>
      <c r="V736" s="136"/>
      <c r="W736" s="136"/>
    </row>
    <row r="737" spans="1:23" ht="17.25" customHeight="1" x14ac:dyDescent="0.25">
      <c r="A737" s="29">
        <v>17</v>
      </c>
      <c r="B737" s="249" t="s">
        <v>2480</v>
      </c>
      <c r="C737" s="136" t="s">
        <v>2481</v>
      </c>
      <c r="D737" s="136" t="s">
        <v>859</v>
      </c>
      <c r="E737" s="136">
        <v>1.2549999999999999</v>
      </c>
      <c r="F737" s="136">
        <v>20</v>
      </c>
      <c r="G737" s="136" t="s">
        <v>2482</v>
      </c>
      <c r="H737" s="136" t="s">
        <v>964</v>
      </c>
      <c r="I737" s="136" t="s">
        <v>2411</v>
      </c>
      <c r="J737" s="308">
        <v>3020221209376</v>
      </c>
      <c r="K737" s="187">
        <v>45002</v>
      </c>
      <c r="L737" s="136"/>
      <c r="M737" s="136"/>
      <c r="N737" s="136"/>
      <c r="O737" s="136" t="s">
        <v>25</v>
      </c>
      <c r="P737" s="136" t="s">
        <v>25</v>
      </c>
      <c r="Q737" s="136" t="s">
        <v>25</v>
      </c>
      <c r="R737" s="73"/>
      <c r="S737" s="185"/>
      <c r="T737" s="136"/>
      <c r="U737" s="136"/>
      <c r="V737" s="136"/>
      <c r="W737" s="136"/>
    </row>
    <row r="738" spans="1:23" ht="17.25" customHeight="1" x14ac:dyDescent="0.25">
      <c r="A738" s="29">
        <v>18</v>
      </c>
      <c r="B738" s="249" t="s">
        <v>2218</v>
      </c>
      <c r="C738" s="136" t="s">
        <v>2555</v>
      </c>
      <c r="D738" s="215" t="s">
        <v>921</v>
      </c>
      <c r="E738" s="215">
        <v>1.2</v>
      </c>
      <c r="F738" s="136">
        <v>20</v>
      </c>
      <c r="G738" s="136" t="s">
        <v>2556</v>
      </c>
      <c r="H738" s="136" t="s">
        <v>963</v>
      </c>
      <c r="I738" s="136" t="s">
        <v>2411</v>
      </c>
      <c r="J738" s="308">
        <v>3010220514282</v>
      </c>
      <c r="K738" s="187">
        <v>45013</v>
      </c>
      <c r="L738" s="136"/>
      <c r="M738" s="136"/>
      <c r="N738" s="136"/>
      <c r="O738" s="136" t="s">
        <v>25</v>
      </c>
      <c r="P738" s="136" t="s">
        <v>25</v>
      </c>
      <c r="Q738" s="136" t="s">
        <v>25</v>
      </c>
      <c r="R738" s="73"/>
      <c r="S738" s="185"/>
      <c r="T738" s="136"/>
      <c r="U738" s="136"/>
      <c r="V738" s="136"/>
      <c r="W738" s="136"/>
    </row>
    <row r="739" spans="1:23" ht="17.25" customHeight="1" x14ac:dyDescent="0.25">
      <c r="A739" s="29">
        <v>19</v>
      </c>
      <c r="B739" s="249" t="s">
        <v>2843</v>
      </c>
      <c r="C739" s="136" t="s">
        <v>2844</v>
      </c>
      <c r="D739" s="136" t="s">
        <v>886</v>
      </c>
      <c r="E739" s="215">
        <v>1.2</v>
      </c>
      <c r="F739" s="136">
        <v>20</v>
      </c>
      <c r="G739" s="136" t="s">
        <v>2845</v>
      </c>
      <c r="H739" s="136" t="s">
        <v>963</v>
      </c>
      <c r="I739" s="136" t="s">
        <v>2411</v>
      </c>
      <c r="J739" s="308">
        <v>3030230313021</v>
      </c>
      <c r="K739" s="187">
        <v>45054</v>
      </c>
      <c r="L739" s="136" t="s">
        <v>2846</v>
      </c>
      <c r="M739" s="187">
        <v>45057</v>
      </c>
      <c r="N739" s="136"/>
      <c r="O739" s="136" t="s">
        <v>25</v>
      </c>
      <c r="P739" s="136" t="s">
        <v>25</v>
      </c>
      <c r="Q739" s="136" t="s">
        <v>25</v>
      </c>
      <c r="R739" s="73"/>
      <c r="S739" s="185"/>
      <c r="T739" s="136"/>
      <c r="U739" s="136"/>
      <c r="V739" s="136"/>
      <c r="W739" s="136"/>
    </row>
    <row r="740" spans="1:23" ht="17.25" customHeight="1" x14ac:dyDescent="0.25">
      <c r="A740" s="29">
        <v>20</v>
      </c>
      <c r="B740" s="249" t="s">
        <v>2847</v>
      </c>
      <c r="C740" s="136" t="s">
        <v>2555</v>
      </c>
      <c r="D740" s="136" t="s">
        <v>921</v>
      </c>
      <c r="E740" s="136">
        <v>13.6</v>
      </c>
      <c r="F740" s="136">
        <v>20</v>
      </c>
      <c r="G740" s="136" t="s">
        <v>2848</v>
      </c>
      <c r="H740" s="136" t="s">
        <v>964</v>
      </c>
      <c r="I740" s="136" t="s">
        <v>2411</v>
      </c>
      <c r="J740" s="308">
        <v>3010220311803</v>
      </c>
      <c r="K740" s="187">
        <v>45050</v>
      </c>
      <c r="L740" s="375" t="s">
        <v>5287</v>
      </c>
      <c r="M740" s="427">
        <v>45405</v>
      </c>
      <c r="N740" s="136"/>
      <c r="O740" s="136" t="s">
        <v>25</v>
      </c>
      <c r="P740" s="136" t="s">
        <v>25</v>
      </c>
      <c r="Q740" s="136" t="s">
        <v>25</v>
      </c>
      <c r="R740" s="73"/>
      <c r="S740" s="185"/>
      <c r="T740" s="136"/>
      <c r="U740" s="136"/>
      <c r="V740" s="136"/>
      <c r="W740" s="136"/>
    </row>
    <row r="741" spans="1:23" ht="17.25" customHeight="1" x14ac:dyDescent="0.25">
      <c r="A741" s="29">
        <v>21</v>
      </c>
      <c r="B741" s="249" t="s">
        <v>3058</v>
      </c>
      <c r="C741" s="136" t="s">
        <v>3020</v>
      </c>
      <c r="D741" s="136" t="s">
        <v>2837</v>
      </c>
      <c r="E741" s="355">
        <v>3.5</v>
      </c>
      <c r="F741" s="136">
        <v>20</v>
      </c>
      <c r="G741" s="136" t="s">
        <v>3059</v>
      </c>
      <c r="H741" s="136" t="s">
        <v>963</v>
      </c>
      <c r="I741" s="136" t="s">
        <v>2411</v>
      </c>
      <c r="J741" s="308">
        <v>3050230216475</v>
      </c>
      <c r="K741" s="187">
        <v>45064</v>
      </c>
      <c r="L741" s="375"/>
      <c r="M741" s="427"/>
      <c r="N741" s="136"/>
      <c r="O741" s="136" t="s">
        <v>25</v>
      </c>
      <c r="P741" s="136" t="s">
        <v>25</v>
      </c>
      <c r="Q741" s="136" t="s">
        <v>25</v>
      </c>
      <c r="R741" s="73"/>
      <c r="S741" s="185"/>
      <c r="T741" s="136"/>
      <c r="U741" s="136"/>
      <c r="V741" s="136"/>
      <c r="W741" s="136"/>
    </row>
    <row r="742" spans="1:23" ht="17.25" customHeight="1" x14ac:dyDescent="0.25">
      <c r="A742" s="29">
        <v>22</v>
      </c>
      <c r="B742" s="249" t="s">
        <v>3060</v>
      </c>
      <c r="C742" s="136" t="s">
        <v>3061</v>
      </c>
      <c r="D742" s="136" t="s">
        <v>921</v>
      </c>
      <c r="E742" s="355">
        <v>1.6</v>
      </c>
      <c r="F742" s="136">
        <v>20</v>
      </c>
      <c r="G742" s="136" t="s">
        <v>3062</v>
      </c>
      <c r="H742" s="136" t="s">
        <v>3063</v>
      </c>
      <c r="I742" s="136" t="s">
        <v>2411</v>
      </c>
      <c r="J742" s="308">
        <v>3010220918151</v>
      </c>
      <c r="K742" s="187">
        <v>44981</v>
      </c>
      <c r="L742" s="375" t="s">
        <v>3064</v>
      </c>
      <c r="M742" s="427">
        <v>45090</v>
      </c>
      <c r="N742" s="136"/>
      <c r="O742" s="136" t="s">
        <v>25</v>
      </c>
      <c r="P742" s="136" t="s">
        <v>25</v>
      </c>
      <c r="Q742" s="136" t="s">
        <v>25</v>
      </c>
      <c r="R742" s="73"/>
      <c r="S742" s="185"/>
      <c r="T742" s="136"/>
      <c r="U742" s="136"/>
      <c r="V742" s="136"/>
      <c r="W742" s="136"/>
    </row>
    <row r="743" spans="1:23" ht="17.25" customHeight="1" x14ac:dyDescent="0.25">
      <c r="A743" s="29">
        <v>23</v>
      </c>
      <c r="B743" s="249" t="s">
        <v>3065</v>
      </c>
      <c r="C743" s="136" t="s">
        <v>859</v>
      </c>
      <c r="D743" s="136" t="s">
        <v>859</v>
      </c>
      <c r="E743" s="355">
        <v>1.08</v>
      </c>
      <c r="F743" s="136">
        <v>20</v>
      </c>
      <c r="G743" s="136" t="s">
        <v>3066</v>
      </c>
      <c r="H743" s="136" t="s">
        <v>963</v>
      </c>
      <c r="I743" s="136" t="s">
        <v>2411</v>
      </c>
      <c r="J743" s="308">
        <v>3020230210138</v>
      </c>
      <c r="K743" s="187">
        <v>45090</v>
      </c>
      <c r="L743" s="375"/>
      <c r="M743" s="427"/>
      <c r="N743" s="136"/>
      <c r="O743" s="136" t="s">
        <v>25</v>
      </c>
      <c r="P743" s="136" t="s">
        <v>25</v>
      </c>
      <c r="Q743" s="136" t="s">
        <v>25</v>
      </c>
      <c r="R743" s="73"/>
      <c r="S743" s="185"/>
      <c r="T743" s="136"/>
      <c r="U743" s="136"/>
      <c r="V743" s="136"/>
      <c r="W743" s="136"/>
    </row>
    <row r="744" spans="1:23" ht="17.25" customHeight="1" x14ac:dyDescent="0.25">
      <c r="A744" s="29">
        <v>24</v>
      </c>
      <c r="B744" s="249" t="s">
        <v>3183</v>
      </c>
      <c r="C744" s="249" t="s">
        <v>3184</v>
      </c>
      <c r="D744" s="136" t="s">
        <v>900</v>
      </c>
      <c r="E744" s="136">
        <v>1.21</v>
      </c>
      <c r="F744" s="136">
        <v>20</v>
      </c>
      <c r="G744" s="136" t="s">
        <v>3185</v>
      </c>
      <c r="H744" s="136" t="s">
        <v>963</v>
      </c>
      <c r="I744" s="136" t="s">
        <v>2411</v>
      </c>
      <c r="J744" s="308">
        <v>3060221114203</v>
      </c>
      <c r="K744" s="187">
        <v>45111</v>
      </c>
      <c r="L744" s="375"/>
      <c r="M744" s="427"/>
      <c r="N744" s="136"/>
      <c r="O744" s="136" t="s">
        <v>25</v>
      </c>
      <c r="P744" s="136" t="s">
        <v>25</v>
      </c>
      <c r="Q744" s="136" t="s">
        <v>25</v>
      </c>
      <c r="R744" s="73"/>
      <c r="S744" s="185"/>
      <c r="T744" s="136"/>
      <c r="U744" s="136"/>
      <c r="V744" s="136"/>
      <c r="W744" s="136"/>
    </row>
    <row r="745" spans="1:23" ht="17.25" customHeight="1" x14ac:dyDescent="0.25">
      <c r="A745" s="29">
        <v>25</v>
      </c>
      <c r="B745" s="249" t="s">
        <v>3269</v>
      </c>
      <c r="C745" s="249" t="s">
        <v>3168</v>
      </c>
      <c r="D745" s="136" t="s">
        <v>874</v>
      </c>
      <c r="E745" s="215">
        <v>1.8</v>
      </c>
      <c r="F745" s="136">
        <v>20</v>
      </c>
      <c r="G745" s="136" t="s">
        <v>3270</v>
      </c>
      <c r="H745" s="136" t="s">
        <v>964</v>
      </c>
      <c r="I745" s="136" t="s">
        <v>2411</v>
      </c>
      <c r="J745" s="308">
        <v>3050220913289</v>
      </c>
      <c r="K745" s="187">
        <v>45121</v>
      </c>
      <c r="L745" s="375" t="s">
        <v>3468</v>
      </c>
      <c r="M745" s="427">
        <v>45145</v>
      </c>
      <c r="N745" s="136"/>
      <c r="O745" s="136" t="s">
        <v>25</v>
      </c>
      <c r="P745" s="136" t="s">
        <v>25</v>
      </c>
      <c r="Q745" s="136" t="s">
        <v>25</v>
      </c>
      <c r="R745" s="73"/>
      <c r="S745" s="185"/>
      <c r="T745" s="136"/>
      <c r="U745" s="136"/>
      <c r="V745" s="136"/>
      <c r="W745" s="136"/>
    </row>
    <row r="746" spans="1:23" ht="17.25" customHeight="1" x14ac:dyDescent="0.25">
      <c r="A746" s="29">
        <v>26</v>
      </c>
      <c r="B746" s="249" t="s">
        <v>937</v>
      </c>
      <c r="C746" s="249" t="s">
        <v>2842</v>
      </c>
      <c r="D746" s="136" t="s">
        <v>886</v>
      </c>
      <c r="E746" s="215">
        <v>9.6199999999999992</v>
      </c>
      <c r="F746" s="136">
        <v>20</v>
      </c>
      <c r="G746" s="136" t="s">
        <v>3271</v>
      </c>
      <c r="H746" s="136" t="s">
        <v>3178</v>
      </c>
      <c r="I746" s="136" t="s">
        <v>2411</v>
      </c>
      <c r="J746" s="308">
        <v>3030230615030</v>
      </c>
      <c r="K746" s="187">
        <v>45110</v>
      </c>
      <c r="L746" s="375" t="s">
        <v>3272</v>
      </c>
      <c r="M746" s="427">
        <v>45119</v>
      </c>
      <c r="N746" s="136"/>
      <c r="O746" s="136" t="s">
        <v>25</v>
      </c>
      <c r="P746" s="136" t="s">
        <v>25</v>
      </c>
      <c r="Q746" s="136" t="s">
        <v>25</v>
      </c>
      <c r="R746" s="73">
        <v>3050220913289</v>
      </c>
      <c r="S746" s="185">
        <v>45490</v>
      </c>
      <c r="T746" s="136"/>
      <c r="U746" s="136"/>
      <c r="V746" s="136"/>
      <c r="W746" s="136"/>
    </row>
    <row r="747" spans="1:23" ht="17.25" customHeight="1" x14ac:dyDescent="0.25">
      <c r="A747" s="29">
        <v>27</v>
      </c>
      <c r="B747" s="249" t="s">
        <v>3527</v>
      </c>
      <c r="C747" s="249" t="s">
        <v>3528</v>
      </c>
      <c r="D747" s="136" t="s">
        <v>921</v>
      </c>
      <c r="E747" s="136">
        <v>1.2</v>
      </c>
      <c r="F747" s="136">
        <v>20</v>
      </c>
      <c r="G747" s="136" t="s">
        <v>3529</v>
      </c>
      <c r="H747" s="136" t="s">
        <v>963</v>
      </c>
      <c r="I747" s="136" t="s">
        <v>2411</v>
      </c>
      <c r="J747" s="308">
        <v>3010230728776</v>
      </c>
      <c r="K747" s="187">
        <v>45156</v>
      </c>
      <c r="L747" s="375" t="s">
        <v>4041</v>
      </c>
      <c r="M747" s="427">
        <v>45266</v>
      </c>
      <c r="N747" s="136"/>
      <c r="O747" s="136" t="s">
        <v>25</v>
      </c>
      <c r="P747" s="136" t="s">
        <v>25</v>
      </c>
      <c r="Q747" s="136" t="s">
        <v>25</v>
      </c>
      <c r="R747" s="73"/>
      <c r="S747" s="185"/>
      <c r="T747" s="136"/>
      <c r="U747" s="136"/>
      <c r="V747" s="136"/>
      <c r="W747" s="136"/>
    </row>
    <row r="748" spans="1:23" ht="17.25" customHeight="1" x14ac:dyDescent="0.25">
      <c r="A748" s="29">
        <v>28</v>
      </c>
      <c r="B748" s="249" t="s">
        <v>3530</v>
      </c>
      <c r="C748" s="249" t="s">
        <v>3531</v>
      </c>
      <c r="D748" s="136" t="s">
        <v>874</v>
      </c>
      <c r="E748" s="136">
        <v>1</v>
      </c>
      <c r="F748" s="136">
        <v>20</v>
      </c>
      <c r="G748" s="136" t="s">
        <v>3532</v>
      </c>
      <c r="H748" s="136" t="s">
        <v>963</v>
      </c>
      <c r="I748" s="136" t="s">
        <v>2411</v>
      </c>
      <c r="J748" s="308">
        <v>3050221013724</v>
      </c>
      <c r="K748" s="187">
        <v>45170</v>
      </c>
      <c r="L748" s="375"/>
      <c r="M748" s="427"/>
      <c r="N748" s="136"/>
      <c r="O748" s="136" t="s">
        <v>25</v>
      </c>
      <c r="P748" s="136" t="s">
        <v>25</v>
      </c>
      <c r="Q748" s="136" t="s">
        <v>25</v>
      </c>
      <c r="R748" s="73"/>
      <c r="S748" s="185"/>
      <c r="T748" s="136"/>
      <c r="U748" s="136"/>
      <c r="V748" s="136"/>
      <c r="W748" s="136"/>
    </row>
    <row r="749" spans="1:23" ht="17.25" customHeight="1" x14ac:dyDescent="0.25">
      <c r="A749" s="136">
        <v>29</v>
      </c>
      <c r="B749" s="249" t="s">
        <v>3905</v>
      </c>
      <c r="C749" s="249" t="s">
        <v>1426</v>
      </c>
      <c r="D749" s="136" t="s">
        <v>900</v>
      </c>
      <c r="E749" s="136">
        <v>4.8</v>
      </c>
      <c r="F749" s="136">
        <v>110</v>
      </c>
      <c r="G749" s="136" t="s">
        <v>3906</v>
      </c>
      <c r="H749" s="136"/>
      <c r="I749" s="136" t="s">
        <v>2411</v>
      </c>
      <c r="J749" s="308">
        <v>3060210905377</v>
      </c>
      <c r="K749" s="187">
        <v>44867</v>
      </c>
      <c r="L749" s="375" t="s">
        <v>3907</v>
      </c>
      <c r="M749" s="427">
        <v>45212</v>
      </c>
      <c r="N749" s="136"/>
      <c r="O749" s="136" t="s">
        <v>25</v>
      </c>
      <c r="P749" s="136" t="s">
        <v>25</v>
      </c>
      <c r="Q749" s="136" t="s">
        <v>25</v>
      </c>
      <c r="R749" s="73"/>
      <c r="S749" s="185"/>
      <c r="T749" s="136"/>
      <c r="U749" s="136"/>
      <c r="V749" s="136"/>
      <c r="W749" s="136"/>
    </row>
    <row r="750" spans="1:23" ht="17.25" customHeight="1" x14ac:dyDescent="0.25">
      <c r="A750" s="136">
        <v>30</v>
      </c>
      <c r="B750" s="249" t="s">
        <v>4136</v>
      </c>
      <c r="C750" s="249" t="s">
        <v>2832</v>
      </c>
      <c r="D750" s="136" t="s">
        <v>900</v>
      </c>
      <c r="E750" s="136">
        <v>2.15</v>
      </c>
      <c r="F750" s="136">
        <v>20</v>
      </c>
      <c r="G750" s="136" t="s">
        <v>4137</v>
      </c>
      <c r="H750" s="136" t="s">
        <v>964</v>
      </c>
      <c r="I750" s="136" t="s">
        <v>2411</v>
      </c>
      <c r="J750" s="308">
        <v>3060220912482</v>
      </c>
      <c r="K750" s="187">
        <v>45271</v>
      </c>
      <c r="L750" s="375" t="s">
        <v>5288</v>
      </c>
      <c r="M750" s="427">
        <v>45309</v>
      </c>
      <c r="N750" s="136"/>
      <c r="O750" s="136"/>
      <c r="P750" s="136"/>
      <c r="Q750" s="136" t="s">
        <v>25</v>
      </c>
      <c r="R750" s="73">
        <v>3060220912482</v>
      </c>
      <c r="S750" s="185">
        <v>45385</v>
      </c>
      <c r="T750" s="136"/>
      <c r="U750" s="136"/>
      <c r="V750" s="136"/>
      <c r="W750" s="136"/>
    </row>
    <row r="751" spans="1:23" ht="17.25" customHeight="1" x14ac:dyDescent="0.25">
      <c r="A751" s="136">
        <v>31</v>
      </c>
      <c r="B751" s="249" t="s">
        <v>4598</v>
      </c>
      <c r="C751" s="249" t="s">
        <v>3054</v>
      </c>
      <c r="D751" s="136" t="s">
        <v>925</v>
      </c>
      <c r="E751" s="215">
        <v>3.7</v>
      </c>
      <c r="F751" s="136">
        <v>20</v>
      </c>
      <c r="G751" s="136" t="s">
        <v>4599</v>
      </c>
      <c r="H751" s="136" t="s">
        <v>964</v>
      </c>
      <c r="I751" s="136" t="s">
        <v>2411</v>
      </c>
      <c r="J751" s="308">
        <v>3040230510570</v>
      </c>
      <c r="K751" s="187">
        <v>45314</v>
      </c>
      <c r="L751" s="375" t="s">
        <v>4600</v>
      </c>
      <c r="M751" s="427">
        <v>45336</v>
      </c>
      <c r="N751" s="136"/>
      <c r="O751" s="136"/>
      <c r="P751" s="136"/>
      <c r="Q751" s="136" t="s">
        <v>25</v>
      </c>
      <c r="R751" s="73">
        <v>3040230510570</v>
      </c>
      <c r="S751" s="185">
        <v>45392</v>
      </c>
      <c r="T751" s="136"/>
      <c r="U751" s="136"/>
      <c r="V751" s="136"/>
      <c r="W751" s="136"/>
    </row>
    <row r="752" spans="1:23" ht="17.25" customHeight="1" x14ac:dyDescent="0.25">
      <c r="A752" s="136">
        <v>32</v>
      </c>
      <c r="B752" s="249" t="s">
        <v>4598</v>
      </c>
      <c r="C752" s="249" t="s">
        <v>3054</v>
      </c>
      <c r="D752" s="136" t="s">
        <v>925</v>
      </c>
      <c r="E752" s="215">
        <v>2.1360000000000001</v>
      </c>
      <c r="F752" s="136">
        <v>20</v>
      </c>
      <c r="G752" s="136" t="s">
        <v>4601</v>
      </c>
      <c r="H752" s="136" t="s">
        <v>964</v>
      </c>
      <c r="I752" s="136" t="s">
        <v>2411</v>
      </c>
      <c r="J752" s="308">
        <v>3040230912537</v>
      </c>
      <c r="K752" s="187">
        <v>45308</v>
      </c>
      <c r="L752" s="375" t="s">
        <v>4602</v>
      </c>
      <c r="M752" s="427">
        <v>45328</v>
      </c>
      <c r="N752" s="136"/>
      <c r="O752" s="136"/>
      <c r="P752" s="136"/>
      <c r="Q752" s="136" t="s">
        <v>25</v>
      </c>
      <c r="R752" s="73">
        <v>3040230912537</v>
      </c>
      <c r="S752" s="185">
        <v>45358</v>
      </c>
      <c r="T752" s="136"/>
      <c r="U752" s="136"/>
      <c r="V752" s="136"/>
      <c r="W752" s="136"/>
    </row>
    <row r="753" spans="1:23" ht="17.25" customHeight="1" x14ac:dyDescent="0.25">
      <c r="A753" s="136">
        <v>33</v>
      </c>
      <c r="B753" s="249" t="s">
        <v>2218</v>
      </c>
      <c r="C753" s="249" t="s">
        <v>2555</v>
      </c>
      <c r="D753" s="136" t="s">
        <v>921</v>
      </c>
      <c r="E753" s="136">
        <v>1.2</v>
      </c>
      <c r="F753" s="136">
        <v>20</v>
      </c>
      <c r="G753" s="136" t="s">
        <v>4603</v>
      </c>
      <c r="H753" s="136" t="s">
        <v>963</v>
      </c>
      <c r="I753" s="136" t="s">
        <v>2411</v>
      </c>
      <c r="J753" s="308">
        <v>3010240100604</v>
      </c>
      <c r="K753" s="187">
        <v>45320</v>
      </c>
      <c r="L753" s="375"/>
      <c r="M753" s="427"/>
      <c r="N753" s="136"/>
      <c r="O753" s="136"/>
      <c r="P753" s="136"/>
      <c r="Q753" s="136" t="s">
        <v>25</v>
      </c>
      <c r="R753" s="73"/>
      <c r="S753" s="185"/>
      <c r="T753" s="136"/>
      <c r="U753" s="136"/>
      <c r="V753" s="136"/>
      <c r="W753" s="136"/>
    </row>
    <row r="754" spans="1:23" ht="17.25" customHeight="1" x14ac:dyDescent="0.25">
      <c r="A754" s="136">
        <v>34</v>
      </c>
      <c r="B754" s="249" t="s">
        <v>4701</v>
      </c>
      <c r="C754" s="249" t="s">
        <v>2555</v>
      </c>
      <c r="D754" s="136" t="s">
        <v>921</v>
      </c>
      <c r="E754" s="136">
        <v>1.873</v>
      </c>
      <c r="F754" s="136">
        <v>20</v>
      </c>
      <c r="G754" s="136" t="s">
        <v>4702</v>
      </c>
      <c r="H754" s="136" t="s">
        <v>964</v>
      </c>
      <c r="I754" s="136" t="s">
        <v>2411</v>
      </c>
      <c r="J754" s="308">
        <v>3010230223909</v>
      </c>
      <c r="K754" s="187">
        <v>45349</v>
      </c>
      <c r="L754" s="375"/>
      <c r="M754" s="427"/>
      <c r="N754" s="136"/>
      <c r="O754" s="136"/>
      <c r="P754" s="136"/>
      <c r="Q754" s="136" t="s">
        <v>25</v>
      </c>
      <c r="R754" s="73"/>
      <c r="S754" s="185"/>
      <c r="T754" s="136"/>
      <c r="U754" s="136"/>
      <c r="V754" s="136"/>
      <c r="W754" s="136"/>
    </row>
    <row r="755" spans="1:23" ht="17.25" customHeight="1" x14ac:dyDescent="0.25">
      <c r="A755" s="136">
        <v>35</v>
      </c>
      <c r="B755" s="249" t="s">
        <v>4703</v>
      </c>
      <c r="C755" s="249" t="s">
        <v>2593</v>
      </c>
      <c r="D755" s="136" t="s">
        <v>921</v>
      </c>
      <c r="E755" s="136">
        <v>5</v>
      </c>
      <c r="F755" s="136">
        <v>20</v>
      </c>
      <c r="G755" s="136" t="s">
        <v>4704</v>
      </c>
      <c r="H755" s="136" t="s">
        <v>963</v>
      </c>
      <c r="I755" s="136" t="s">
        <v>2411</v>
      </c>
      <c r="J755" s="308">
        <v>3010230931706</v>
      </c>
      <c r="K755" s="187">
        <v>45351</v>
      </c>
      <c r="L755" s="375" t="s">
        <v>5289</v>
      </c>
      <c r="M755" s="427">
        <v>45433</v>
      </c>
      <c r="N755" s="136"/>
      <c r="O755" s="136"/>
      <c r="P755" s="136"/>
      <c r="Q755" s="136" t="s">
        <v>25</v>
      </c>
      <c r="R755" s="73"/>
      <c r="S755" s="185"/>
      <c r="T755" s="136"/>
      <c r="U755" s="136"/>
      <c r="V755" s="136"/>
      <c r="W755" s="136"/>
    </row>
    <row r="756" spans="1:23" ht="17.25" customHeight="1" x14ac:dyDescent="0.25">
      <c r="A756" s="136">
        <v>36</v>
      </c>
      <c r="B756" s="249" t="s">
        <v>4598</v>
      </c>
      <c r="C756" s="249" t="s">
        <v>3257</v>
      </c>
      <c r="D756" s="136" t="s">
        <v>886</v>
      </c>
      <c r="E756" s="136">
        <v>1.2</v>
      </c>
      <c r="F756" s="136">
        <v>20</v>
      </c>
      <c r="G756" s="136" t="s">
        <v>4705</v>
      </c>
      <c r="H756" s="136" t="s">
        <v>3178</v>
      </c>
      <c r="I756" s="136" t="s">
        <v>2411</v>
      </c>
      <c r="J756" s="308">
        <v>3030240100177</v>
      </c>
      <c r="K756" s="187">
        <v>45348</v>
      </c>
      <c r="L756" s="375" t="s">
        <v>4706</v>
      </c>
      <c r="M756" s="427">
        <v>45357</v>
      </c>
      <c r="N756" s="136"/>
      <c r="O756" s="136"/>
      <c r="P756" s="136"/>
      <c r="Q756" s="136" t="s">
        <v>25</v>
      </c>
      <c r="R756" s="73"/>
      <c r="S756" s="185"/>
      <c r="T756" s="136"/>
      <c r="U756" s="136"/>
      <c r="V756" s="136"/>
      <c r="W756" s="136"/>
    </row>
    <row r="757" spans="1:23" ht="17.25" customHeight="1" x14ac:dyDescent="0.25">
      <c r="A757" s="136">
        <v>37</v>
      </c>
      <c r="B757" s="249" t="s">
        <v>3058</v>
      </c>
      <c r="C757" s="249" t="s">
        <v>3020</v>
      </c>
      <c r="D757" s="136" t="s">
        <v>2837</v>
      </c>
      <c r="E757" s="136">
        <v>1</v>
      </c>
      <c r="F757" s="136">
        <v>20</v>
      </c>
      <c r="G757" s="136" t="s">
        <v>4707</v>
      </c>
      <c r="H757" s="136" t="s">
        <v>3153</v>
      </c>
      <c r="I757" s="136" t="s">
        <v>2411</v>
      </c>
      <c r="J757" s="308">
        <v>3050231121995</v>
      </c>
      <c r="K757" s="187">
        <v>45259</v>
      </c>
      <c r="L757" s="375" t="s">
        <v>4708</v>
      </c>
      <c r="M757" s="427">
        <v>45355</v>
      </c>
      <c r="N757" s="136"/>
      <c r="O757" s="136"/>
      <c r="P757" s="136"/>
      <c r="Q757" s="136" t="s">
        <v>25</v>
      </c>
      <c r="R757" s="73">
        <v>3050231121995</v>
      </c>
      <c r="S757" s="185">
        <v>45358</v>
      </c>
      <c r="T757" s="136"/>
      <c r="U757" s="136"/>
      <c r="V757" s="136"/>
      <c r="W757" s="136"/>
    </row>
    <row r="758" spans="1:23" ht="17.25" customHeight="1" x14ac:dyDescent="0.25">
      <c r="A758" s="136">
        <v>38</v>
      </c>
      <c r="B758" s="249" t="s">
        <v>3058</v>
      </c>
      <c r="C758" s="249" t="s">
        <v>4872</v>
      </c>
      <c r="D758" s="136" t="s">
        <v>2837</v>
      </c>
      <c r="E758" s="136">
        <v>1.387</v>
      </c>
      <c r="F758" s="136">
        <v>20</v>
      </c>
      <c r="G758" s="136" t="s">
        <v>4873</v>
      </c>
      <c r="H758" s="136" t="s">
        <v>1326</v>
      </c>
      <c r="I758" s="136" t="s">
        <v>2411</v>
      </c>
      <c r="J758" s="308">
        <v>3050240301200</v>
      </c>
      <c r="K758" s="187">
        <v>45385</v>
      </c>
      <c r="L758" s="375"/>
      <c r="M758" s="427"/>
      <c r="N758" s="136"/>
      <c r="O758" s="136" t="s">
        <v>25</v>
      </c>
      <c r="P758" s="136" t="s">
        <v>25</v>
      </c>
      <c r="Q758" s="136" t="s">
        <v>25</v>
      </c>
      <c r="R758" s="73"/>
      <c r="S758" s="185"/>
      <c r="T758" s="136"/>
      <c r="U758" s="136"/>
      <c r="V758" s="136"/>
      <c r="W758" s="136"/>
    </row>
    <row r="759" spans="1:23" ht="17.25" customHeight="1" x14ac:dyDescent="0.25">
      <c r="A759" s="136">
        <v>39</v>
      </c>
      <c r="B759" s="249" t="s">
        <v>4986</v>
      </c>
      <c r="C759" s="249" t="s">
        <v>4987</v>
      </c>
      <c r="D759" s="136" t="s">
        <v>921</v>
      </c>
      <c r="E759" s="215">
        <v>1.02</v>
      </c>
      <c r="F759" s="136">
        <v>20</v>
      </c>
      <c r="G759" s="136" t="s">
        <v>4988</v>
      </c>
      <c r="H759" s="136" t="s">
        <v>964</v>
      </c>
      <c r="I759" s="136" t="s">
        <v>2411</v>
      </c>
      <c r="J759" s="308">
        <v>3010221222141</v>
      </c>
      <c r="K759" s="187">
        <v>45448</v>
      </c>
      <c r="L759" s="136"/>
      <c r="M759" s="136"/>
      <c r="N759" s="136"/>
      <c r="O759" s="136"/>
      <c r="P759" s="136"/>
      <c r="Q759" s="136"/>
      <c r="R759" s="73"/>
      <c r="S759" s="185"/>
      <c r="T759" s="136"/>
      <c r="U759" s="136"/>
      <c r="V759" s="136"/>
      <c r="W759" s="136"/>
    </row>
    <row r="760" spans="1:23" ht="17.25" customHeight="1" x14ac:dyDescent="0.25">
      <c r="A760" s="136">
        <v>40</v>
      </c>
      <c r="B760" s="249" t="s">
        <v>4989</v>
      </c>
      <c r="C760" s="249" t="s">
        <v>3057</v>
      </c>
      <c r="D760" s="136" t="s">
        <v>921</v>
      </c>
      <c r="E760" s="215">
        <v>1.3</v>
      </c>
      <c r="F760" s="136">
        <v>20</v>
      </c>
      <c r="G760" s="136" t="s">
        <v>4990</v>
      </c>
      <c r="H760" s="136" t="s">
        <v>964</v>
      </c>
      <c r="I760" s="136" t="s">
        <v>2411</v>
      </c>
      <c r="J760" s="308">
        <v>3010230122844</v>
      </c>
      <c r="K760" s="187">
        <v>45449</v>
      </c>
      <c r="L760" s="136"/>
      <c r="M760" s="136"/>
      <c r="N760" s="136"/>
      <c r="O760" s="136"/>
      <c r="P760" s="136"/>
      <c r="Q760" s="136"/>
      <c r="R760" s="308"/>
      <c r="S760" s="187"/>
      <c r="T760" s="136"/>
      <c r="U760" s="136"/>
      <c r="V760" s="136"/>
      <c r="W760" s="136"/>
    </row>
    <row r="761" spans="1:23" ht="17.25" customHeight="1" x14ac:dyDescent="0.25">
      <c r="A761" s="136">
        <v>41</v>
      </c>
      <c r="B761" s="249" t="s">
        <v>4991</v>
      </c>
      <c r="C761" s="249" t="s">
        <v>874</v>
      </c>
      <c r="D761" s="136" t="s">
        <v>874</v>
      </c>
      <c r="E761" s="215">
        <v>2.4</v>
      </c>
      <c r="F761" s="136">
        <v>20</v>
      </c>
      <c r="G761" s="136" t="s">
        <v>4992</v>
      </c>
      <c r="H761" s="136" t="s">
        <v>963</v>
      </c>
      <c r="I761" s="136" t="s">
        <v>2411</v>
      </c>
      <c r="J761" s="308">
        <v>3050230820626</v>
      </c>
      <c r="K761" s="187">
        <v>45446</v>
      </c>
      <c r="L761" s="136"/>
      <c r="M761" s="136"/>
      <c r="N761" s="136"/>
      <c r="O761" s="136"/>
      <c r="P761" s="136"/>
      <c r="Q761" s="136"/>
      <c r="R761" s="308"/>
      <c r="S761" s="187"/>
      <c r="T761" s="136"/>
      <c r="U761" s="136"/>
      <c r="V761" s="136"/>
      <c r="W761" s="136"/>
    </row>
    <row r="762" spans="1:23" ht="17.25" customHeight="1" x14ac:dyDescent="0.25">
      <c r="A762" s="136">
        <v>42</v>
      </c>
      <c r="B762" s="249" t="s">
        <v>351</v>
      </c>
      <c r="C762" s="249" t="s">
        <v>5285</v>
      </c>
      <c r="D762" s="136" t="s">
        <v>921</v>
      </c>
      <c r="E762" s="215">
        <v>118</v>
      </c>
      <c r="F762" s="136">
        <v>110</v>
      </c>
      <c r="G762" s="136" t="s">
        <v>5286</v>
      </c>
      <c r="H762" s="136" t="s">
        <v>963</v>
      </c>
      <c r="I762" s="136" t="s">
        <v>2411</v>
      </c>
      <c r="J762" s="308">
        <v>3010240707194</v>
      </c>
      <c r="K762" s="187">
        <v>45491</v>
      </c>
      <c r="L762" s="136"/>
      <c r="M762" s="136"/>
      <c r="N762" s="136"/>
      <c r="O762" s="136"/>
      <c r="P762" s="136"/>
      <c r="Q762" s="136"/>
      <c r="R762" s="308"/>
      <c r="S762" s="187"/>
      <c r="T762" s="136"/>
      <c r="U762" s="136"/>
      <c r="V762" s="136"/>
      <c r="W762" s="136"/>
    </row>
    <row r="763" spans="1:23" ht="17.25" customHeight="1" x14ac:dyDescent="0.25">
      <c r="A763" s="136">
        <v>43</v>
      </c>
      <c r="B763" s="249" t="s">
        <v>5586</v>
      </c>
      <c r="C763" s="249" t="s">
        <v>5587</v>
      </c>
      <c r="D763" s="136" t="s">
        <v>925</v>
      </c>
      <c r="E763" s="136">
        <v>1</v>
      </c>
      <c r="F763" s="136">
        <v>20</v>
      </c>
      <c r="G763" s="136" t="s">
        <v>5588</v>
      </c>
      <c r="H763" s="136" t="s">
        <v>964</v>
      </c>
      <c r="I763" s="136" t="s">
        <v>2411</v>
      </c>
      <c r="J763" s="308">
        <v>3040240703145</v>
      </c>
      <c r="K763" s="187">
        <v>45524</v>
      </c>
      <c r="L763" s="136"/>
      <c r="M763" s="136"/>
      <c r="N763" s="136"/>
      <c r="O763" s="136"/>
      <c r="P763" s="136"/>
      <c r="Q763" s="136"/>
      <c r="R763" s="308"/>
      <c r="S763" s="187"/>
      <c r="T763" s="136"/>
      <c r="U763" s="136"/>
      <c r="V763" s="136"/>
      <c r="W763" s="136"/>
    </row>
    <row r="764" spans="1:23" ht="17.25" customHeight="1" x14ac:dyDescent="0.25">
      <c r="A764" s="136">
        <v>44</v>
      </c>
      <c r="B764" s="249" t="s">
        <v>5863</v>
      </c>
      <c r="C764" s="249" t="s">
        <v>5864</v>
      </c>
      <c r="D764" s="136" t="s">
        <v>886</v>
      </c>
      <c r="E764" s="215">
        <v>1.85</v>
      </c>
      <c r="F764" s="136">
        <v>20</v>
      </c>
      <c r="G764" s="136" t="s">
        <v>5865</v>
      </c>
      <c r="H764" s="136" t="s">
        <v>963</v>
      </c>
      <c r="I764" s="136" t="s">
        <v>2411</v>
      </c>
      <c r="J764" s="308">
        <v>3030240300788</v>
      </c>
      <c r="K764" s="187">
        <v>45560</v>
      </c>
      <c r="L764" s="136"/>
      <c r="M764" s="136"/>
      <c r="N764" s="136"/>
      <c r="O764" s="136"/>
      <c r="P764" s="136"/>
      <c r="Q764" s="136"/>
      <c r="R764" s="136"/>
      <c r="S764" s="136"/>
      <c r="T764" s="136"/>
      <c r="U764" s="136"/>
      <c r="V764" s="136"/>
      <c r="W764" s="136"/>
    </row>
    <row r="765" spans="1:23" ht="17.25" customHeight="1" x14ac:dyDescent="0.25">
      <c r="A765" s="136">
        <v>45</v>
      </c>
      <c r="B765" s="249" t="s">
        <v>5866</v>
      </c>
      <c r="C765" s="249" t="s">
        <v>2555</v>
      </c>
      <c r="D765" s="136" t="s">
        <v>921</v>
      </c>
      <c r="E765" s="215">
        <v>1.35</v>
      </c>
      <c r="F765" s="136">
        <v>20</v>
      </c>
      <c r="G765" s="136" t="s">
        <v>5867</v>
      </c>
      <c r="H765" s="136" t="s">
        <v>963</v>
      </c>
      <c r="I765" s="136" t="s">
        <v>2411</v>
      </c>
      <c r="J765" s="308">
        <v>3010240302178</v>
      </c>
      <c r="K765" s="187">
        <v>45574</v>
      </c>
      <c r="L765" s="136"/>
      <c r="M765" s="136"/>
      <c r="N765" s="136"/>
      <c r="O765" s="136"/>
      <c r="P765" s="136"/>
      <c r="Q765" s="136"/>
      <c r="R765" s="136"/>
      <c r="S765" s="136"/>
      <c r="T765" s="136"/>
      <c r="U765" s="136"/>
      <c r="V765" s="136"/>
      <c r="W765" s="136"/>
    </row>
    <row r="766" spans="1:23" ht="17.25" customHeight="1" x14ac:dyDescent="0.25">
      <c r="A766" s="136">
        <v>46</v>
      </c>
      <c r="B766" s="249" t="s">
        <v>982</v>
      </c>
      <c r="C766" s="249" t="s">
        <v>3552</v>
      </c>
      <c r="D766" s="136" t="s">
        <v>921</v>
      </c>
      <c r="E766" s="215">
        <v>1.125</v>
      </c>
      <c r="F766" s="136">
        <v>20</v>
      </c>
      <c r="G766" s="136" t="s">
        <v>5868</v>
      </c>
      <c r="H766" s="136" t="s">
        <v>964</v>
      </c>
      <c r="I766" s="136" t="s">
        <v>2411</v>
      </c>
      <c r="J766" s="308">
        <v>3010240504896</v>
      </c>
      <c r="K766" s="187">
        <v>45554</v>
      </c>
      <c r="L766" s="136"/>
      <c r="M766" s="136"/>
      <c r="N766" s="136"/>
      <c r="O766" s="136"/>
      <c r="P766" s="136"/>
      <c r="Q766" s="136"/>
      <c r="R766" s="136"/>
      <c r="S766" s="136"/>
      <c r="T766" s="136"/>
      <c r="U766" s="136"/>
      <c r="V766" s="136"/>
      <c r="W766" s="136"/>
    </row>
    <row r="767" spans="1:23" ht="17.25" customHeight="1" x14ac:dyDescent="0.25">
      <c r="A767" s="136">
        <v>47</v>
      </c>
      <c r="B767" s="647" t="s">
        <v>5934</v>
      </c>
      <c r="C767" s="249" t="s">
        <v>5935</v>
      </c>
      <c r="D767" s="136" t="s">
        <v>5936</v>
      </c>
      <c r="E767" s="215">
        <v>1.99</v>
      </c>
      <c r="F767" s="136">
        <v>20</v>
      </c>
      <c r="G767" s="136" t="s">
        <v>5937</v>
      </c>
      <c r="H767" s="136" t="s">
        <v>964</v>
      </c>
      <c r="I767" s="136" t="s">
        <v>2411</v>
      </c>
      <c r="J767" s="308">
        <v>3060230316577</v>
      </c>
      <c r="K767" s="187">
        <v>45597</v>
      </c>
      <c r="L767" s="136"/>
      <c r="M767" s="136"/>
      <c r="N767" s="136"/>
      <c r="O767" s="136"/>
      <c r="P767" s="136"/>
      <c r="Q767" s="136"/>
      <c r="R767" s="136"/>
      <c r="S767" s="136"/>
      <c r="T767" s="136"/>
      <c r="U767" s="136"/>
      <c r="V767" s="136"/>
      <c r="W767" s="136"/>
    </row>
    <row r="768" spans="1:23" ht="17.25" customHeight="1" x14ac:dyDescent="0.25">
      <c r="A768" s="136">
        <v>48</v>
      </c>
      <c r="B768" s="647" t="s">
        <v>5938</v>
      </c>
      <c r="C768" s="249" t="s">
        <v>3552</v>
      </c>
      <c r="D768" s="136" t="s">
        <v>921</v>
      </c>
      <c r="E768" s="215">
        <v>34</v>
      </c>
      <c r="F768" s="136">
        <v>110</v>
      </c>
      <c r="G768" s="136" t="s">
        <v>5939</v>
      </c>
      <c r="H768" s="136" t="s">
        <v>963</v>
      </c>
      <c r="I768" s="136" t="s">
        <v>2411</v>
      </c>
      <c r="J768" s="308">
        <v>3010231132811</v>
      </c>
      <c r="K768" s="187">
        <v>45580</v>
      </c>
      <c r="L768" s="136"/>
      <c r="M768" s="136"/>
      <c r="N768" s="136"/>
      <c r="O768" s="136"/>
      <c r="P768" s="136"/>
      <c r="Q768" s="136"/>
      <c r="R768" s="136"/>
      <c r="S768" s="136"/>
      <c r="T768" s="136"/>
      <c r="U768" s="136"/>
      <c r="V768" s="136"/>
      <c r="W768" s="136"/>
    </row>
    <row r="769" spans="1:24" ht="17.25" customHeight="1" x14ac:dyDescent="0.25">
      <c r="A769" s="136">
        <v>49</v>
      </c>
      <c r="B769" s="647" t="s">
        <v>5940</v>
      </c>
      <c r="C769" s="249" t="s">
        <v>3161</v>
      </c>
      <c r="D769" s="136" t="s">
        <v>900</v>
      </c>
      <c r="E769" s="215">
        <v>3.048</v>
      </c>
      <c r="F769" s="136">
        <v>20</v>
      </c>
      <c r="G769" s="136" t="s">
        <v>5941</v>
      </c>
      <c r="H769" s="136" t="s">
        <v>963</v>
      </c>
      <c r="I769" s="136" t="s">
        <v>2411</v>
      </c>
      <c r="J769" s="308">
        <v>3060231223222</v>
      </c>
      <c r="K769" s="187">
        <v>45581</v>
      </c>
      <c r="L769" s="136"/>
      <c r="M769" s="136"/>
      <c r="N769" s="136"/>
      <c r="O769" s="136"/>
      <c r="P769" s="136"/>
      <c r="Q769" s="136"/>
      <c r="R769" s="136"/>
      <c r="S769" s="136"/>
      <c r="T769" s="136"/>
      <c r="U769" s="136"/>
      <c r="V769" s="136"/>
      <c r="W769" s="136"/>
    </row>
    <row r="770" spans="1:24" ht="17.25" customHeight="1" x14ac:dyDescent="0.25">
      <c r="A770" s="136">
        <v>50</v>
      </c>
      <c r="B770" s="647" t="s">
        <v>5942</v>
      </c>
      <c r="C770" s="249" t="s">
        <v>886</v>
      </c>
      <c r="D770" s="136" t="s">
        <v>65</v>
      </c>
      <c r="E770" s="215">
        <v>1.2450000000000001</v>
      </c>
      <c r="F770" s="136">
        <v>20</v>
      </c>
      <c r="G770" s="136" t="s">
        <v>5943</v>
      </c>
      <c r="H770" s="136" t="s">
        <v>963</v>
      </c>
      <c r="I770" s="136" t="s">
        <v>2411</v>
      </c>
      <c r="J770" s="308">
        <v>3030240200654</v>
      </c>
      <c r="K770" s="187">
        <v>45623</v>
      </c>
      <c r="L770" s="136"/>
      <c r="M770" s="136"/>
      <c r="N770" s="136"/>
      <c r="O770" s="136"/>
      <c r="P770" s="136"/>
      <c r="Q770" s="136"/>
      <c r="R770" s="136"/>
      <c r="S770" s="136"/>
      <c r="T770" s="136"/>
      <c r="U770" s="136"/>
      <c r="V770" s="136"/>
      <c r="W770" s="136"/>
    </row>
    <row r="771" spans="1:24" x14ac:dyDescent="0.25">
      <c r="B771" s="461"/>
      <c r="C771" s="461"/>
      <c r="D771" s="461"/>
      <c r="E771" s="461"/>
      <c r="F771" s="461"/>
      <c r="G771" s="461"/>
      <c r="H771" s="461"/>
      <c r="I771" s="461"/>
      <c r="J771" s="469"/>
      <c r="K771" s="465"/>
      <c r="L771" s="469"/>
      <c r="M771" s="465"/>
      <c r="N771" s="461"/>
      <c r="O771" s="461"/>
      <c r="P771" s="461"/>
      <c r="Q771" s="461"/>
      <c r="R771" s="462"/>
      <c r="S771" s="465"/>
      <c r="T771" s="461"/>
      <c r="U771" s="461"/>
      <c r="V771" s="461"/>
      <c r="W771" s="461"/>
    </row>
    <row r="772" spans="1:24" x14ac:dyDescent="0.25">
      <c r="A772" s="30">
        <v>1</v>
      </c>
      <c r="B772" s="30" t="s">
        <v>1052</v>
      </c>
      <c r="C772" s="30" t="s">
        <v>1052</v>
      </c>
      <c r="D772" s="30" t="s">
        <v>1039</v>
      </c>
      <c r="E772" s="104">
        <v>2.306</v>
      </c>
      <c r="F772" s="30">
        <v>20</v>
      </c>
      <c r="G772" s="30" t="s">
        <v>1053</v>
      </c>
      <c r="H772" s="30" t="s">
        <v>963</v>
      </c>
      <c r="I772" s="30" t="s">
        <v>1026</v>
      </c>
      <c r="J772" s="83">
        <v>6010210708530</v>
      </c>
      <c r="K772" s="89">
        <v>44529</v>
      </c>
      <c r="L772" s="92" t="s">
        <v>116</v>
      </c>
      <c r="M772" s="89" t="s">
        <v>116</v>
      </c>
      <c r="N772" s="30"/>
      <c r="O772" s="30" t="s">
        <v>25</v>
      </c>
      <c r="P772" s="30" t="s">
        <v>25</v>
      </c>
      <c r="Q772" s="30" t="s">
        <v>25</v>
      </c>
      <c r="R772" s="83"/>
      <c r="S772" s="89" t="s">
        <v>116</v>
      </c>
      <c r="T772" s="30"/>
      <c r="U772" s="30"/>
      <c r="V772" s="30"/>
      <c r="W772" s="30"/>
    </row>
    <row r="773" spans="1:24" x14ac:dyDescent="0.25">
      <c r="A773" s="30">
        <v>2</v>
      </c>
      <c r="B773" s="30" t="s">
        <v>1054</v>
      </c>
      <c r="C773" s="30" t="s">
        <v>1054</v>
      </c>
      <c r="D773" s="30" t="s">
        <v>1039</v>
      </c>
      <c r="E773" s="104">
        <v>4.45</v>
      </c>
      <c r="F773" s="30">
        <v>20</v>
      </c>
      <c r="G773" s="30" t="s">
        <v>1055</v>
      </c>
      <c r="H773" s="30" t="s">
        <v>963</v>
      </c>
      <c r="I773" s="30" t="s">
        <v>1026</v>
      </c>
      <c r="J773" s="83">
        <v>6010210100443</v>
      </c>
      <c r="K773" s="89">
        <v>44239</v>
      </c>
      <c r="L773" s="92" t="s">
        <v>116</v>
      </c>
      <c r="M773" s="89" t="s">
        <v>116</v>
      </c>
      <c r="N773" s="30"/>
      <c r="O773" s="30" t="s">
        <v>25</v>
      </c>
      <c r="P773" s="30" t="s">
        <v>25</v>
      </c>
      <c r="Q773" s="30" t="s">
        <v>25</v>
      </c>
      <c r="R773" s="83"/>
      <c r="S773" s="89" t="s">
        <v>116</v>
      </c>
      <c r="T773" s="30"/>
      <c r="U773" s="30"/>
      <c r="V773" s="30"/>
      <c r="W773" s="30"/>
    </row>
    <row r="774" spans="1:24" x14ac:dyDescent="0.25">
      <c r="A774" s="30">
        <v>3</v>
      </c>
      <c r="B774" s="30" t="s">
        <v>1056</v>
      </c>
      <c r="C774" s="30" t="s">
        <v>1056</v>
      </c>
      <c r="D774" s="30" t="s">
        <v>1039</v>
      </c>
      <c r="E774" s="104">
        <v>2.5089999999999999</v>
      </c>
      <c r="F774" s="30">
        <v>20</v>
      </c>
      <c r="G774" s="30" t="s">
        <v>1057</v>
      </c>
      <c r="H774" s="30" t="s">
        <v>963</v>
      </c>
      <c r="I774" s="30" t="s">
        <v>1026</v>
      </c>
      <c r="J774" s="83">
        <v>6010210810169</v>
      </c>
      <c r="K774" s="89">
        <v>44634</v>
      </c>
      <c r="L774" s="92" t="s">
        <v>116</v>
      </c>
      <c r="M774" s="89" t="s">
        <v>116</v>
      </c>
      <c r="N774" s="30"/>
      <c r="O774" s="30" t="s">
        <v>25</v>
      </c>
      <c r="P774" s="30" t="s">
        <v>25</v>
      </c>
      <c r="Q774" s="30" t="s">
        <v>25</v>
      </c>
      <c r="R774" s="83"/>
      <c r="S774" s="89" t="s">
        <v>116</v>
      </c>
      <c r="T774" s="30"/>
      <c r="U774" s="30"/>
      <c r="V774" s="30"/>
      <c r="W774" s="30"/>
    </row>
    <row r="775" spans="1:24" x14ac:dyDescent="0.25">
      <c r="A775" s="30">
        <v>4</v>
      </c>
      <c r="B775" s="279" t="s">
        <v>3811</v>
      </c>
      <c r="C775" s="74" t="s">
        <v>3811</v>
      </c>
      <c r="D775" s="74" t="s">
        <v>1038</v>
      </c>
      <c r="E775" s="180">
        <v>3</v>
      </c>
      <c r="F775" s="74">
        <v>20</v>
      </c>
      <c r="G775" s="74" t="s">
        <v>3812</v>
      </c>
      <c r="H775" s="74" t="s">
        <v>964</v>
      </c>
      <c r="I775" s="74" t="s">
        <v>1026</v>
      </c>
      <c r="J775" s="75">
        <v>6030210201753</v>
      </c>
      <c r="K775" s="181">
        <v>44299</v>
      </c>
      <c r="L775" s="74" t="s">
        <v>116</v>
      </c>
      <c r="M775" s="74" t="s">
        <v>116</v>
      </c>
      <c r="N775" s="74"/>
      <c r="O775" s="74" t="s">
        <v>25</v>
      </c>
      <c r="P775" s="74" t="s">
        <v>25</v>
      </c>
      <c r="Q775" s="74" t="s">
        <v>25</v>
      </c>
      <c r="R775" s="75"/>
      <c r="S775" s="181" t="s">
        <v>116</v>
      </c>
      <c r="T775" s="74"/>
      <c r="U775" s="74"/>
      <c r="V775" s="74"/>
      <c r="W775" s="74"/>
    </row>
    <row r="776" spans="1:24" x14ac:dyDescent="0.25">
      <c r="A776" s="30">
        <v>5</v>
      </c>
      <c r="B776" s="30" t="s">
        <v>1060</v>
      </c>
      <c r="C776" s="30" t="s">
        <v>1060</v>
      </c>
      <c r="D776" s="30" t="s">
        <v>1039</v>
      </c>
      <c r="E776" s="104">
        <v>1.2150000000000001</v>
      </c>
      <c r="F776" s="30">
        <v>20</v>
      </c>
      <c r="G776" s="30" t="s">
        <v>1061</v>
      </c>
      <c r="H776" s="30" t="s">
        <v>964</v>
      </c>
      <c r="I776" s="30" t="s">
        <v>1026</v>
      </c>
      <c r="J776" s="83">
        <v>6010211114520</v>
      </c>
      <c r="K776" s="89">
        <v>44511</v>
      </c>
      <c r="L776" s="92" t="s">
        <v>116</v>
      </c>
      <c r="M776" s="89" t="s">
        <v>116</v>
      </c>
      <c r="N776" s="30"/>
      <c r="O776" s="30" t="s">
        <v>25</v>
      </c>
      <c r="P776" s="30" t="s">
        <v>25</v>
      </c>
      <c r="Q776" s="30" t="s">
        <v>25</v>
      </c>
      <c r="R776" s="83"/>
      <c r="S776" s="89" t="s">
        <v>116</v>
      </c>
      <c r="T776" s="30"/>
      <c r="U776" s="30"/>
      <c r="V776" s="30"/>
      <c r="W776" s="30"/>
    </row>
    <row r="777" spans="1:24" x14ac:dyDescent="0.25">
      <c r="A777" s="30">
        <v>6</v>
      </c>
      <c r="B777" s="250" t="s">
        <v>3938</v>
      </c>
      <c r="C777" s="30" t="s">
        <v>3939</v>
      </c>
      <c r="D777" s="30" t="s">
        <v>1029</v>
      </c>
      <c r="E777" s="543">
        <v>2.44</v>
      </c>
      <c r="F777" s="30">
        <v>6</v>
      </c>
      <c r="G777" s="30" t="s">
        <v>3940</v>
      </c>
      <c r="H777" s="30" t="s">
        <v>963</v>
      </c>
      <c r="I777" s="30" t="s">
        <v>1026</v>
      </c>
      <c r="J777" s="83">
        <v>6040221012551</v>
      </c>
      <c r="K777" s="89">
        <v>44901</v>
      </c>
      <c r="L777" s="30" t="s">
        <v>3941</v>
      </c>
      <c r="M777" s="89">
        <v>44981</v>
      </c>
      <c r="N777" s="30"/>
      <c r="O777" s="30" t="s">
        <v>25</v>
      </c>
      <c r="P777" s="30" t="s">
        <v>25</v>
      </c>
      <c r="Q777" s="30" t="s">
        <v>25</v>
      </c>
      <c r="R777" s="83"/>
      <c r="S777" s="89"/>
      <c r="T777" s="30"/>
      <c r="U777" s="30"/>
      <c r="V777" s="30"/>
      <c r="W777" s="30"/>
    </row>
    <row r="778" spans="1:24" x14ac:dyDescent="0.25">
      <c r="A778" s="30">
        <v>7</v>
      </c>
      <c r="B778" s="30" t="s">
        <v>1063</v>
      </c>
      <c r="C778" s="30" t="s">
        <v>1063</v>
      </c>
      <c r="D778" s="30" t="s">
        <v>1038</v>
      </c>
      <c r="E778" s="104">
        <v>4.0339999999999998</v>
      </c>
      <c r="F778" s="30">
        <v>20</v>
      </c>
      <c r="G778" s="30" t="s">
        <v>1064</v>
      </c>
      <c r="H778" s="30" t="s">
        <v>964</v>
      </c>
      <c r="I778" s="30" t="s">
        <v>1026</v>
      </c>
      <c r="J778" s="83">
        <v>6030210705489</v>
      </c>
      <c r="K778" s="89">
        <v>44411</v>
      </c>
      <c r="L778" s="83">
        <v>10645</v>
      </c>
      <c r="M778" s="89" t="s">
        <v>996</v>
      </c>
      <c r="N778" s="30"/>
      <c r="O778" s="30" t="s">
        <v>25</v>
      </c>
      <c r="P778" s="30" t="s">
        <v>25</v>
      </c>
      <c r="Q778" s="30" t="s">
        <v>25</v>
      </c>
      <c r="R778" s="83"/>
      <c r="S778" s="89" t="s">
        <v>116</v>
      </c>
      <c r="T778" s="30"/>
      <c r="U778" s="30"/>
      <c r="V778" s="30"/>
      <c r="W778" s="30"/>
    </row>
    <row r="779" spans="1:24" x14ac:dyDescent="0.25">
      <c r="A779" s="30">
        <v>8</v>
      </c>
      <c r="B779" s="30" t="s">
        <v>1065</v>
      </c>
      <c r="C779" s="30" t="s">
        <v>1065</v>
      </c>
      <c r="D779" s="30" t="s">
        <v>1038</v>
      </c>
      <c r="E779" s="104">
        <v>1.65</v>
      </c>
      <c r="F779" s="30">
        <v>20</v>
      </c>
      <c r="G779" s="30" t="s">
        <v>1066</v>
      </c>
      <c r="H779" s="30" t="s">
        <v>964</v>
      </c>
      <c r="I779" s="30" t="s">
        <v>1026</v>
      </c>
      <c r="J779" s="83">
        <v>6030210907484</v>
      </c>
      <c r="K779" s="89">
        <v>44483</v>
      </c>
      <c r="L779" s="83">
        <v>17174</v>
      </c>
      <c r="M779" s="89" t="s">
        <v>993</v>
      </c>
      <c r="N779" s="30"/>
      <c r="O779" s="30" t="s">
        <v>25</v>
      </c>
      <c r="P779" s="30" t="s">
        <v>25</v>
      </c>
      <c r="Q779" s="30" t="s">
        <v>25</v>
      </c>
      <c r="R779" s="83"/>
      <c r="S779" s="89" t="s">
        <v>116</v>
      </c>
      <c r="T779" s="30"/>
      <c r="U779" s="30"/>
      <c r="V779" s="30"/>
      <c r="W779" s="30"/>
    </row>
    <row r="780" spans="1:24" x14ac:dyDescent="0.25">
      <c r="A780" s="30">
        <v>9</v>
      </c>
      <c r="B780" s="30" t="s">
        <v>1067</v>
      </c>
      <c r="C780" s="30" t="s">
        <v>1067</v>
      </c>
      <c r="D780" s="30" t="s">
        <v>1045</v>
      </c>
      <c r="E780" s="104">
        <v>2.5</v>
      </c>
      <c r="F780" s="30">
        <v>20</v>
      </c>
      <c r="G780" s="30" t="s">
        <v>1068</v>
      </c>
      <c r="H780" s="30" t="s">
        <v>963</v>
      </c>
      <c r="I780" s="30" t="s">
        <v>1026</v>
      </c>
      <c r="J780" s="83">
        <v>6020210908716</v>
      </c>
      <c r="K780" s="89">
        <v>44483</v>
      </c>
      <c r="L780" s="83">
        <v>18669</v>
      </c>
      <c r="M780" s="89" t="s">
        <v>1049</v>
      </c>
      <c r="N780" s="30"/>
      <c r="O780" s="30" t="s">
        <v>25</v>
      </c>
      <c r="P780" s="30" t="s">
        <v>25</v>
      </c>
      <c r="Q780" s="30" t="s">
        <v>25</v>
      </c>
      <c r="R780" s="83"/>
      <c r="S780" s="89" t="s">
        <v>116</v>
      </c>
      <c r="T780" s="30"/>
      <c r="U780" s="30"/>
      <c r="V780" s="30"/>
      <c r="W780" s="30"/>
    </row>
    <row r="781" spans="1:24" x14ac:dyDescent="0.25">
      <c r="A781" s="30">
        <v>10</v>
      </c>
      <c r="B781" s="279" t="s">
        <v>1181</v>
      </c>
      <c r="C781" s="30" t="s">
        <v>1181</v>
      </c>
      <c r="D781" s="30" t="s">
        <v>1039</v>
      </c>
      <c r="E781" s="104">
        <v>1.2</v>
      </c>
      <c r="F781" s="30">
        <v>20</v>
      </c>
      <c r="G781" s="30" t="s">
        <v>1182</v>
      </c>
      <c r="H781" s="30" t="s">
        <v>964</v>
      </c>
      <c r="I781" s="30" t="s">
        <v>1026</v>
      </c>
      <c r="J781" s="83">
        <v>6010220422959</v>
      </c>
      <c r="K781" s="89">
        <v>44692</v>
      </c>
      <c r="L781" s="92" t="s">
        <v>116</v>
      </c>
      <c r="M781" s="89" t="s">
        <v>116</v>
      </c>
      <c r="N781" s="30"/>
      <c r="O781" s="30" t="s">
        <v>25</v>
      </c>
      <c r="P781" s="30" t="s">
        <v>25</v>
      </c>
      <c r="Q781" s="30" t="s">
        <v>25</v>
      </c>
      <c r="R781" s="83"/>
      <c r="S781" s="89" t="s">
        <v>116</v>
      </c>
      <c r="T781" s="30"/>
      <c r="U781" s="30"/>
      <c r="V781" s="30"/>
      <c r="W781" s="30"/>
    </row>
    <row r="782" spans="1:24" x14ac:dyDescent="0.25">
      <c r="A782" s="30">
        <v>11</v>
      </c>
      <c r="B782" s="474" t="s">
        <v>1335</v>
      </c>
      <c r="C782" s="104" t="s">
        <v>1335</v>
      </c>
      <c r="D782" s="104" t="s">
        <v>1045</v>
      </c>
      <c r="E782" s="104">
        <v>6.3</v>
      </c>
      <c r="F782" s="104">
        <v>20</v>
      </c>
      <c r="G782" s="104" t="s">
        <v>1336</v>
      </c>
      <c r="H782" s="104" t="s">
        <v>964</v>
      </c>
      <c r="I782" s="104" t="s">
        <v>1026</v>
      </c>
      <c r="J782" s="434">
        <v>6020220314705</v>
      </c>
      <c r="K782" s="105">
        <v>44753</v>
      </c>
      <c r="L782" s="474" t="s">
        <v>3666</v>
      </c>
      <c r="M782" s="475">
        <v>44840</v>
      </c>
      <c r="N782" s="104"/>
      <c r="O782" s="104" t="s">
        <v>25</v>
      </c>
      <c r="P782" s="104" t="s">
        <v>25</v>
      </c>
      <c r="Q782" s="104" t="s">
        <v>25</v>
      </c>
      <c r="R782" s="434"/>
      <c r="S782" s="105" t="s">
        <v>116</v>
      </c>
      <c r="T782" s="104"/>
      <c r="U782" s="104"/>
      <c r="V782" s="104"/>
      <c r="W782" s="30"/>
    </row>
    <row r="783" spans="1:24" x14ac:dyDescent="0.25">
      <c r="A783" s="30">
        <v>12</v>
      </c>
      <c r="B783" s="250" t="s">
        <v>1827</v>
      </c>
      <c r="C783" s="74" t="s">
        <v>1828</v>
      </c>
      <c r="D783" s="74" t="s">
        <v>1039</v>
      </c>
      <c r="E783" s="180">
        <v>1</v>
      </c>
      <c r="F783" s="74">
        <v>10</v>
      </c>
      <c r="G783" s="74" t="s">
        <v>1829</v>
      </c>
      <c r="H783" s="74" t="s">
        <v>964</v>
      </c>
      <c r="I783" s="74" t="s">
        <v>1026</v>
      </c>
      <c r="J783" s="75">
        <v>6010220322392</v>
      </c>
      <c r="K783" s="181">
        <v>44826</v>
      </c>
      <c r="L783" s="196" t="s">
        <v>116</v>
      </c>
      <c r="M783" s="181" t="s">
        <v>116</v>
      </c>
      <c r="N783" s="74"/>
      <c r="O783" s="74" t="s">
        <v>25</v>
      </c>
      <c r="P783" s="74" t="s">
        <v>25</v>
      </c>
      <c r="Q783" s="74" t="s">
        <v>25</v>
      </c>
      <c r="R783" s="75"/>
      <c r="S783" s="181" t="s">
        <v>116</v>
      </c>
      <c r="T783" s="74"/>
      <c r="U783" s="74"/>
      <c r="V783" s="74"/>
      <c r="W783" s="74"/>
      <c r="X783" s="70"/>
    </row>
    <row r="784" spans="1:24" ht="18" customHeight="1" x14ac:dyDescent="0.25">
      <c r="A784" s="30">
        <v>13</v>
      </c>
      <c r="B784" s="250" t="s">
        <v>2198</v>
      </c>
      <c r="C784" s="74" t="s">
        <v>2199</v>
      </c>
      <c r="D784" s="250" t="s">
        <v>1039</v>
      </c>
      <c r="E784" s="180">
        <v>2.4</v>
      </c>
      <c r="F784" s="74">
        <v>20</v>
      </c>
      <c r="G784" s="74" t="s">
        <v>2200</v>
      </c>
      <c r="H784" s="74" t="s">
        <v>963</v>
      </c>
      <c r="I784" s="74" t="s">
        <v>1026</v>
      </c>
      <c r="J784" s="75">
        <v>6010220932079</v>
      </c>
      <c r="K784" s="181">
        <v>44939</v>
      </c>
      <c r="L784" s="250" t="s">
        <v>116</v>
      </c>
      <c r="M784" s="250" t="s">
        <v>116</v>
      </c>
      <c r="N784" s="74"/>
      <c r="O784" s="74" t="s">
        <v>25</v>
      </c>
      <c r="P784" s="74" t="s">
        <v>25</v>
      </c>
      <c r="Q784" s="74" t="s">
        <v>25</v>
      </c>
      <c r="R784" s="75"/>
      <c r="S784" s="181" t="s">
        <v>116</v>
      </c>
      <c r="T784" s="74"/>
      <c r="U784" s="74"/>
      <c r="V784" s="74"/>
      <c r="W784" s="74"/>
      <c r="X784" s="70"/>
    </row>
    <row r="785" spans="1:24" ht="18" customHeight="1" x14ac:dyDescent="0.25">
      <c r="A785" s="30">
        <v>14</v>
      </c>
      <c r="B785" s="250" t="s">
        <v>2465</v>
      </c>
      <c r="C785" s="74" t="s">
        <v>2466</v>
      </c>
      <c r="D785" s="74" t="s">
        <v>1038</v>
      </c>
      <c r="E785" s="180">
        <v>1.8</v>
      </c>
      <c r="F785" s="74">
        <v>20</v>
      </c>
      <c r="G785" s="74" t="s">
        <v>2467</v>
      </c>
      <c r="H785" s="74" t="s">
        <v>963</v>
      </c>
      <c r="I785" s="74" t="s">
        <v>1026</v>
      </c>
      <c r="J785" s="75">
        <v>6030230220141</v>
      </c>
      <c r="K785" s="181">
        <v>44995</v>
      </c>
      <c r="L785" s="250"/>
      <c r="M785" s="250"/>
      <c r="N785" s="74"/>
      <c r="O785" s="74" t="s">
        <v>25</v>
      </c>
      <c r="P785" s="74" t="s">
        <v>25</v>
      </c>
      <c r="Q785" s="74" t="s">
        <v>25</v>
      </c>
      <c r="R785" s="75"/>
      <c r="S785" s="181"/>
      <c r="T785" s="74"/>
      <c r="U785" s="74"/>
      <c r="V785" s="74"/>
      <c r="W785" s="74"/>
      <c r="X785" s="70"/>
    </row>
    <row r="786" spans="1:24" ht="18" customHeight="1" x14ac:dyDescent="0.25">
      <c r="A786" s="30">
        <v>15</v>
      </c>
      <c r="B786" s="250" t="s">
        <v>2557</v>
      </c>
      <c r="C786" s="74" t="s">
        <v>2558</v>
      </c>
      <c r="D786" s="74" t="s">
        <v>1045</v>
      </c>
      <c r="E786" s="74">
        <v>1</v>
      </c>
      <c r="F786" s="74">
        <v>20</v>
      </c>
      <c r="G786" s="74" t="s">
        <v>2559</v>
      </c>
      <c r="H786" s="74" t="s">
        <v>963</v>
      </c>
      <c r="I786" s="74" t="s">
        <v>1026</v>
      </c>
      <c r="J786" s="75">
        <v>6020230225325</v>
      </c>
      <c r="K786" s="181">
        <v>45017</v>
      </c>
      <c r="L786" s="250" t="s">
        <v>3199</v>
      </c>
      <c r="M786" s="352">
        <v>45124</v>
      </c>
      <c r="N786" s="74"/>
      <c r="O786" s="74" t="s">
        <v>25</v>
      </c>
      <c r="P786" s="74" t="s">
        <v>25</v>
      </c>
      <c r="Q786" s="74" t="s">
        <v>25</v>
      </c>
      <c r="R786" s="75"/>
      <c r="S786" s="181"/>
      <c r="T786" s="74"/>
      <c r="U786" s="74"/>
      <c r="V786" s="74"/>
      <c r="W786" s="74"/>
      <c r="X786" s="70"/>
    </row>
    <row r="787" spans="1:24" ht="18" customHeight="1" x14ac:dyDescent="0.25">
      <c r="A787" s="30">
        <v>16</v>
      </c>
      <c r="B787" s="250" t="s">
        <v>2557</v>
      </c>
      <c r="C787" s="74" t="s">
        <v>2558</v>
      </c>
      <c r="D787" s="74" t="s">
        <v>1045</v>
      </c>
      <c r="E787" s="74">
        <v>1</v>
      </c>
      <c r="F787" s="74">
        <v>20</v>
      </c>
      <c r="G787" s="74" t="s">
        <v>2559</v>
      </c>
      <c r="H787" s="74" t="s">
        <v>963</v>
      </c>
      <c r="I787" s="74" t="s">
        <v>1026</v>
      </c>
      <c r="J787" s="75">
        <v>6020230225327</v>
      </c>
      <c r="K787" s="181">
        <v>45019</v>
      </c>
      <c r="L787" s="250" t="s">
        <v>3200</v>
      </c>
      <c r="M787" s="352">
        <v>45124</v>
      </c>
      <c r="N787" s="74"/>
      <c r="O787" s="74" t="s">
        <v>25</v>
      </c>
      <c r="P787" s="74" t="s">
        <v>25</v>
      </c>
      <c r="Q787" s="74" t="s">
        <v>25</v>
      </c>
      <c r="R787" s="75"/>
      <c r="S787" s="181"/>
      <c r="T787" s="74"/>
      <c r="U787" s="74"/>
      <c r="V787" s="74"/>
      <c r="W787" s="74"/>
      <c r="X787" s="70"/>
    </row>
    <row r="788" spans="1:24" ht="18" customHeight="1" x14ac:dyDescent="0.25">
      <c r="A788" s="30">
        <v>17</v>
      </c>
      <c r="B788" s="250" t="s">
        <v>2560</v>
      </c>
      <c r="C788" s="74" t="s">
        <v>1828</v>
      </c>
      <c r="D788" s="250" t="s">
        <v>1039</v>
      </c>
      <c r="E788" s="74">
        <v>1.29</v>
      </c>
      <c r="F788" s="74">
        <v>20</v>
      </c>
      <c r="G788" s="74" t="s">
        <v>2561</v>
      </c>
      <c r="H788" s="74" t="s">
        <v>963</v>
      </c>
      <c r="I788" s="74" t="s">
        <v>1026</v>
      </c>
      <c r="J788" s="75">
        <v>6010230240437</v>
      </c>
      <c r="K788" s="181">
        <v>45022</v>
      </c>
      <c r="L788" s="250" t="s">
        <v>3667</v>
      </c>
      <c r="M788" s="352">
        <v>45058</v>
      </c>
      <c r="N788" s="74"/>
      <c r="O788" s="74" t="s">
        <v>25</v>
      </c>
      <c r="P788" s="74" t="s">
        <v>25</v>
      </c>
      <c r="Q788" s="74" t="s">
        <v>25</v>
      </c>
      <c r="R788" s="75"/>
      <c r="S788" s="181"/>
      <c r="T788" s="74"/>
      <c r="U788" s="74"/>
      <c r="V788" s="74"/>
      <c r="W788" s="74"/>
      <c r="X788" s="70"/>
    </row>
    <row r="789" spans="1:24" ht="18" customHeight="1" x14ac:dyDescent="0.25">
      <c r="A789" s="30">
        <v>18</v>
      </c>
      <c r="B789" s="250" t="s">
        <v>2806</v>
      </c>
      <c r="C789" s="74" t="s">
        <v>2807</v>
      </c>
      <c r="D789" s="74" t="s">
        <v>1039</v>
      </c>
      <c r="E789" s="196">
        <v>2.1160000000000001</v>
      </c>
      <c r="F789" s="74">
        <v>20</v>
      </c>
      <c r="G789" s="74" t="s">
        <v>2808</v>
      </c>
      <c r="H789" s="74" t="s">
        <v>963</v>
      </c>
      <c r="I789" s="74" t="s">
        <v>1026</v>
      </c>
      <c r="J789" s="75">
        <v>6010220829923</v>
      </c>
      <c r="K789" s="181">
        <v>45027</v>
      </c>
      <c r="L789" s="250"/>
      <c r="M789" s="250"/>
      <c r="N789" s="74"/>
      <c r="O789" s="74" t="s">
        <v>25</v>
      </c>
      <c r="P789" s="74" t="s">
        <v>25</v>
      </c>
      <c r="Q789" s="74" t="s">
        <v>25</v>
      </c>
      <c r="R789" s="75"/>
      <c r="S789" s="181"/>
      <c r="T789" s="74"/>
      <c r="U789" s="74"/>
      <c r="V789" s="74"/>
      <c r="W789" s="74"/>
      <c r="X789" s="70"/>
    </row>
    <row r="790" spans="1:24" ht="18" customHeight="1" x14ac:dyDescent="0.25">
      <c r="A790" s="30">
        <v>19</v>
      </c>
      <c r="B790" s="250" t="s">
        <v>2809</v>
      </c>
      <c r="C790" s="74" t="s">
        <v>2810</v>
      </c>
      <c r="D790" s="74" t="s">
        <v>1045</v>
      </c>
      <c r="E790" s="196">
        <v>1</v>
      </c>
      <c r="F790" s="74">
        <v>20</v>
      </c>
      <c r="G790" s="74" t="s">
        <v>2811</v>
      </c>
      <c r="H790" s="74" t="s">
        <v>964</v>
      </c>
      <c r="I790" s="74" t="s">
        <v>1026</v>
      </c>
      <c r="J790" s="75">
        <v>6020221021743</v>
      </c>
      <c r="K790" s="181">
        <v>45034</v>
      </c>
      <c r="L790" s="250" t="s">
        <v>2812</v>
      </c>
      <c r="M790" s="352">
        <v>45038</v>
      </c>
      <c r="N790" s="74"/>
      <c r="O790" s="74" t="s">
        <v>25</v>
      </c>
      <c r="P790" s="74" t="s">
        <v>25</v>
      </c>
      <c r="Q790" s="74" t="s">
        <v>25</v>
      </c>
      <c r="R790" s="75"/>
      <c r="S790" s="181"/>
      <c r="T790" s="74"/>
      <c r="U790" s="74"/>
      <c r="V790" s="74"/>
      <c r="W790" s="74"/>
      <c r="X790" s="70"/>
    </row>
    <row r="791" spans="1:24" ht="18" customHeight="1" x14ac:dyDescent="0.25">
      <c r="A791" s="30">
        <v>20</v>
      </c>
      <c r="B791" s="250" t="s">
        <v>2813</v>
      </c>
      <c r="C791" s="74" t="s">
        <v>1828</v>
      </c>
      <c r="D791" s="250" t="s">
        <v>1039</v>
      </c>
      <c r="E791" s="196">
        <v>1.2</v>
      </c>
      <c r="F791" s="74">
        <v>10</v>
      </c>
      <c r="G791" s="74" t="s">
        <v>2814</v>
      </c>
      <c r="H791" s="74" t="s">
        <v>2815</v>
      </c>
      <c r="I791" s="74" t="s">
        <v>1026</v>
      </c>
      <c r="J791" s="75">
        <v>6010230138318</v>
      </c>
      <c r="K791" s="181">
        <v>45028</v>
      </c>
      <c r="L791" s="250" t="s">
        <v>3668</v>
      </c>
      <c r="M791" s="352">
        <v>45069</v>
      </c>
      <c r="N791" s="74"/>
      <c r="O791" s="74" t="s">
        <v>25</v>
      </c>
      <c r="P791" s="74" t="s">
        <v>25</v>
      </c>
      <c r="Q791" s="74" t="s">
        <v>25</v>
      </c>
      <c r="R791" s="75"/>
      <c r="S791" s="181"/>
      <c r="T791" s="74"/>
      <c r="U791" s="74"/>
      <c r="V791" s="74"/>
      <c r="W791" s="74"/>
      <c r="X791" s="70"/>
    </row>
    <row r="792" spans="1:24" ht="18" customHeight="1" x14ac:dyDescent="0.25">
      <c r="A792" s="30">
        <v>21</v>
      </c>
      <c r="B792" s="250" t="s">
        <v>2816</v>
      </c>
      <c r="C792" s="74" t="s">
        <v>2558</v>
      </c>
      <c r="D792" s="74" t="s">
        <v>1045</v>
      </c>
      <c r="E792" s="180">
        <v>3.3029999999999999</v>
      </c>
      <c r="F792" s="74">
        <v>20</v>
      </c>
      <c r="G792" s="74" t="s">
        <v>2817</v>
      </c>
      <c r="H792" s="74" t="s">
        <v>963</v>
      </c>
      <c r="I792" s="74" t="s">
        <v>1026</v>
      </c>
      <c r="J792" s="75">
        <v>6020230225317</v>
      </c>
      <c r="K792" s="181">
        <v>45049</v>
      </c>
      <c r="L792" s="250" t="s">
        <v>3204</v>
      </c>
      <c r="M792" s="352">
        <v>45110</v>
      </c>
      <c r="N792" s="74"/>
      <c r="O792" s="74" t="s">
        <v>25</v>
      </c>
      <c r="P792" s="74" t="s">
        <v>25</v>
      </c>
      <c r="Q792" s="74" t="s">
        <v>25</v>
      </c>
      <c r="R792" s="75"/>
      <c r="S792" s="181"/>
      <c r="T792" s="74"/>
      <c r="U792" s="74"/>
      <c r="V792" s="74"/>
      <c r="W792" s="74"/>
      <c r="X792" s="70"/>
    </row>
    <row r="793" spans="1:24" ht="18" customHeight="1" x14ac:dyDescent="0.25">
      <c r="A793" s="30">
        <v>22</v>
      </c>
      <c r="B793" s="250" t="s">
        <v>2987</v>
      </c>
      <c r="C793" s="250" t="s">
        <v>1029</v>
      </c>
      <c r="D793" s="250" t="s">
        <v>1029</v>
      </c>
      <c r="E793" s="350">
        <v>1.66</v>
      </c>
      <c r="F793" s="250">
        <v>20</v>
      </c>
      <c r="G793" s="250" t="s">
        <v>2988</v>
      </c>
      <c r="H793" s="250" t="s">
        <v>964</v>
      </c>
      <c r="I793" s="250" t="s">
        <v>1026</v>
      </c>
      <c r="J793" s="351">
        <v>6040230316001</v>
      </c>
      <c r="K793" s="352">
        <v>45090</v>
      </c>
      <c r="L793" s="250" t="s">
        <v>5325</v>
      </c>
      <c r="M793" s="352">
        <v>45469</v>
      </c>
      <c r="N793" s="250"/>
      <c r="O793" s="250" t="s">
        <v>25</v>
      </c>
      <c r="P793" s="250" t="s">
        <v>25</v>
      </c>
      <c r="Q793" s="250" t="s">
        <v>25</v>
      </c>
      <c r="R793" s="351"/>
      <c r="S793" s="352"/>
      <c r="T793" s="250"/>
      <c r="U793" s="250"/>
      <c r="V793" s="250"/>
      <c r="W793" s="250"/>
      <c r="X793" s="70"/>
    </row>
    <row r="794" spans="1:24" ht="18" customHeight="1" x14ac:dyDescent="0.25">
      <c r="A794" s="30">
        <v>23</v>
      </c>
      <c r="B794" s="250" t="s">
        <v>3201</v>
      </c>
      <c r="C794" s="250" t="s">
        <v>2558</v>
      </c>
      <c r="D794" s="250" t="s">
        <v>1045</v>
      </c>
      <c r="E794" s="373">
        <v>1.6</v>
      </c>
      <c r="F794" s="250">
        <v>20</v>
      </c>
      <c r="G794" s="250" t="s">
        <v>3202</v>
      </c>
      <c r="H794" s="250" t="s">
        <v>3203</v>
      </c>
      <c r="I794" s="250" t="s">
        <v>1026</v>
      </c>
      <c r="J794" s="351">
        <v>6020230629483</v>
      </c>
      <c r="K794" s="352">
        <v>45110</v>
      </c>
      <c r="L794" s="250" t="s">
        <v>3473</v>
      </c>
      <c r="M794" s="352">
        <v>45154</v>
      </c>
      <c r="N794" s="250"/>
      <c r="O794" s="250"/>
      <c r="P794" s="250"/>
      <c r="Q794" s="250"/>
      <c r="R794" s="351"/>
      <c r="S794" s="352"/>
      <c r="T794" s="250"/>
      <c r="U794" s="250"/>
      <c r="V794" s="250"/>
      <c r="W794" s="250"/>
      <c r="X794" s="70"/>
    </row>
    <row r="795" spans="1:24" ht="18" customHeight="1" x14ac:dyDescent="0.25">
      <c r="A795" s="30">
        <v>24</v>
      </c>
      <c r="B795" s="250" t="s">
        <v>3273</v>
      </c>
      <c r="C795" s="250" t="s">
        <v>3274</v>
      </c>
      <c r="D795" s="250" t="s">
        <v>1039</v>
      </c>
      <c r="E795" s="373">
        <v>2.0470000000000002</v>
      </c>
      <c r="F795" s="250">
        <v>20</v>
      </c>
      <c r="G795" s="250" t="s">
        <v>3275</v>
      </c>
      <c r="H795" s="250" t="s">
        <v>964</v>
      </c>
      <c r="I795" s="250" t="s">
        <v>1026</v>
      </c>
      <c r="J795" s="351">
        <v>6010221237189</v>
      </c>
      <c r="K795" s="352">
        <v>45131</v>
      </c>
      <c r="L795" s="250"/>
      <c r="M795" s="352"/>
      <c r="N795" s="250"/>
      <c r="O795" s="250" t="s">
        <v>25</v>
      </c>
      <c r="P795" s="250" t="s">
        <v>25</v>
      </c>
      <c r="Q795" s="250" t="s">
        <v>25</v>
      </c>
      <c r="R795" s="351"/>
      <c r="S795" s="352"/>
      <c r="T795" s="250"/>
      <c r="U795" s="250"/>
      <c r="V795" s="250"/>
      <c r="W795" s="250"/>
      <c r="X795" s="70"/>
    </row>
    <row r="796" spans="1:24" ht="18" customHeight="1" x14ac:dyDescent="0.25">
      <c r="A796" s="30">
        <v>25</v>
      </c>
      <c r="B796" s="250" t="s">
        <v>3276</v>
      </c>
      <c r="C796" s="250" t="s">
        <v>1828</v>
      </c>
      <c r="D796" s="250" t="s">
        <v>1039</v>
      </c>
      <c r="E796" s="350">
        <v>2</v>
      </c>
      <c r="F796" s="250">
        <v>110</v>
      </c>
      <c r="G796" s="250" t="s">
        <v>3277</v>
      </c>
      <c r="H796" s="250" t="s">
        <v>963</v>
      </c>
      <c r="I796" s="250" t="s">
        <v>1026</v>
      </c>
      <c r="J796" s="351">
        <v>6010230442678</v>
      </c>
      <c r="K796" s="352">
        <v>45140</v>
      </c>
      <c r="L796" s="250"/>
      <c r="M796" s="352"/>
      <c r="N796" s="250"/>
      <c r="O796" s="250" t="s">
        <v>25</v>
      </c>
      <c r="P796" s="250" t="s">
        <v>25</v>
      </c>
      <c r="Q796" s="250" t="s">
        <v>25</v>
      </c>
      <c r="R796" s="351"/>
      <c r="S796" s="352"/>
      <c r="T796" s="250"/>
      <c r="U796" s="250"/>
      <c r="V796" s="250"/>
      <c r="W796" s="250"/>
      <c r="X796" s="70"/>
    </row>
    <row r="797" spans="1:24" ht="18" customHeight="1" x14ac:dyDescent="0.25">
      <c r="A797" s="30">
        <v>26</v>
      </c>
      <c r="B797" s="250" t="s">
        <v>3276</v>
      </c>
      <c r="C797" s="250" t="s">
        <v>1828</v>
      </c>
      <c r="D797" s="250" t="s">
        <v>1039</v>
      </c>
      <c r="E797" s="350">
        <v>1.5</v>
      </c>
      <c r="F797" s="250">
        <v>110</v>
      </c>
      <c r="G797" s="250" t="s">
        <v>3278</v>
      </c>
      <c r="H797" s="250" t="s">
        <v>963</v>
      </c>
      <c r="I797" s="250" t="s">
        <v>1026</v>
      </c>
      <c r="J797" s="351">
        <v>6010230442681</v>
      </c>
      <c r="K797" s="352">
        <v>45140</v>
      </c>
      <c r="L797" s="250"/>
      <c r="M797" s="352"/>
      <c r="N797" s="250"/>
      <c r="O797" s="250" t="s">
        <v>25</v>
      </c>
      <c r="P797" s="250" t="s">
        <v>25</v>
      </c>
      <c r="Q797" s="250" t="s">
        <v>25</v>
      </c>
      <c r="R797" s="351"/>
      <c r="S797" s="352"/>
      <c r="T797" s="250"/>
      <c r="U797" s="250"/>
      <c r="V797" s="250"/>
      <c r="W797" s="250"/>
      <c r="X797" s="70"/>
    </row>
    <row r="798" spans="1:24" ht="18" customHeight="1" x14ac:dyDescent="0.25">
      <c r="A798" s="30">
        <v>27</v>
      </c>
      <c r="B798" s="250" t="s">
        <v>3276</v>
      </c>
      <c r="C798" s="250" t="s">
        <v>1828</v>
      </c>
      <c r="D798" s="250" t="s">
        <v>1039</v>
      </c>
      <c r="E798" s="350">
        <v>1.9</v>
      </c>
      <c r="F798" s="250">
        <v>6</v>
      </c>
      <c r="G798" s="250" t="s">
        <v>3279</v>
      </c>
      <c r="H798" s="250" t="s">
        <v>964</v>
      </c>
      <c r="I798" s="250" t="s">
        <v>1026</v>
      </c>
      <c r="J798" s="351">
        <v>6010230442683</v>
      </c>
      <c r="K798" s="352">
        <v>45134</v>
      </c>
      <c r="L798" s="250"/>
      <c r="M798" s="352"/>
      <c r="N798" s="250"/>
      <c r="O798" s="250" t="s">
        <v>25</v>
      </c>
      <c r="P798" s="250" t="s">
        <v>25</v>
      </c>
      <c r="Q798" s="250" t="s">
        <v>25</v>
      </c>
      <c r="R798" s="351"/>
      <c r="S798" s="352"/>
      <c r="T798" s="250"/>
      <c r="U798" s="250"/>
      <c r="V798" s="250"/>
      <c r="W798" s="250"/>
      <c r="X798" s="70"/>
    </row>
    <row r="799" spans="1:24" ht="18" customHeight="1" x14ac:dyDescent="0.25">
      <c r="A799" s="30">
        <v>28</v>
      </c>
      <c r="B799" s="250" t="s">
        <v>2465</v>
      </c>
      <c r="C799" s="250" t="s">
        <v>2466</v>
      </c>
      <c r="D799" s="250" t="s">
        <v>1038</v>
      </c>
      <c r="E799" s="350">
        <v>2.36</v>
      </c>
      <c r="F799" s="250">
        <v>20</v>
      </c>
      <c r="G799" s="250" t="s">
        <v>3512</v>
      </c>
      <c r="H799" s="250" t="s">
        <v>964</v>
      </c>
      <c r="I799" s="250" t="s">
        <v>1026</v>
      </c>
      <c r="J799" s="351">
        <v>6030230220140</v>
      </c>
      <c r="K799" s="352">
        <v>45174</v>
      </c>
      <c r="L799" s="250"/>
      <c r="M799" s="352"/>
      <c r="N799" s="250"/>
      <c r="O799" s="250"/>
      <c r="P799" s="250"/>
      <c r="Q799" s="250"/>
      <c r="R799" s="351"/>
      <c r="S799" s="352"/>
      <c r="T799" s="250"/>
      <c r="U799" s="250"/>
      <c r="V799" s="250"/>
      <c r="W799" s="250"/>
      <c r="X799" s="70"/>
    </row>
    <row r="800" spans="1:24" ht="18" customHeight="1" x14ac:dyDescent="0.25">
      <c r="A800" s="30">
        <v>29</v>
      </c>
      <c r="B800" s="250" t="s">
        <v>3513</v>
      </c>
      <c r="C800" s="250" t="s">
        <v>3514</v>
      </c>
      <c r="D800" s="250" t="s">
        <v>1039</v>
      </c>
      <c r="E800" s="350">
        <v>1.22</v>
      </c>
      <c r="F800" s="250">
        <v>20</v>
      </c>
      <c r="G800" s="250" t="s">
        <v>3515</v>
      </c>
      <c r="H800" s="250" t="s">
        <v>964</v>
      </c>
      <c r="I800" s="250" t="s">
        <v>1026</v>
      </c>
      <c r="J800" s="351">
        <v>6010230443185</v>
      </c>
      <c r="K800" s="352">
        <v>45175</v>
      </c>
      <c r="L800" s="250" t="s">
        <v>5324</v>
      </c>
      <c r="M800" s="352">
        <v>45397</v>
      </c>
      <c r="N800" s="250"/>
      <c r="O800" s="250"/>
      <c r="P800" s="250"/>
      <c r="Q800" s="250"/>
      <c r="R800" s="351"/>
      <c r="S800" s="352"/>
      <c r="T800" s="250"/>
      <c r="U800" s="250"/>
      <c r="V800" s="250"/>
      <c r="W800" s="250"/>
      <c r="X800" s="70"/>
    </row>
    <row r="801" spans="1:24" ht="18" customHeight="1" x14ac:dyDescent="0.25">
      <c r="A801" s="30">
        <v>30</v>
      </c>
      <c r="B801" s="250" t="s">
        <v>3516</v>
      </c>
      <c r="C801" s="250" t="s">
        <v>2558</v>
      </c>
      <c r="D801" s="250" t="s">
        <v>1045</v>
      </c>
      <c r="E801" s="350">
        <v>2.79</v>
      </c>
      <c r="F801" s="250">
        <v>20</v>
      </c>
      <c r="G801" s="250" t="s">
        <v>3517</v>
      </c>
      <c r="H801" s="250" t="s">
        <v>964</v>
      </c>
      <c r="I801" s="250" t="s">
        <v>1026</v>
      </c>
      <c r="J801" s="351">
        <v>6020230831884</v>
      </c>
      <c r="K801" s="352">
        <v>45174</v>
      </c>
      <c r="L801" s="250" t="s">
        <v>3669</v>
      </c>
      <c r="M801" s="352">
        <v>45197</v>
      </c>
      <c r="N801" s="250"/>
      <c r="O801" s="250"/>
      <c r="P801" s="250"/>
      <c r="Q801" s="250"/>
      <c r="R801" s="351"/>
      <c r="S801" s="352"/>
      <c r="T801" s="250"/>
      <c r="U801" s="250"/>
      <c r="V801" s="250"/>
      <c r="W801" s="250"/>
      <c r="X801" s="70"/>
    </row>
    <row r="802" spans="1:24" ht="18" customHeight="1" x14ac:dyDescent="0.25">
      <c r="A802" s="30">
        <v>31</v>
      </c>
      <c r="B802" s="250" t="s">
        <v>3598</v>
      </c>
      <c r="C802" s="250" t="s">
        <v>1828</v>
      </c>
      <c r="D802" s="250" t="s">
        <v>1039</v>
      </c>
      <c r="E802" s="373">
        <v>2.4</v>
      </c>
      <c r="F802" s="250">
        <v>20</v>
      </c>
      <c r="G802" s="250" t="s">
        <v>3599</v>
      </c>
      <c r="H802" s="250" t="s">
        <v>964</v>
      </c>
      <c r="I802" s="250" t="s">
        <v>1026</v>
      </c>
      <c r="J802" s="351">
        <v>6010230849607</v>
      </c>
      <c r="K802" s="352">
        <v>45181</v>
      </c>
      <c r="L802" s="250"/>
      <c r="M802" s="352"/>
      <c r="N802" s="250"/>
      <c r="O802" s="250" t="s">
        <v>25</v>
      </c>
      <c r="P802" s="250" t="s">
        <v>25</v>
      </c>
      <c r="Q802" s="250" t="s">
        <v>25</v>
      </c>
      <c r="R802" s="351"/>
      <c r="S802" s="352"/>
      <c r="T802" s="250"/>
      <c r="U802" s="250"/>
      <c r="V802" s="250"/>
      <c r="W802" s="250"/>
      <c r="X802" s="70"/>
    </row>
    <row r="803" spans="1:24" ht="18" customHeight="1" x14ac:dyDescent="0.25">
      <c r="A803" s="30">
        <v>32</v>
      </c>
      <c r="B803" s="250" t="s">
        <v>3276</v>
      </c>
      <c r="C803" s="250" t="s">
        <v>3276</v>
      </c>
      <c r="D803" s="250" t="s">
        <v>1039</v>
      </c>
      <c r="E803" s="373">
        <v>2.7949999999999999</v>
      </c>
      <c r="F803" s="250">
        <v>20</v>
      </c>
      <c r="G803" s="250" t="s">
        <v>3813</v>
      </c>
      <c r="H803" s="250" t="s">
        <v>963</v>
      </c>
      <c r="I803" s="250" t="s">
        <v>1026</v>
      </c>
      <c r="J803" s="351">
        <v>6010230849650</v>
      </c>
      <c r="K803" s="352">
        <v>45209</v>
      </c>
      <c r="L803" s="250"/>
      <c r="M803" s="352"/>
      <c r="N803" s="250"/>
      <c r="O803" s="250"/>
      <c r="P803" s="250"/>
      <c r="Q803" s="250"/>
      <c r="R803" s="351"/>
      <c r="S803" s="352"/>
      <c r="T803" s="250"/>
      <c r="U803" s="250"/>
      <c r="V803" s="250"/>
      <c r="W803" s="250"/>
      <c r="X803" s="70"/>
    </row>
    <row r="804" spans="1:24" ht="18" customHeight="1" x14ac:dyDescent="0.25">
      <c r="A804" s="30">
        <v>33</v>
      </c>
      <c r="B804" s="250" t="s">
        <v>3942</v>
      </c>
      <c r="C804" s="250" t="s">
        <v>3943</v>
      </c>
      <c r="D804" s="250" t="s">
        <v>1029</v>
      </c>
      <c r="E804" s="373">
        <v>1.0669999999999999</v>
      </c>
      <c r="F804" s="250">
        <v>20</v>
      </c>
      <c r="G804" s="250" t="s">
        <v>3944</v>
      </c>
      <c r="H804" s="250" t="s">
        <v>964</v>
      </c>
      <c r="I804" s="250" t="s">
        <v>1026</v>
      </c>
      <c r="J804" s="351">
        <v>6040231020923</v>
      </c>
      <c r="K804" s="352">
        <v>45218</v>
      </c>
      <c r="L804" s="250"/>
      <c r="M804" s="352"/>
      <c r="N804" s="250"/>
      <c r="O804" s="250" t="s">
        <v>25</v>
      </c>
      <c r="P804" s="250" t="s">
        <v>25</v>
      </c>
      <c r="Q804" s="250" t="s">
        <v>25</v>
      </c>
      <c r="R804" s="351"/>
      <c r="S804" s="352"/>
      <c r="T804" s="250"/>
      <c r="U804" s="250"/>
      <c r="V804" s="250"/>
      <c r="W804" s="250"/>
      <c r="X804" s="70"/>
    </row>
    <row r="805" spans="1:24" ht="18" customHeight="1" x14ac:dyDescent="0.25">
      <c r="A805" s="30">
        <v>34</v>
      </c>
      <c r="B805" s="250" t="s">
        <v>3945</v>
      </c>
      <c r="C805" s="250" t="s">
        <v>3946</v>
      </c>
      <c r="D805" s="250" t="s">
        <v>1045</v>
      </c>
      <c r="E805" s="373">
        <v>1</v>
      </c>
      <c r="F805" s="250">
        <v>20</v>
      </c>
      <c r="G805" s="250" t="s">
        <v>3947</v>
      </c>
      <c r="H805" s="250" t="s">
        <v>963</v>
      </c>
      <c r="I805" s="250" t="s">
        <v>1026</v>
      </c>
      <c r="J805" s="351">
        <v>6020230933693</v>
      </c>
      <c r="K805" s="352">
        <v>45244</v>
      </c>
      <c r="L805" s="250"/>
      <c r="M805" s="352"/>
      <c r="N805" s="250"/>
      <c r="O805" s="250" t="s">
        <v>25</v>
      </c>
      <c r="P805" s="250" t="s">
        <v>25</v>
      </c>
      <c r="Q805" s="250" t="s">
        <v>25</v>
      </c>
      <c r="R805" s="351"/>
      <c r="S805" s="352"/>
      <c r="T805" s="250"/>
      <c r="U805" s="250"/>
      <c r="V805" s="250"/>
      <c r="W805" s="250"/>
      <c r="X805" s="70"/>
    </row>
    <row r="806" spans="1:24" ht="18" customHeight="1" x14ac:dyDescent="0.25">
      <c r="A806" s="30">
        <v>35</v>
      </c>
      <c r="B806" s="250" t="s">
        <v>4047</v>
      </c>
      <c r="C806" s="250" t="s">
        <v>3943</v>
      </c>
      <c r="D806" s="250" t="s">
        <v>1029</v>
      </c>
      <c r="E806" s="373">
        <v>1.125</v>
      </c>
      <c r="F806" s="250">
        <v>20</v>
      </c>
      <c r="G806" s="250" t="s">
        <v>4048</v>
      </c>
      <c r="H806" s="250" t="s">
        <v>963</v>
      </c>
      <c r="I806" s="250" t="s">
        <v>1026</v>
      </c>
      <c r="J806" s="351">
        <v>6040230920796</v>
      </c>
      <c r="K806" s="352">
        <v>45264</v>
      </c>
      <c r="L806" s="250" t="s">
        <v>5322</v>
      </c>
      <c r="M806" s="352">
        <v>45458</v>
      </c>
      <c r="N806" s="250"/>
      <c r="O806" s="250"/>
      <c r="P806" s="250"/>
      <c r="Q806" s="250"/>
      <c r="R806" s="351"/>
      <c r="S806" s="352"/>
      <c r="T806" s="250"/>
      <c r="U806" s="250"/>
      <c r="V806" s="250"/>
      <c r="W806" s="250"/>
      <c r="X806" s="70"/>
    </row>
    <row r="807" spans="1:24" ht="18" customHeight="1" x14ac:dyDescent="0.25">
      <c r="A807" s="30">
        <v>36</v>
      </c>
      <c r="B807" s="250" t="s">
        <v>4143</v>
      </c>
      <c r="C807" s="250" t="s">
        <v>4144</v>
      </c>
      <c r="D807" s="250" t="s">
        <v>1038</v>
      </c>
      <c r="E807" s="350">
        <v>4.9800000000000004</v>
      </c>
      <c r="F807" s="250">
        <v>20</v>
      </c>
      <c r="G807" s="250" t="s">
        <v>4145</v>
      </c>
      <c r="H807" s="250" t="s">
        <v>963</v>
      </c>
      <c r="I807" s="250" t="s">
        <v>1026</v>
      </c>
      <c r="J807" s="351">
        <v>6030230120018</v>
      </c>
      <c r="K807" s="352">
        <v>45267</v>
      </c>
      <c r="L807" s="250"/>
      <c r="M807" s="352"/>
      <c r="N807" s="250"/>
      <c r="O807" s="250"/>
      <c r="P807" s="250"/>
      <c r="Q807" s="250"/>
      <c r="R807" s="351"/>
      <c r="S807" s="352"/>
      <c r="T807" s="250"/>
      <c r="U807" s="250"/>
      <c r="V807" s="250"/>
      <c r="W807" s="250"/>
      <c r="X807" s="70"/>
    </row>
    <row r="808" spans="1:24" ht="18" customHeight="1" x14ac:dyDescent="0.25">
      <c r="A808" s="30">
        <v>37</v>
      </c>
      <c r="B808" s="250" t="s">
        <v>4143</v>
      </c>
      <c r="C808" s="250" t="s">
        <v>4146</v>
      </c>
      <c r="D808" s="250" t="s">
        <v>1038</v>
      </c>
      <c r="E808" s="350">
        <v>4.9800000000000004</v>
      </c>
      <c r="F808" s="250">
        <v>20</v>
      </c>
      <c r="G808" s="250" t="s">
        <v>4147</v>
      </c>
      <c r="H808" s="250" t="s">
        <v>963</v>
      </c>
      <c r="I808" s="250" t="s">
        <v>1026</v>
      </c>
      <c r="J808" s="351">
        <v>6030230120080</v>
      </c>
      <c r="K808" s="352">
        <v>45267</v>
      </c>
      <c r="L808" s="250"/>
      <c r="M808" s="352"/>
      <c r="N808" s="250"/>
      <c r="O808" s="250"/>
      <c r="P808" s="250"/>
      <c r="Q808" s="250"/>
      <c r="R808" s="351"/>
      <c r="S808" s="352"/>
      <c r="T808" s="250"/>
      <c r="U808" s="250"/>
      <c r="V808" s="250"/>
      <c r="W808" s="250"/>
      <c r="X808" s="70"/>
    </row>
    <row r="809" spans="1:24" ht="18" customHeight="1" x14ac:dyDescent="0.25">
      <c r="A809" s="30">
        <v>38</v>
      </c>
      <c r="B809" s="250" t="s">
        <v>4274</v>
      </c>
      <c r="C809" s="250" t="s">
        <v>4275</v>
      </c>
      <c r="D809" s="250" t="s">
        <v>1033</v>
      </c>
      <c r="E809" s="373">
        <v>7.82</v>
      </c>
      <c r="F809" s="250">
        <v>20</v>
      </c>
      <c r="G809" s="250" t="s">
        <v>4276</v>
      </c>
      <c r="H809" s="250" t="s">
        <v>964</v>
      </c>
      <c r="I809" s="250" t="s">
        <v>1026</v>
      </c>
      <c r="J809" s="351">
        <v>6050230311969</v>
      </c>
      <c r="K809" s="352">
        <v>45279</v>
      </c>
      <c r="L809" s="250" t="s">
        <v>5323</v>
      </c>
      <c r="M809" s="352">
        <v>45446</v>
      </c>
      <c r="N809" s="250"/>
      <c r="O809" s="250"/>
      <c r="P809" s="250"/>
      <c r="Q809" s="250"/>
      <c r="R809" s="351"/>
      <c r="S809" s="352"/>
      <c r="T809" s="250"/>
      <c r="U809" s="250"/>
      <c r="V809" s="250"/>
      <c r="W809" s="250"/>
      <c r="X809" s="70"/>
    </row>
    <row r="810" spans="1:24" ht="18" customHeight="1" x14ac:dyDescent="0.25">
      <c r="A810" s="30">
        <v>39</v>
      </c>
      <c r="B810" s="250" t="s">
        <v>1056</v>
      </c>
      <c r="C810" s="250" t="s">
        <v>1828</v>
      </c>
      <c r="D810" s="250" t="s">
        <v>1039</v>
      </c>
      <c r="E810" s="350">
        <v>10.130000000000001</v>
      </c>
      <c r="F810" s="250">
        <v>20</v>
      </c>
      <c r="G810" s="250" t="s">
        <v>4628</v>
      </c>
      <c r="H810" s="250" t="s">
        <v>963</v>
      </c>
      <c r="I810" s="250" t="s">
        <v>1026</v>
      </c>
      <c r="J810" s="351">
        <v>6010221134415</v>
      </c>
      <c r="K810" s="352">
        <v>45303</v>
      </c>
      <c r="L810" s="250"/>
      <c r="M810" s="352"/>
      <c r="N810" s="250"/>
      <c r="O810" s="250"/>
      <c r="P810" s="250"/>
      <c r="Q810" s="250"/>
      <c r="R810" s="351"/>
      <c r="S810" s="352"/>
      <c r="T810" s="250"/>
      <c r="U810" s="250"/>
      <c r="V810" s="250"/>
      <c r="W810" s="250"/>
      <c r="X810" s="70"/>
    </row>
    <row r="811" spans="1:24" ht="18" customHeight="1" x14ac:dyDescent="0.25">
      <c r="A811" s="30">
        <v>40</v>
      </c>
      <c r="B811" s="250" t="s">
        <v>4629</v>
      </c>
      <c r="C811" s="250" t="s">
        <v>2558</v>
      </c>
      <c r="D811" s="250" t="s">
        <v>1045</v>
      </c>
      <c r="E811" s="350">
        <v>2</v>
      </c>
      <c r="F811" s="250">
        <v>20</v>
      </c>
      <c r="G811" s="250" t="s">
        <v>4630</v>
      </c>
      <c r="H811" s="250" t="s">
        <v>964</v>
      </c>
      <c r="I811" s="250" t="s">
        <v>1026</v>
      </c>
      <c r="J811" s="351">
        <v>6020230831855</v>
      </c>
      <c r="K811" s="352">
        <v>45320</v>
      </c>
      <c r="L811" s="250"/>
      <c r="M811" s="352"/>
      <c r="N811" s="250"/>
      <c r="O811" s="250"/>
      <c r="P811" s="250"/>
      <c r="Q811" s="250"/>
      <c r="R811" s="351"/>
      <c r="S811" s="352"/>
      <c r="T811" s="250"/>
      <c r="U811" s="250"/>
      <c r="V811" s="250"/>
      <c r="W811" s="250"/>
      <c r="X811" s="70"/>
    </row>
    <row r="812" spans="1:24" ht="18" customHeight="1" x14ac:dyDescent="0.25">
      <c r="A812" s="30">
        <v>41</v>
      </c>
      <c r="B812" s="250" t="s">
        <v>3942</v>
      </c>
      <c r="C812" s="250" t="s">
        <v>3943</v>
      </c>
      <c r="D812" s="250" t="s">
        <v>1029</v>
      </c>
      <c r="E812" s="350">
        <v>1.0660000000000001</v>
      </c>
      <c r="F812" s="250">
        <v>20</v>
      </c>
      <c r="G812" s="250" t="s">
        <v>4631</v>
      </c>
      <c r="H812" s="250" t="s">
        <v>963</v>
      </c>
      <c r="I812" s="250" t="s">
        <v>1026</v>
      </c>
      <c r="J812" s="351">
        <v>6040231121954</v>
      </c>
      <c r="K812" s="352">
        <v>45323</v>
      </c>
      <c r="L812" s="250"/>
      <c r="M812" s="352"/>
      <c r="N812" s="250"/>
      <c r="O812" s="250"/>
      <c r="P812" s="250"/>
      <c r="Q812" s="250"/>
      <c r="R812" s="351"/>
      <c r="S812" s="352"/>
      <c r="T812" s="250"/>
      <c r="U812" s="250"/>
      <c r="V812" s="250"/>
      <c r="W812" s="250"/>
      <c r="X812" s="70"/>
    </row>
    <row r="813" spans="1:24" ht="18" customHeight="1" x14ac:dyDescent="0.25">
      <c r="A813" s="30">
        <v>42</v>
      </c>
      <c r="B813" s="250" t="s">
        <v>2198</v>
      </c>
      <c r="C813" s="250" t="s">
        <v>2199</v>
      </c>
      <c r="D813" s="250" t="s">
        <v>1039</v>
      </c>
      <c r="E813" s="373">
        <v>2.4</v>
      </c>
      <c r="F813" s="250">
        <v>20</v>
      </c>
      <c r="G813" s="250" t="s">
        <v>4632</v>
      </c>
      <c r="H813" s="250" t="s">
        <v>963</v>
      </c>
      <c r="I813" s="250" t="s">
        <v>1026</v>
      </c>
      <c r="J813" s="351">
        <v>6010240100436</v>
      </c>
      <c r="K813" s="352">
        <v>45348</v>
      </c>
      <c r="L813" s="250"/>
      <c r="M813" s="352"/>
      <c r="N813" s="250"/>
      <c r="O813" s="250"/>
      <c r="P813" s="250"/>
      <c r="Q813" s="250"/>
      <c r="R813" s="351"/>
      <c r="S813" s="352"/>
      <c r="T813" s="250"/>
      <c r="U813" s="250"/>
      <c r="V813" s="250"/>
      <c r="W813" s="250"/>
      <c r="X813" s="70"/>
    </row>
    <row r="814" spans="1:24" ht="18" customHeight="1" x14ac:dyDescent="0.25">
      <c r="A814" s="30">
        <v>43</v>
      </c>
      <c r="B814" s="250" t="s">
        <v>4721</v>
      </c>
      <c r="C814" s="250" t="s">
        <v>1828</v>
      </c>
      <c r="D814" s="250" t="s">
        <v>1039</v>
      </c>
      <c r="E814" s="373">
        <v>1.1819999999999999</v>
      </c>
      <c r="F814" s="250">
        <v>20</v>
      </c>
      <c r="G814" s="250" t="s">
        <v>4722</v>
      </c>
      <c r="H814" s="250" t="s">
        <v>964</v>
      </c>
      <c r="I814" s="250" t="s">
        <v>1026</v>
      </c>
      <c r="J814" s="351">
        <v>6010230951071</v>
      </c>
      <c r="K814" s="352">
        <v>45364</v>
      </c>
      <c r="L814" s="250"/>
      <c r="M814" s="352"/>
      <c r="N814" s="250"/>
      <c r="O814" s="250"/>
      <c r="P814" s="250"/>
      <c r="Q814" s="250"/>
      <c r="R814" s="351"/>
      <c r="S814" s="352"/>
      <c r="T814" s="250"/>
      <c r="U814" s="250"/>
      <c r="V814" s="250"/>
      <c r="W814" s="250"/>
      <c r="X814" s="70"/>
    </row>
    <row r="815" spans="1:24" ht="18" customHeight="1" x14ac:dyDescent="0.25">
      <c r="A815" s="30">
        <v>44</v>
      </c>
      <c r="B815" s="250" t="s">
        <v>4723</v>
      </c>
      <c r="C815" s="250" t="s">
        <v>4724</v>
      </c>
      <c r="D815" s="250" t="s">
        <v>1045</v>
      </c>
      <c r="E815" s="373">
        <v>1</v>
      </c>
      <c r="F815" s="250">
        <v>20</v>
      </c>
      <c r="G815" s="250" t="s">
        <v>4725</v>
      </c>
      <c r="H815" s="250" t="s">
        <v>963</v>
      </c>
      <c r="I815" s="250" t="s">
        <v>1026</v>
      </c>
      <c r="J815" s="351">
        <v>6020231236554</v>
      </c>
      <c r="K815" s="352">
        <v>45279</v>
      </c>
      <c r="L815" s="250" t="s">
        <v>4726</v>
      </c>
      <c r="M815" s="352">
        <v>45378</v>
      </c>
      <c r="N815" s="250"/>
      <c r="O815" s="250"/>
      <c r="P815" s="250"/>
      <c r="Q815" s="250"/>
      <c r="R815" s="351"/>
      <c r="S815" s="352"/>
      <c r="T815" s="250"/>
      <c r="U815" s="250"/>
      <c r="V815" s="250"/>
      <c r="W815" s="250"/>
      <c r="X815" s="70"/>
    </row>
    <row r="816" spans="1:24" ht="18" customHeight="1" x14ac:dyDescent="0.25">
      <c r="A816" s="75">
        <v>45</v>
      </c>
      <c r="B816" s="250" t="s">
        <v>2560</v>
      </c>
      <c r="C816" s="250" t="s">
        <v>1828</v>
      </c>
      <c r="D816" s="250" t="s">
        <v>1039</v>
      </c>
      <c r="E816" s="350">
        <v>1.675</v>
      </c>
      <c r="F816" s="250">
        <v>10</v>
      </c>
      <c r="G816" s="250" t="s">
        <v>4886</v>
      </c>
      <c r="H816" s="250" t="s">
        <v>964</v>
      </c>
      <c r="I816" s="250" t="s">
        <v>1026</v>
      </c>
      <c r="J816" s="351">
        <v>6010240303653</v>
      </c>
      <c r="K816" s="352">
        <v>45383</v>
      </c>
      <c r="L816" s="250" t="s">
        <v>5321</v>
      </c>
      <c r="M816" s="352">
        <v>45421</v>
      </c>
      <c r="N816" s="250"/>
      <c r="O816" s="250"/>
      <c r="P816" s="250"/>
      <c r="Q816" s="250"/>
      <c r="R816" s="351"/>
      <c r="S816" s="352"/>
      <c r="T816" s="250"/>
      <c r="U816" s="250"/>
      <c r="V816" s="250"/>
      <c r="W816" s="250"/>
      <c r="X816" s="70"/>
    </row>
    <row r="817" spans="1:24" ht="18" customHeight="1" x14ac:dyDescent="0.25">
      <c r="A817" s="75">
        <v>46</v>
      </c>
      <c r="B817" s="250" t="s">
        <v>5017</v>
      </c>
      <c r="C817" s="250" t="s">
        <v>5018</v>
      </c>
      <c r="D817" s="250" t="s">
        <v>1045</v>
      </c>
      <c r="E817" s="373">
        <v>4.923</v>
      </c>
      <c r="F817" s="250">
        <v>20</v>
      </c>
      <c r="G817" s="250" t="s">
        <v>5019</v>
      </c>
      <c r="H817" s="250" t="s">
        <v>1830</v>
      </c>
      <c r="I817" s="250" t="s">
        <v>1026</v>
      </c>
      <c r="J817" s="351">
        <v>6020231034841</v>
      </c>
      <c r="K817" s="352">
        <v>45397</v>
      </c>
      <c r="L817" s="250" t="s">
        <v>5020</v>
      </c>
      <c r="M817" s="352">
        <v>45463</v>
      </c>
      <c r="N817" s="250"/>
      <c r="O817" s="250"/>
      <c r="P817" s="250"/>
      <c r="Q817" s="250"/>
      <c r="R817" s="351"/>
      <c r="S817" s="352"/>
      <c r="T817" s="250"/>
      <c r="U817" s="250"/>
      <c r="V817" s="250"/>
      <c r="W817" s="250"/>
      <c r="X817" s="70"/>
    </row>
    <row r="818" spans="1:24" ht="18" customHeight="1" x14ac:dyDescent="0.25">
      <c r="A818" s="75">
        <v>47</v>
      </c>
      <c r="B818" s="250" t="s">
        <v>5021</v>
      </c>
      <c r="C818" s="250" t="s">
        <v>5022</v>
      </c>
      <c r="D818" s="250" t="s">
        <v>4876</v>
      </c>
      <c r="E818" s="350">
        <v>1.29</v>
      </c>
      <c r="F818" s="250">
        <v>20</v>
      </c>
      <c r="G818" s="250" t="s">
        <v>5023</v>
      </c>
      <c r="H818" s="250" t="s">
        <v>964</v>
      </c>
      <c r="I818" s="250" t="s">
        <v>1026</v>
      </c>
      <c r="J818" s="351">
        <v>6030240503606</v>
      </c>
      <c r="K818" s="352">
        <v>45461</v>
      </c>
      <c r="L818" s="250"/>
      <c r="M818" s="352"/>
      <c r="N818" s="250"/>
      <c r="O818" s="250"/>
      <c r="P818" s="250"/>
      <c r="Q818" s="250"/>
      <c r="R818" s="351"/>
      <c r="S818" s="352"/>
      <c r="T818" s="250"/>
      <c r="U818" s="250"/>
      <c r="V818" s="250"/>
      <c r="W818" s="250"/>
      <c r="X818" s="70"/>
    </row>
    <row r="819" spans="1:24" ht="18" customHeight="1" x14ac:dyDescent="0.25">
      <c r="A819" s="75">
        <v>48</v>
      </c>
      <c r="B819" s="250" t="s">
        <v>5024</v>
      </c>
      <c r="C819" s="250" t="s">
        <v>2807</v>
      </c>
      <c r="D819" s="250" t="s">
        <v>1039</v>
      </c>
      <c r="E819" s="350">
        <v>14.9</v>
      </c>
      <c r="F819" s="250">
        <v>110</v>
      </c>
      <c r="G819" s="250" t="s">
        <v>5025</v>
      </c>
      <c r="H819" s="250" t="s">
        <v>963</v>
      </c>
      <c r="I819" s="250" t="s">
        <v>1026</v>
      </c>
      <c r="J819" s="351">
        <v>6010230340893</v>
      </c>
      <c r="K819" s="352">
        <v>45449</v>
      </c>
      <c r="L819" s="250"/>
      <c r="M819" s="352"/>
      <c r="N819" s="250"/>
      <c r="O819" s="250"/>
      <c r="P819" s="250"/>
      <c r="Q819" s="250"/>
      <c r="R819" s="351"/>
      <c r="S819" s="352"/>
      <c r="T819" s="250"/>
      <c r="U819" s="250"/>
      <c r="V819" s="250"/>
      <c r="W819" s="250"/>
      <c r="X819" s="70"/>
    </row>
    <row r="820" spans="1:24" ht="18" customHeight="1" x14ac:dyDescent="0.25">
      <c r="A820" s="75">
        <v>49</v>
      </c>
      <c r="B820" s="250" t="s">
        <v>5314</v>
      </c>
      <c r="C820" s="250" t="s">
        <v>2466</v>
      </c>
      <c r="D820" s="250" t="s">
        <v>1038</v>
      </c>
      <c r="E820" s="350">
        <v>1.88</v>
      </c>
      <c r="F820" s="250">
        <v>20</v>
      </c>
      <c r="G820" s="250" t="s">
        <v>5315</v>
      </c>
      <c r="H820" s="250" t="s">
        <v>964</v>
      </c>
      <c r="I820" s="250" t="s">
        <v>1026</v>
      </c>
      <c r="J820" s="351">
        <v>6030240503671</v>
      </c>
      <c r="K820" s="352">
        <v>45497</v>
      </c>
      <c r="L820" s="250"/>
      <c r="M820" s="250"/>
      <c r="N820" s="250"/>
      <c r="O820" s="250"/>
      <c r="P820" s="250"/>
      <c r="Q820" s="250"/>
      <c r="R820" s="351"/>
      <c r="S820" s="352"/>
      <c r="T820" s="250"/>
      <c r="U820" s="250"/>
      <c r="V820" s="250"/>
      <c r="W820" s="250"/>
      <c r="X820" s="70"/>
    </row>
    <row r="821" spans="1:24" ht="18" customHeight="1" x14ac:dyDescent="0.25">
      <c r="A821" s="75">
        <v>50</v>
      </c>
      <c r="B821" s="250" t="s">
        <v>5316</v>
      </c>
      <c r="C821" s="250" t="s">
        <v>1828</v>
      </c>
      <c r="D821" s="250" t="s">
        <v>1039</v>
      </c>
      <c r="E821" s="350">
        <v>1</v>
      </c>
      <c r="F821" s="250">
        <v>10</v>
      </c>
      <c r="G821" s="250" t="s">
        <v>5317</v>
      </c>
      <c r="H821" s="250" t="s">
        <v>963</v>
      </c>
      <c r="I821" s="250" t="s">
        <v>1026</v>
      </c>
      <c r="J821" s="351">
        <v>6010230949900</v>
      </c>
      <c r="K821" s="352">
        <v>45499</v>
      </c>
      <c r="L821" s="250"/>
      <c r="M821" s="250"/>
      <c r="N821" s="250"/>
      <c r="O821" s="250"/>
      <c r="P821" s="250"/>
      <c r="Q821" s="250"/>
      <c r="R821" s="351"/>
      <c r="S821" s="352"/>
      <c r="T821" s="250"/>
      <c r="U821" s="250"/>
      <c r="V821" s="250"/>
      <c r="W821" s="250"/>
      <c r="X821" s="70"/>
    </row>
    <row r="822" spans="1:24" ht="18" customHeight="1" x14ac:dyDescent="0.25">
      <c r="A822" s="75">
        <v>51</v>
      </c>
      <c r="B822" s="250" t="s">
        <v>5318</v>
      </c>
      <c r="C822" s="250" t="s">
        <v>2558</v>
      </c>
      <c r="D822" s="250" t="s">
        <v>1045</v>
      </c>
      <c r="E822" s="350">
        <v>35.200000000000003</v>
      </c>
      <c r="F822" s="250">
        <v>110</v>
      </c>
      <c r="G822" s="250" t="s">
        <v>5319</v>
      </c>
      <c r="H822" s="250" t="s">
        <v>963</v>
      </c>
      <c r="I822" s="250" t="s">
        <v>1026</v>
      </c>
      <c r="J822" s="351">
        <v>6020240201409</v>
      </c>
      <c r="K822" s="352">
        <v>45344</v>
      </c>
      <c r="L822" s="250" t="s">
        <v>5320</v>
      </c>
      <c r="M822" s="352">
        <v>45485</v>
      </c>
      <c r="N822" s="250"/>
      <c r="O822" s="250"/>
      <c r="P822" s="250"/>
      <c r="Q822" s="250"/>
      <c r="R822" s="351"/>
      <c r="S822" s="352"/>
      <c r="T822" s="250"/>
      <c r="U822" s="250"/>
      <c r="V822" s="250"/>
      <c r="W822" s="250"/>
      <c r="X822" s="70"/>
    </row>
    <row r="823" spans="1:24" ht="18" customHeight="1" x14ac:dyDescent="0.25">
      <c r="A823" s="75">
        <v>52</v>
      </c>
      <c r="B823" s="250" t="s">
        <v>5598</v>
      </c>
      <c r="C823" s="250" t="s">
        <v>5599</v>
      </c>
      <c r="D823" s="250" t="s">
        <v>1033</v>
      </c>
      <c r="E823" s="250">
        <v>1</v>
      </c>
      <c r="F823" s="250">
        <v>20</v>
      </c>
      <c r="G823" s="250" t="s">
        <v>5600</v>
      </c>
      <c r="H823" s="250" t="s">
        <v>964</v>
      </c>
      <c r="I823" s="250" t="s">
        <v>1026</v>
      </c>
      <c r="J823" s="351">
        <v>6050240804527</v>
      </c>
      <c r="K823" s="352">
        <v>45533</v>
      </c>
      <c r="L823" s="250"/>
      <c r="M823" s="250"/>
      <c r="N823" s="250"/>
      <c r="O823" s="250"/>
      <c r="P823" s="250"/>
      <c r="Q823" s="250"/>
      <c r="R823" s="250"/>
      <c r="S823" s="250"/>
      <c r="T823" s="250"/>
      <c r="U823" s="250"/>
      <c r="V823" s="250"/>
      <c r="W823" s="250"/>
      <c r="X823" s="70"/>
    </row>
    <row r="824" spans="1:24" ht="18" customHeight="1" x14ac:dyDescent="0.25">
      <c r="A824" s="75">
        <v>53</v>
      </c>
      <c r="B824" s="250" t="s">
        <v>5711</v>
      </c>
      <c r="C824" s="250" t="s">
        <v>5712</v>
      </c>
      <c r="D824" s="250" t="s">
        <v>1039</v>
      </c>
      <c r="E824" s="350">
        <v>6</v>
      </c>
      <c r="F824" s="250">
        <v>20</v>
      </c>
      <c r="G824" s="250" t="s">
        <v>5713</v>
      </c>
      <c r="H824" s="250" t="s">
        <v>963</v>
      </c>
      <c r="I824" s="250" t="s">
        <v>1026</v>
      </c>
      <c r="J824" s="351">
        <v>6010240303195</v>
      </c>
      <c r="K824" s="352">
        <v>45531</v>
      </c>
      <c r="L824" s="250" t="s">
        <v>5714</v>
      </c>
      <c r="M824" s="352">
        <v>45548</v>
      </c>
      <c r="N824" s="250"/>
      <c r="O824" s="250"/>
      <c r="P824" s="250"/>
      <c r="Q824" s="250"/>
      <c r="R824" s="250"/>
      <c r="S824" s="250"/>
      <c r="T824" s="250"/>
      <c r="U824" s="250"/>
      <c r="V824" s="250"/>
      <c r="W824" s="250"/>
      <c r="X824" s="70"/>
    </row>
    <row r="825" spans="1:24" ht="18" customHeight="1" x14ac:dyDescent="0.25">
      <c r="A825" s="74">
        <v>54</v>
      </c>
      <c r="B825" s="250" t="s">
        <v>4926</v>
      </c>
      <c r="C825" s="250" t="s">
        <v>5871</v>
      </c>
      <c r="D825" s="250" t="s">
        <v>1039</v>
      </c>
      <c r="E825" s="250">
        <v>1.1499999999999999</v>
      </c>
      <c r="F825" s="250">
        <v>20</v>
      </c>
      <c r="G825" s="250" t="s">
        <v>5872</v>
      </c>
      <c r="H825" s="250" t="s">
        <v>963</v>
      </c>
      <c r="I825" s="250" t="s">
        <v>1026</v>
      </c>
      <c r="J825" s="351">
        <v>6010240201901</v>
      </c>
      <c r="K825" s="352">
        <v>45568</v>
      </c>
      <c r="L825" s="250"/>
      <c r="M825" s="250"/>
      <c r="N825" s="250"/>
      <c r="O825" s="250"/>
      <c r="P825" s="250"/>
      <c r="Q825" s="250"/>
      <c r="R825" s="250"/>
      <c r="S825" s="250"/>
      <c r="T825" s="250"/>
      <c r="U825" s="250"/>
      <c r="V825" s="250"/>
      <c r="W825" s="250"/>
      <c r="X825" s="70"/>
    </row>
    <row r="826" spans="1:24" ht="18" customHeight="1" x14ac:dyDescent="0.25">
      <c r="A826" s="75">
        <v>55</v>
      </c>
      <c r="B826" s="647" t="s">
        <v>5975</v>
      </c>
      <c r="C826" s="250" t="s">
        <v>5976</v>
      </c>
      <c r="D826" s="250" t="s">
        <v>4712</v>
      </c>
      <c r="E826" s="350">
        <v>3.15</v>
      </c>
      <c r="F826" s="250">
        <v>20</v>
      </c>
      <c r="G826" s="250" t="s">
        <v>5977</v>
      </c>
      <c r="H826" s="250" t="s">
        <v>964</v>
      </c>
      <c r="I826" s="250" t="s">
        <v>1026</v>
      </c>
      <c r="J826" s="351">
        <v>6040240200556</v>
      </c>
      <c r="K826" s="352">
        <v>45623</v>
      </c>
      <c r="L826" s="250"/>
      <c r="M826" s="250"/>
      <c r="N826" s="250"/>
      <c r="O826" s="250"/>
      <c r="P826" s="250"/>
      <c r="Q826" s="250"/>
      <c r="R826" s="250"/>
      <c r="S826" s="250"/>
      <c r="T826" s="250"/>
      <c r="U826" s="250"/>
      <c r="V826" s="250"/>
      <c r="W826" s="250"/>
      <c r="X826" s="70"/>
    </row>
    <row r="827" spans="1:24" ht="18" customHeight="1" x14ac:dyDescent="0.25">
      <c r="A827" s="74">
        <v>56</v>
      </c>
      <c r="B827" s="647" t="s">
        <v>3276</v>
      </c>
      <c r="C827" s="250" t="s">
        <v>1828</v>
      </c>
      <c r="D827" s="250" t="s">
        <v>5705</v>
      </c>
      <c r="E827" s="350">
        <v>9.39</v>
      </c>
      <c r="F827" s="250">
        <v>20</v>
      </c>
      <c r="G827" s="250" t="s">
        <v>5978</v>
      </c>
      <c r="H827" s="250" t="s">
        <v>963</v>
      </c>
      <c r="I827" s="250" t="s">
        <v>1026</v>
      </c>
      <c r="J827" s="351">
        <v>6010240812053</v>
      </c>
      <c r="K827" s="352">
        <v>45580</v>
      </c>
      <c r="L827" s="250"/>
      <c r="M827" s="250"/>
      <c r="N827" s="250"/>
      <c r="O827" s="250"/>
      <c r="P827" s="250"/>
      <c r="Q827" s="250"/>
      <c r="R827" s="250"/>
      <c r="S827" s="250"/>
      <c r="T827" s="250"/>
      <c r="U827" s="250"/>
      <c r="V827" s="250"/>
      <c r="W827" s="250"/>
      <c r="X827" s="70"/>
    </row>
    <row r="828" spans="1:24" ht="18" customHeight="1" x14ac:dyDescent="0.25">
      <c r="A828" s="75">
        <v>57</v>
      </c>
      <c r="B828" s="647" t="s">
        <v>3276</v>
      </c>
      <c r="C828" s="250" t="s">
        <v>1828</v>
      </c>
      <c r="D828" s="250" t="s">
        <v>5705</v>
      </c>
      <c r="E828" s="350">
        <v>5.3369999999999997</v>
      </c>
      <c r="F828" s="250">
        <v>20</v>
      </c>
      <c r="G828" s="250" t="s">
        <v>5979</v>
      </c>
      <c r="H828" s="250" t="s">
        <v>963</v>
      </c>
      <c r="I828" s="250" t="s">
        <v>1026</v>
      </c>
      <c r="J828" s="351">
        <v>6010240812055</v>
      </c>
      <c r="K828" s="352">
        <v>45580</v>
      </c>
      <c r="L828" s="250"/>
      <c r="M828" s="250"/>
      <c r="N828" s="250"/>
      <c r="O828" s="250"/>
      <c r="P828" s="250"/>
      <c r="Q828" s="250"/>
      <c r="R828" s="250"/>
      <c r="S828" s="250"/>
      <c r="T828" s="250"/>
      <c r="U828" s="250"/>
      <c r="V828" s="250"/>
      <c r="W828" s="250"/>
      <c r="X828" s="70"/>
    </row>
    <row r="829" spans="1:24" ht="18" customHeight="1" x14ac:dyDescent="0.25">
      <c r="A829" s="74">
        <v>58</v>
      </c>
      <c r="B829" s="647" t="s">
        <v>3276</v>
      </c>
      <c r="C829" s="250" t="s">
        <v>1828</v>
      </c>
      <c r="D829" s="250" t="s">
        <v>5705</v>
      </c>
      <c r="E829" s="350">
        <v>10.396000000000001</v>
      </c>
      <c r="F829" s="250">
        <v>20</v>
      </c>
      <c r="G829" s="250" t="s">
        <v>5980</v>
      </c>
      <c r="H829" s="250" t="s">
        <v>963</v>
      </c>
      <c r="I829" s="250" t="s">
        <v>1026</v>
      </c>
      <c r="J829" s="351">
        <v>6010240812056</v>
      </c>
      <c r="K829" s="352">
        <v>45581</v>
      </c>
      <c r="L829" s="250"/>
      <c r="M829" s="250"/>
      <c r="N829" s="250"/>
      <c r="O829" s="250"/>
      <c r="P829" s="250"/>
      <c r="Q829" s="250"/>
      <c r="R829" s="250"/>
      <c r="S829" s="250"/>
      <c r="T829" s="250"/>
      <c r="U829" s="250"/>
      <c r="V829" s="250"/>
      <c r="W829" s="250"/>
      <c r="X829" s="70"/>
    </row>
    <row r="830" spans="1:24" ht="18" customHeight="1" x14ac:dyDescent="0.25">
      <c r="A830" s="75">
        <v>59</v>
      </c>
      <c r="B830" s="647" t="s">
        <v>3276</v>
      </c>
      <c r="C830" s="250" t="s">
        <v>1828</v>
      </c>
      <c r="D830" s="250" t="s">
        <v>5705</v>
      </c>
      <c r="E830" s="350">
        <v>6.1340000000000003</v>
      </c>
      <c r="F830" s="250">
        <v>20</v>
      </c>
      <c r="G830" s="250" t="s">
        <v>5981</v>
      </c>
      <c r="H830" s="250" t="s">
        <v>963</v>
      </c>
      <c r="I830" s="250" t="s">
        <v>1026</v>
      </c>
      <c r="J830" s="351">
        <v>6010240812057</v>
      </c>
      <c r="K830" s="352">
        <v>45581</v>
      </c>
      <c r="L830" s="250"/>
      <c r="M830" s="250"/>
      <c r="N830" s="250"/>
      <c r="O830" s="250"/>
      <c r="P830" s="250"/>
      <c r="Q830" s="250"/>
      <c r="R830" s="250"/>
      <c r="S830" s="250"/>
      <c r="T830" s="250"/>
      <c r="U830" s="250"/>
      <c r="V830" s="250"/>
      <c r="W830" s="250"/>
      <c r="X830" s="70"/>
    </row>
    <row r="831" spans="1:24" ht="18" customHeight="1" x14ac:dyDescent="0.25">
      <c r="A831" s="74">
        <v>60</v>
      </c>
      <c r="B831" s="647" t="s">
        <v>3276</v>
      </c>
      <c r="C831" s="250" t="s">
        <v>1828</v>
      </c>
      <c r="D831" s="250" t="s">
        <v>5705</v>
      </c>
      <c r="E831" s="350">
        <v>5.3369999999999997</v>
      </c>
      <c r="F831" s="250">
        <v>20</v>
      </c>
      <c r="G831" s="250" t="s">
        <v>5982</v>
      </c>
      <c r="H831" s="250" t="s">
        <v>963</v>
      </c>
      <c r="I831" s="250" t="s">
        <v>1026</v>
      </c>
      <c r="J831" s="351">
        <v>6010240812059</v>
      </c>
      <c r="K831" s="352">
        <v>45581</v>
      </c>
      <c r="L831" s="250"/>
      <c r="M831" s="250"/>
      <c r="N831" s="250"/>
      <c r="O831" s="250"/>
      <c r="P831" s="250"/>
      <c r="Q831" s="250"/>
      <c r="R831" s="250"/>
      <c r="S831" s="250"/>
      <c r="T831" s="250"/>
      <c r="U831" s="250"/>
      <c r="V831" s="250"/>
      <c r="W831" s="250"/>
      <c r="X831" s="70"/>
    </row>
    <row r="832" spans="1:24" ht="18" customHeight="1" x14ac:dyDescent="0.25">
      <c r="A832" s="75">
        <v>61</v>
      </c>
      <c r="B832" s="647" t="s">
        <v>3942</v>
      </c>
      <c r="C832" s="250" t="s">
        <v>3943</v>
      </c>
      <c r="D832" s="250" t="s">
        <v>4712</v>
      </c>
      <c r="E832" s="350">
        <v>1.583</v>
      </c>
      <c r="F832" s="250">
        <v>20</v>
      </c>
      <c r="G832" s="250" t="s">
        <v>5983</v>
      </c>
      <c r="H832" s="250" t="s">
        <v>963</v>
      </c>
      <c r="I832" s="250" t="s">
        <v>1026</v>
      </c>
      <c r="J832" s="351">
        <v>6040241006663</v>
      </c>
      <c r="K832" s="352">
        <v>45611</v>
      </c>
      <c r="L832" s="250"/>
      <c r="M832" s="250"/>
      <c r="N832" s="250"/>
      <c r="O832" s="250"/>
      <c r="P832" s="250"/>
      <c r="Q832" s="250"/>
      <c r="R832" s="250"/>
      <c r="S832" s="250"/>
      <c r="T832" s="250"/>
      <c r="U832" s="250"/>
      <c r="V832" s="250"/>
      <c r="W832" s="250"/>
      <c r="X832" s="70"/>
    </row>
    <row r="833" spans="1:24" ht="18" customHeight="1" x14ac:dyDescent="0.25">
      <c r="A833" s="74">
        <v>62</v>
      </c>
      <c r="B833" s="647" t="s">
        <v>5984</v>
      </c>
      <c r="C833" s="250" t="s">
        <v>1828</v>
      </c>
      <c r="D833" s="250" t="s">
        <v>1039</v>
      </c>
      <c r="E833" s="350">
        <v>1.08</v>
      </c>
      <c r="F833" s="250">
        <v>10</v>
      </c>
      <c r="G833" s="250" t="s">
        <v>5985</v>
      </c>
      <c r="H833" s="250" t="s">
        <v>963</v>
      </c>
      <c r="I833" s="250" t="s">
        <v>1026</v>
      </c>
      <c r="J833" s="351">
        <v>6010241116314</v>
      </c>
      <c r="K833" s="352">
        <v>45621</v>
      </c>
      <c r="L833" s="250"/>
      <c r="M833" s="250"/>
      <c r="N833" s="250"/>
      <c r="O833" s="250"/>
      <c r="P833" s="250"/>
      <c r="Q833" s="250"/>
      <c r="R833" s="250"/>
      <c r="S833" s="250"/>
      <c r="T833" s="250"/>
      <c r="U833" s="250"/>
      <c r="V833" s="250"/>
      <c r="W833" s="250"/>
      <c r="X833" s="70"/>
    </row>
    <row r="834" spans="1:24" ht="21.75" customHeight="1" x14ac:dyDescent="0.25">
      <c r="B834" s="461"/>
      <c r="C834" s="461"/>
      <c r="D834" s="461"/>
      <c r="E834" s="461"/>
      <c r="F834" s="461"/>
      <c r="G834" s="461"/>
      <c r="H834" s="461"/>
      <c r="I834" s="461"/>
      <c r="J834" s="469"/>
      <c r="K834" s="465"/>
      <c r="L834" s="469"/>
      <c r="M834" s="465"/>
      <c r="N834" s="461"/>
      <c r="O834" s="461"/>
      <c r="P834" s="461"/>
      <c r="Q834" s="461"/>
      <c r="R834" s="462"/>
      <c r="S834" s="465"/>
      <c r="T834" s="461"/>
      <c r="U834" s="461"/>
      <c r="V834" s="461"/>
      <c r="W834" s="461"/>
    </row>
    <row r="835" spans="1:24" x14ac:dyDescent="0.25">
      <c r="A835" s="31">
        <v>1</v>
      </c>
      <c r="B835" s="31" t="s">
        <v>1114</v>
      </c>
      <c r="C835" s="31" t="s">
        <v>1090</v>
      </c>
      <c r="D835" s="31" t="s">
        <v>1090</v>
      </c>
      <c r="E835" s="31">
        <v>1.2</v>
      </c>
      <c r="F835" s="31">
        <v>20</v>
      </c>
      <c r="G835" s="31" t="s">
        <v>1115</v>
      </c>
      <c r="H835" s="31" t="s">
        <v>1116</v>
      </c>
      <c r="I835" s="31" t="s">
        <v>1075</v>
      </c>
      <c r="J835" s="216">
        <v>7010210100539</v>
      </c>
      <c r="K835" s="82" t="s">
        <v>1117</v>
      </c>
      <c r="L835" s="182"/>
      <c r="M835" s="82"/>
      <c r="N835" s="31"/>
      <c r="O835" s="31" t="s">
        <v>25</v>
      </c>
      <c r="P835" s="31" t="s">
        <v>25</v>
      </c>
      <c r="Q835" s="31" t="s">
        <v>25</v>
      </c>
      <c r="R835" s="81"/>
      <c r="S835" s="82"/>
      <c r="T835" s="31"/>
      <c r="U835" s="31"/>
      <c r="V835" s="31"/>
      <c r="W835" s="31"/>
    </row>
    <row r="836" spans="1:24" x14ac:dyDescent="0.25">
      <c r="A836" s="31">
        <v>2</v>
      </c>
      <c r="B836" s="31" t="s">
        <v>1118</v>
      </c>
      <c r="C836" s="31" t="s">
        <v>1119</v>
      </c>
      <c r="D836" s="31" t="s">
        <v>1100</v>
      </c>
      <c r="E836" s="31">
        <v>1.641</v>
      </c>
      <c r="F836" s="31">
        <v>20</v>
      </c>
      <c r="G836" s="31" t="s">
        <v>1120</v>
      </c>
      <c r="H836" s="31" t="s">
        <v>964</v>
      </c>
      <c r="I836" s="31" t="s">
        <v>1075</v>
      </c>
      <c r="J836" s="216">
        <v>7050210702603</v>
      </c>
      <c r="K836" s="82" t="s">
        <v>1040</v>
      </c>
      <c r="L836" s="182"/>
      <c r="M836" s="82"/>
      <c r="N836" s="31"/>
      <c r="O836" s="31" t="s">
        <v>25</v>
      </c>
      <c r="P836" s="31" t="s">
        <v>25</v>
      </c>
      <c r="Q836" s="31" t="s">
        <v>25</v>
      </c>
      <c r="R836" s="81"/>
      <c r="S836" s="82"/>
      <c r="T836" s="31"/>
      <c r="U836" s="31"/>
      <c r="V836" s="31"/>
      <c r="W836" s="31"/>
    </row>
    <row r="837" spans="1:24" x14ac:dyDescent="0.25">
      <c r="A837" s="31">
        <v>3</v>
      </c>
      <c r="B837" s="31" t="s">
        <v>1123</v>
      </c>
      <c r="C837" s="31" t="s">
        <v>1101</v>
      </c>
      <c r="D837" s="31" t="s">
        <v>1072</v>
      </c>
      <c r="E837" s="31">
        <v>1.1000000000000001</v>
      </c>
      <c r="F837" s="31">
        <v>20</v>
      </c>
      <c r="G837" s="31" t="s">
        <v>1124</v>
      </c>
      <c r="H837" s="31" t="s">
        <v>1125</v>
      </c>
      <c r="I837" s="31" t="s">
        <v>1075</v>
      </c>
      <c r="J837" s="216">
        <v>7020211107487</v>
      </c>
      <c r="K837" s="82" t="s">
        <v>1126</v>
      </c>
      <c r="L837" s="182"/>
      <c r="M837" s="82"/>
      <c r="N837" s="31"/>
      <c r="O837" s="31" t="s">
        <v>25</v>
      </c>
      <c r="P837" s="31" t="s">
        <v>25</v>
      </c>
      <c r="Q837" s="31" t="s">
        <v>25</v>
      </c>
      <c r="R837" s="81"/>
      <c r="S837" s="82"/>
      <c r="T837" s="31"/>
      <c r="U837" s="31"/>
      <c r="V837" s="31"/>
      <c r="W837" s="31"/>
    </row>
    <row r="838" spans="1:24" x14ac:dyDescent="0.25">
      <c r="A838" s="31">
        <v>4</v>
      </c>
      <c r="B838" s="31" t="s">
        <v>1127</v>
      </c>
      <c r="C838" s="31" t="s">
        <v>1128</v>
      </c>
      <c r="D838" s="31" t="s">
        <v>1090</v>
      </c>
      <c r="E838" s="31">
        <v>12</v>
      </c>
      <c r="F838" s="31">
        <v>110</v>
      </c>
      <c r="G838" s="31" t="s">
        <v>1129</v>
      </c>
      <c r="H838" s="31" t="s">
        <v>1130</v>
      </c>
      <c r="I838" s="31" t="s">
        <v>1075</v>
      </c>
      <c r="J838" s="216">
        <v>7010210200976</v>
      </c>
      <c r="K838" s="82" t="s">
        <v>965</v>
      </c>
      <c r="L838" s="182"/>
      <c r="M838" s="82"/>
      <c r="N838" s="31"/>
      <c r="O838" s="31" t="s">
        <v>25</v>
      </c>
      <c r="P838" s="31" t="s">
        <v>25</v>
      </c>
      <c r="Q838" s="31" t="s">
        <v>25</v>
      </c>
      <c r="R838" s="81"/>
      <c r="S838" s="82"/>
      <c r="T838" s="31"/>
      <c r="U838" s="31"/>
      <c r="V838" s="31"/>
      <c r="W838" s="31"/>
    </row>
    <row r="839" spans="1:24" x14ac:dyDescent="0.25">
      <c r="A839" s="31">
        <v>5</v>
      </c>
      <c r="B839" s="31" t="s">
        <v>1133</v>
      </c>
      <c r="C839" s="31" t="s">
        <v>129</v>
      </c>
      <c r="D839" s="31" t="s">
        <v>1090</v>
      </c>
      <c r="E839" s="31">
        <v>2</v>
      </c>
      <c r="F839" s="31">
        <v>6</v>
      </c>
      <c r="G839" s="31" t="s">
        <v>1134</v>
      </c>
      <c r="H839" s="31" t="s">
        <v>1135</v>
      </c>
      <c r="I839" s="31" t="s">
        <v>1075</v>
      </c>
      <c r="J839" s="216">
        <v>7010210201486</v>
      </c>
      <c r="K839" s="82" t="s">
        <v>1136</v>
      </c>
      <c r="L839" s="182"/>
      <c r="M839" s="82"/>
      <c r="N839" s="31"/>
      <c r="O839" s="31" t="s">
        <v>25</v>
      </c>
      <c r="P839" s="31" t="s">
        <v>25</v>
      </c>
      <c r="Q839" s="31" t="s">
        <v>25</v>
      </c>
      <c r="R839" s="81"/>
      <c r="S839" s="82"/>
      <c r="T839" s="31"/>
      <c r="U839" s="31"/>
      <c r="V839" s="31"/>
      <c r="W839" s="31"/>
    </row>
    <row r="840" spans="1:24" x14ac:dyDescent="0.25">
      <c r="A840" s="31">
        <v>6</v>
      </c>
      <c r="B840" s="31" t="s">
        <v>1137</v>
      </c>
      <c r="C840" s="31" t="s">
        <v>1138</v>
      </c>
      <c r="D840" s="31" t="s">
        <v>1090</v>
      </c>
      <c r="E840" s="31">
        <v>25.6</v>
      </c>
      <c r="F840" s="31">
        <v>110</v>
      </c>
      <c r="G840" s="31" t="s">
        <v>1139</v>
      </c>
      <c r="H840" s="31" t="s">
        <v>1140</v>
      </c>
      <c r="I840" s="31" t="s">
        <v>1075</v>
      </c>
      <c r="J840" s="216">
        <v>7010210301829</v>
      </c>
      <c r="K840" s="82" t="s">
        <v>918</v>
      </c>
      <c r="L840" s="182" t="s">
        <v>4104</v>
      </c>
      <c r="M840" s="82">
        <v>44980</v>
      </c>
      <c r="N840" s="31"/>
      <c r="O840" s="31" t="s">
        <v>25</v>
      </c>
      <c r="P840" s="31" t="s">
        <v>25</v>
      </c>
      <c r="Q840" s="31" t="s">
        <v>25</v>
      </c>
      <c r="R840" s="81"/>
      <c r="S840" s="82"/>
      <c r="T840" s="31"/>
      <c r="U840" s="31"/>
      <c r="V840" s="31"/>
      <c r="W840" s="31"/>
    </row>
    <row r="841" spans="1:24" x14ac:dyDescent="0.25">
      <c r="A841" s="31">
        <v>7</v>
      </c>
      <c r="B841" s="31" t="s">
        <v>1141</v>
      </c>
      <c r="C841" s="31" t="s">
        <v>1142</v>
      </c>
      <c r="D841" s="31" t="s">
        <v>1085</v>
      </c>
      <c r="E841" s="31">
        <v>1.9</v>
      </c>
      <c r="F841" s="31">
        <v>20</v>
      </c>
      <c r="G841" s="31" t="s">
        <v>1143</v>
      </c>
      <c r="H841" s="31" t="s">
        <v>964</v>
      </c>
      <c r="I841" s="31" t="s">
        <v>1075</v>
      </c>
      <c r="J841" s="216">
        <v>7030210301947</v>
      </c>
      <c r="K841" s="82" t="s">
        <v>1144</v>
      </c>
      <c r="L841" s="182" t="s">
        <v>4105</v>
      </c>
      <c r="M841" s="82">
        <v>44686</v>
      </c>
      <c r="N841" s="31"/>
      <c r="O841" s="31" t="s">
        <v>25</v>
      </c>
      <c r="P841" s="31" t="s">
        <v>25</v>
      </c>
      <c r="Q841" s="31" t="s">
        <v>25</v>
      </c>
      <c r="R841" s="81"/>
      <c r="S841" s="82"/>
      <c r="T841" s="31"/>
      <c r="U841" s="31"/>
      <c r="V841" s="31"/>
      <c r="W841" s="31"/>
    </row>
    <row r="842" spans="1:24" x14ac:dyDescent="0.25">
      <c r="A842" s="31">
        <v>8</v>
      </c>
      <c r="B842" s="31" t="s">
        <v>1145</v>
      </c>
      <c r="C842" s="31" t="s">
        <v>1090</v>
      </c>
      <c r="D842" s="31" t="s">
        <v>1090</v>
      </c>
      <c r="E842" s="31">
        <v>3.2</v>
      </c>
      <c r="F842" s="31">
        <v>20</v>
      </c>
      <c r="G842" s="31" t="s">
        <v>1146</v>
      </c>
      <c r="H842" s="31" t="s">
        <v>1147</v>
      </c>
      <c r="I842" s="31" t="s">
        <v>1075</v>
      </c>
      <c r="J842" s="216">
        <v>7010210302522</v>
      </c>
      <c r="K842" s="82" t="s">
        <v>1148</v>
      </c>
      <c r="L842" s="182" t="s">
        <v>116</v>
      </c>
      <c r="M842" s="82" t="s">
        <v>116</v>
      </c>
      <c r="N842" s="31"/>
      <c r="O842" s="31" t="s">
        <v>25</v>
      </c>
      <c r="P842" s="31" t="s">
        <v>25</v>
      </c>
      <c r="Q842" s="31" t="s">
        <v>25</v>
      </c>
      <c r="R842" s="81"/>
      <c r="S842" s="82"/>
      <c r="T842" s="31"/>
      <c r="U842" s="31"/>
      <c r="V842" s="31"/>
      <c r="W842" s="31"/>
    </row>
    <row r="843" spans="1:24" x14ac:dyDescent="0.25">
      <c r="A843" s="31">
        <v>9</v>
      </c>
      <c r="B843" s="31" t="s">
        <v>1154</v>
      </c>
      <c r="C843" s="31" t="s">
        <v>1090</v>
      </c>
      <c r="D843" s="31" t="s">
        <v>1090</v>
      </c>
      <c r="E843" s="31">
        <v>4.5</v>
      </c>
      <c r="F843" s="31">
        <v>20</v>
      </c>
      <c r="G843" s="31" t="s">
        <v>1155</v>
      </c>
      <c r="H843" s="31" t="s">
        <v>1156</v>
      </c>
      <c r="I843" s="31" t="s">
        <v>1075</v>
      </c>
      <c r="J843" s="216">
        <v>7010210605837</v>
      </c>
      <c r="K843" s="82" t="s">
        <v>999</v>
      </c>
      <c r="L843" s="182" t="s">
        <v>4106</v>
      </c>
      <c r="M843" s="82">
        <v>45035</v>
      </c>
      <c r="N843" s="31"/>
      <c r="O843" s="31" t="s">
        <v>25</v>
      </c>
      <c r="P843" s="31" t="s">
        <v>25</v>
      </c>
      <c r="Q843" s="31" t="s">
        <v>25</v>
      </c>
      <c r="R843" s="81"/>
      <c r="S843" s="82"/>
      <c r="T843" s="31"/>
      <c r="U843" s="31"/>
      <c r="V843" s="31"/>
      <c r="W843" s="31"/>
    </row>
    <row r="844" spans="1:24" x14ac:dyDescent="0.25">
      <c r="A844" s="31">
        <v>10</v>
      </c>
      <c r="B844" s="31" t="s">
        <v>1157</v>
      </c>
      <c r="C844" s="31" t="s">
        <v>1113</v>
      </c>
      <c r="D844" s="31" t="s">
        <v>1090</v>
      </c>
      <c r="E844" s="31">
        <v>1.7</v>
      </c>
      <c r="F844" s="31">
        <v>20</v>
      </c>
      <c r="G844" s="31" t="s">
        <v>1158</v>
      </c>
      <c r="H844" s="31" t="s">
        <v>1159</v>
      </c>
      <c r="I844" s="31" t="s">
        <v>1075</v>
      </c>
      <c r="J844" s="216">
        <v>7010211213053</v>
      </c>
      <c r="K844" s="82" t="s">
        <v>1021</v>
      </c>
      <c r="L844" s="182" t="s">
        <v>116</v>
      </c>
      <c r="M844" s="82" t="s">
        <v>116</v>
      </c>
      <c r="N844" s="31"/>
      <c r="O844" s="31" t="s">
        <v>25</v>
      </c>
      <c r="P844" s="31" t="s">
        <v>25</v>
      </c>
      <c r="Q844" s="31" t="s">
        <v>25</v>
      </c>
      <c r="R844" s="81"/>
      <c r="S844" s="82"/>
      <c r="T844" s="31"/>
      <c r="U844" s="31"/>
      <c r="V844" s="31"/>
      <c r="W844" s="31"/>
    </row>
    <row r="845" spans="1:24" x14ac:dyDescent="0.25">
      <c r="A845" s="31">
        <v>11</v>
      </c>
      <c r="B845" s="31" t="s">
        <v>1160</v>
      </c>
      <c r="C845" s="31" t="s">
        <v>1090</v>
      </c>
      <c r="D845" s="31" t="s">
        <v>1090</v>
      </c>
      <c r="E845" s="31">
        <v>2.4</v>
      </c>
      <c r="F845" s="31">
        <v>20</v>
      </c>
      <c r="G845" s="31" t="s">
        <v>1161</v>
      </c>
      <c r="H845" s="31" t="s">
        <v>1162</v>
      </c>
      <c r="I845" s="31" t="s">
        <v>1075</v>
      </c>
      <c r="J845" s="216">
        <v>7010220113742</v>
      </c>
      <c r="K845" s="82" t="s">
        <v>1153</v>
      </c>
      <c r="L845" s="182" t="s">
        <v>4107</v>
      </c>
      <c r="M845" s="82">
        <v>45037</v>
      </c>
      <c r="N845" s="31"/>
      <c r="O845" s="31" t="s">
        <v>25</v>
      </c>
      <c r="P845" s="31" t="s">
        <v>25</v>
      </c>
      <c r="Q845" s="31" t="s">
        <v>25</v>
      </c>
      <c r="R845" s="81"/>
      <c r="S845" s="82"/>
      <c r="T845" s="31"/>
      <c r="U845" s="31"/>
      <c r="V845" s="31"/>
      <c r="W845" s="31"/>
    </row>
    <row r="846" spans="1:24" x14ac:dyDescent="0.25">
      <c r="A846" s="31">
        <v>12</v>
      </c>
      <c r="B846" s="31" t="s">
        <v>1112</v>
      </c>
      <c r="C846" s="31" t="s">
        <v>1163</v>
      </c>
      <c r="D846" s="31" t="s">
        <v>1085</v>
      </c>
      <c r="E846" s="31">
        <v>11.2</v>
      </c>
      <c r="F846" s="31">
        <v>110</v>
      </c>
      <c r="G846" s="31" t="s">
        <v>1164</v>
      </c>
      <c r="H846" s="31" t="s">
        <v>1165</v>
      </c>
      <c r="I846" s="31" t="s">
        <v>1075</v>
      </c>
      <c r="J846" s="216">
        <v>7030220312288</v>
      </c>
      <c r="K846" s="82" t="s">
        <v>999</v>
      </c>
      <c r="L846" s="182" t="s">
        <v>4108</v>
      </c>
      <c r="M846" s="82">
        <v>45021</v>
      </c>
      <c r="N846" s="31"/>
      <c r="O846" s="31" t="s">
        <v>25</v>
      </c>
      <c r="P846" s="31" t="s">
        <v>25</v>
      </c>
      <c r="Q846" s="31" t="s">
        <v>25</v>
      </c>
      <c r="R846" s="81"/>
      <c r="S846" s="82"/>
      <c r="T846" s="31"/>
      <c r="U846" s="31"/>
      <c r="V846" s="31"/>
      <c r="W846" s="31"/>
    </row>
    <row r="847" spans="1:24" x14ac:dyDescent="0.25">
      <c r="A847" s="31">
        <v>13</v>
      </c>
      <c r="B847" s="31" t="s">
        <v>1166</v>
      </c>
      <c r="C847" s="31" t="s">
        <v>1131</v>
      </c>
      <c r="D847" s="31" t="s">
        <v>1072</v>
      </c>
      <c r="E847" s="31">
        <v>1.1000000000000001</v>
      </c>
      <c r="F847" s="31">
        <v>20</v>
      </c>
      <c r="G847" s="31" t="s">
        <v>1167</v>
      </c>
      <c r="H847" s="31" t="s">
        <v>1168</v>
      </c>
      <c r="I847" s="31" t="s">
        <v>1075</v>
      </c>
      <c r="J847" s="216">
        <v>7020220310160</v>
      </c>
      <c r="K847" s="82" t="s">
        <v>997</v>
      </c>
      <c r="L847" s="182" t="s">
        <v>116</v>
      </c>
      <c r="M847" s="82" t="s">
        <v>116</v>
      </c>
      <c r="N847" s="31"/>
      <c r="O847" s="31" t="s">
        <v>25</v>
      </c>
      <c r="P847" s="31" t="s">
        <v>25</v>
      </c>
      <c r="Q847" s="31" t="s">
        <v>25</v>
      </c>
      <c r="R847" s="81"/>
      <c r="S847" s="82"/>
      <c r="T847" s="31"/>
      <c r="U847" s="31"/>
      <c r="V847" s="31"/>
      <c r="W847" s="31"/>
    </row>
    <row r="848" spans="1:24" x14ac:dyDescent="0.25">
      <c r="A848" s="31">
        <v>14</v>
      </c>
      <c r="B848" s="31" t="s">
        <v>1187</v>
      </c>
      <c r="C848" s="31" t="s">
        <v>1090</v>
      </c>
      <c r="D848" s="31" t="s">
        <v>1090</v>
      </c>
      <c r="E848" s="31">
        <v>1.8</v>
      </c>
      <c r="F848" s="31">
        <v>20</v>
      </c>
      <c r="G848" s="31" t="s">
        <v>1188</v>
      </c>
      <c r="H848" s="31" t="s">
        <v>1189</v>
      </c>
      <c r="I848" s="31" t="s">
        <v>1075</v>
      </c>
      <c r="J848" s="216">
        <v>7010220214257</v>
      </c>
      <c r="K848" s="82" t="s">
        <v>992</v>
      </c>
      <c r="L848" s="182" t="s">
        <v>4109</v>
      </c>
      <c r="M848" s="82">
        <v>45086</v>
      </c>
      <c r="N848" s="31"/>
      <c r="O848" s="31" t="s">
        <v>25</v>
      </c>
      <c r="P848" s="31" t="s">
        <v>25</v>
      </c>
      <c r="Q848" s="31" t="s">
        <v>25</v>
      </c>
      <c r="R848" s="81"/>
      <c r="S848" s="82"/>
      <c r="T848" s="31"/>
      <c r="U848" s="31"/>
      <c r="V848" s="31"/>
      <c r="W848" s="31"/>
    </row>
    <row r="849" spans="1:23" x14ac:dyDescent="0.25">
      <c r="A849" s="31">
        <v>15</v>
      </c>
      <c r="B849" s="31" t="s">
        <v>1190</v>
      </c>
      <c r="C849" s="31" t="s">
        <v>1149</v>
      </c>
      <c r="D849" s="31" t="s">
        <v>1085</v>
      </c>
      <c r="E849" s="31">
        <v>2.8929999999999998</v>
      </c>
      <c r="F849" s="31">
        <v>20</v>
      </c>
      <c r="G849" s="31" t="s">
        <v>1191</v>
      </c>
      <c r="H849" s="31" t="s">
        <v>1192</v>
      </c>
      <c r="I849" s="31" t="s">
        <v>1075</v>
      </c>
      <c r="J849" s="216">
        <v>7030220211686</v>
      </c>
      <c r="K849" s="82" t="s">
        <v>1005</v>
      </c>
      <c r="L849" s="182" t="s">
        <v>4110</v>
      </c>
      <c r="M849" s="82">
        <v>45016</v>
      </c>
      <c r="N849" s="31"/>
      <c r="O849" s="31" t="s">
        <v>25</v>
      </c>
      <c r="P849" s="31" t="s">
        <v>25</v>
      </c>
      <c r="Q849" s="31" t="s">
        <v>25</v>
      </c>
      <c r="R849" s="81"/>
      <c r="S849" s="82"/>
      <c r="T849" s="31"/>
      <c r="U849" s="31"/>
      <c r="V849" s="31"/>
      <c r="W849" s="31"/>
    </row>
    <row r="850" spans="1:23" x14ac:dyDescent="0.25">
      <c r="A850" s="31">
        <v>16</v>
      </c>
      <c r="B850" s="31" t="s">
        <v>1363</v>
      </c>
      <c r="C850" s="31" t="s">
        <v>1072</v>
      </c>
      <c r="D850" s="31" t="s">
        <v>1072</v>
      </c>
      <c r="E850" s="31">
        <v>7.5</v>
      </c>
      <c r="F850" s="31">
        <v>20</v>
      </c>
      <c r="G850" s="31" t="s">
        <v>1364</v>
      </c>
      <c r="H850" s="31" t="s">
        <v>1365</v>
      </c>
      <c r="I850" s="31" t="s">
        <v>1075</v>
      </c>
      <c r="J850" s="216">
        <v>7020210704359</v>
      </c>
      <c r="K850" s="82" t="s">
        <v>1322</v>
      </c>
      <c r="L850" s="182" t="s">
        <v>116</v>
      </c>
      <c r="M850" s="182" t="s">
        <v>116</v>
      </c>
      <c r="N850" s="31"/>
      <c r="O850" s="31" t="s">
        <v>25</v>
      </c>
      <c r="P850" s="31" t="s">
        <v>25</v>
      </c>
      <c r="Q850" s="31" t="s">
        <v>25</v>
      </c>
      <c r="R850" s="81"/>
      <c r="S850" s="82"/>
      <c r="T850" s="31"/>
      <c r="U850" s="31"/>
      <c r="V850" s="31"/>
      <c r="W850" s="31"/>
    </row>
    <row r="851" spans="1:23" x14ac:dyDescent="0.25">
      <c r="A851" s="31">
        <v>17</v>
      </c>
      <c r="B851" s="31" t="s">
        <v>1881</v>
      </c>
      <c r="C851" s="31" t="s">
        <v>1090</v>
      </c>
      <c r="D851" s="31" t="s">
        <v>1090</v>
      </c>
      <c r="E851" s="31">
        <v>1.1499999999999999</v>
      </c>
      <c r="F851" s="31">
        <v>20</v>
      </c>
      <c r="G851" s="31" t="s">
        <v>1882</v>
      </c>
      <c r="H851" s="31" t="s">
        <v>964</v>
      </c>
      <c r="I851" s="31" t="s">
        <v>1075</v>
      </c>
      <c r="J851" s="182">
        <v>7010220113875</v>
      </c>
      <c r="K851" s="82">
        <v>44651</v>
      </c>
      <c r="L851" s="31" t="s">
        <v>1883</v>
      </c>
      <c r="M851" s="82">
        <v>44726</v>
      </c>
      <c r="N851" s="31"/>
      <c r="O851" s="31" t="s">
        <v>25</v>
      </c>
      <c r="P851" s="31" t="s">
        <v>25</v>
      </c>
      <c r="Q851" s="31" t="s">
        <v>25</v>
      </c>
      <c r="R851" s="81"/>
      <c r="S851" s="82"/>
      <c r="T851" s="31"/>
      <c r="U851" s="31"/>
      <c r="V851" s="31"/>
      <c r="W851" s="31"/>
    </row>
    <row r="852" spans="1:23" x14ac:dyDescent="0.25">
      <c r="A852" s="31">
        <v>18</v>
      </c>
      <c r="B852" s="31" t="s">
        <v>1359</v>
      </c>
      <c r="C852" s="31" t="s">
        <v>1090</v>
      </c>
      <c r="D852" s="31" t="s">
        <v>1090</v>
      </c>
      <c r="E852" s="31">
        <v>6</v>
      </c>
      <c r="F852" s="31">
        <v>20</v>
      </c>
      <c r="G852" s="31" t="s">
        <v>1360</v>
      </c>
      <c r="H852" s="31" t="s">
        <v>1358</v>
      </c>
      <c r="I852" s="31" t="s">
        <v>1075</v>
      </c>
      <c r="J852" s="216">
        <v>7010220619892</v>
      </c>
      <c r="K852" s="82" t="s">
        <v>1323</v>
      </c>
      <c r="L852" s="182"/>
      <c r="M852" s="82"/>
      <c r="N852" s="31"/>
      <c r="O852" s="31" t="s">
        <v>25</v>
      </c>
      <c r="P852" s="31" t="s">
        <v>25</v>
      </c>
      <c r="Q852" s="31" t="s">
        <v>25</v>
      </c>
      <c r="R852" s="81"/>
      <c r="S852" s="82"/>
      <c r="T852" s="31"/>
      <c r="U852" s="31"/>
      <c r="V852" s="31"/>
      <c r="W852" s="31"/>
    </row>
    <row r="853" spans="1:23" x14ac:dyDescent="0.25">
      <c r="A853" s="31">
        <v>19</v>
      </c>
      <c r="B853" s="31" t="s">
        <v>1361</v>
      </c>
      <c r="C853" s="31" t="s">
        <v>1102</v>
      </c>
      <c r="D853" s="31" t="s">
        <v>1085</v>
      </c>
      <c r="E853" s="31">
        <v>2.48</v>
      </c>
      <c r="F853" s="31">
        <v>20</v>
      </c>
      <c r="G853" s="31" t="s">
        <v>1362</v>
      </c>
      <c r="H853" s="31" t="s">
        <v>964</v>
      </c>
      <c r="I853" s="31" t="s">
        <v>1075</v>
      </c>
      <c r="J853" s="216">
        <v>7030220211573</v>
      </c>
      <c r="K853" s="82" t="s">
        <v>1346</v>
      </c>
      <c r="L853" s="182"/>
      <c r="M853" s="82"/>
      <c r="N853" s="31"/>
      <c r="O853" s="31" t="s">
        <v>25</v>
      </c>
      <c r="P853" s="31" t="s">
        <v>25</v>
      </c>
      <c r="Q853" s="31" t="s">
        <v>25</v>
      </c>
      <c r="R853" s="81"/>
      <c r="S853" s="82"/>
      <c r="T853" s="31"/>
      <c r="U853" s="31"/>
      <c r="V853" s="31"/>
      <c r="W853" s="31"/>
    </row>
    <row r="854" spans="1:23" x14ac:dyDescent="0.25">
      <c r="A854" s="31">
        <v>20</v>
      </c>
      <c r="B854" s="31" t="s">
        <v>1702</v>
      </c>
      <c r="C854" s="31" t="s">
        <v>1113</v>
      </c>
      <c r="D854" s="31" t="s">
        <v>1090</v>
      </c>
      <c r="E854" s="31">
        <v>1.5</v>
      </c>
      <c r="F854" s="31">
        <v>6</v>
      </c>
      <c r="G854" s="31" t="s">
        <v>1703</v>
      </c>
      <c r="H854" s="31" t="s">
        <v>1704</v>
      </c>
      <c r="I854" s="31" t="s">
        <v>1075</v>
      </c>
      <c r="J854" s="182">
        <v>7010220315707</v>
      </c>
      <c r="K854" s="82" t="s">
        <v>1705</v>
      </c>
      <c r="L854" s="182" t="s">
        <v>116</v>
      </c>
      <c r="M854" s="82" t="s">
        <v>116</v>
      </c>
      <c r="N854" s="31"/>
      <c r="O854" s="31" t="s">
        <v>25</v>
      </c>
      <c r="P854" s="31" t="s">
        <v>25</v>
      </c>
      <c r="Q854" s="31" t="s">
        <v>25</v>
      </c>
      <c r="R854" s="81"/>
      <c r="S854" s="82"/>
      <c r="T854" s="31"/>
      <c r="U854" s="31"/>
      <c r="V854" s="31"/>
      <c r="W854" s="31"/>
    </row>
    <row r="855" spans="1:23" x14ac:dyDescent="0.25">
      <c r="A855" s="31">
        <v>21</v>
      </c>
      <c r="B855" s="31" t="s">
        <v>1706</v>
      </c>
      <c r="C855" s="31" t="s">
        <v>1072</v>
      </c>
      <c r="D855" s="31" t="s">
        <v>1072</v>
      </c>
      <c r="E855" s="31">
        <v>7.5</v>
      </c>
      <c r="F855" s="31">
        <v>20</v>
      </c>
      <c r="G855" s="31" t="s">
        <v>1707</v>
      </c>
      <c r="H855" s="31" t="s">
        <v>963</v>
      </c>
      <c r="I855" s="31" t="s">
        <v>1075</v>
      </c>
      <c r="J855" s="182">
        <v>7020220713762</v>
      </c>
      <c r="K855" s="82" t="s">
        <v>1708</v>
      </c>
      <c r="L855" s="182" t="s">
        <v>116</v>
      </c>
      <c r="M855" s="82" t="s">
        <v>116</v>
      </c>
      <c r="N855" s="31"/>
      <c r="O855" s="31" t="s">
        <v>25</v>
      </c>
      <c r="P855" s="31" t="s">
        <v>25</v>
      </c>
      <c r="Q855" s="31" t="s">
        <v>25</v>
      </c>
      <c r="R855" s="81"/>
      <c r="S855" s="82"/>
      <c r="T855" s="31"/>
      <c r="U855" s="31"/>
      <c r="V855" s="31"/>
      <c r="W855" s="31"/>
    </row>
    <row r="856" spans="1:23" x14ac:dyDescent="0.25">
      <c r="A856" s="31">
        <v>22</v>
      </c>
      <c r="B856" s="91" t="s">
        <v>1133</v>
      </c>
      <c r="C856" s="91" t="s">
        <v>129</v>
      </c>
      <c r="D856" s="91" t="s">
        <v>1090</v>
      </c>
      <c r="E856" s="31">
        <v>2</v>
      </c>
      <c r="F856" s="91">
        <v>6</v>
      </c>
      <c r="G856" s="91" t="s">
        <v>1807</v>
      </c>
      <c r="H856" s="91" t="s">
        <v>1808</v>
      </c>
      <c r="I856" s="91" t="s">
        <v>1075</v>
      </c>
      <c r="J856" s="183">
        <v>7010220315583</v>
      </c>
      <c r="K856" s="188" t="s">
        <v>1805</v>
      </c>
      <c r="L856" s="183" t="s">
        <v>116</v>
      </c>
      <c r="M856" s="188" t="s">
        <v>116</v>
      </c>
      <c r="N856" s="91"/>
      <c r="O856" s="91" t="s">
        <v>25</v>
      </c>
      <c r="P856" s="91" t="s">
        <v>25</v>
      </c>
      <c r="Q856" s="91" t="s">
        <v>25</v>
      </c>
      <c r="R856" s="563"/>
      <c r="S856" s="188"/>
      <c r="T856" s="91"/>
      <c r="U856" s="91"/>
      <c r="V856" s="91"/>
      <c r="W856" s="31"/>
    </row>
    <row r="857" spans="1:23" x14ac:dyDescent="0.25">
      <c r="A857" s="31">
        <v>23</v>
      </c>
      <c r="B857" s="254" t="s">
        <v>1979</v>
      </c>
      <c r="C857" s="31" t="s">
        <v>1090</v>
      </c>
      <c r="D857" s="31" t="s">
        <v>1090</v>
      </c>
      <c r="E857" s="31">
        <v>1.83</v>
      </c>
      <c r="F857" s="31">
        <v>20</v>
      </c>
      <c r="G857" s="31" t="s">
        <v>1980</v>
      </c>
      <c r="H857" s="31" t="s">
        <v>1326</v>
      </c>
      <c r="I857" s="31" t="s">
        <v>1075</v>
      </c>
      <c r="J857" s="182">
        <v>7010220822816</v>
      </c>
      <c r="K857" s="82">
        <v>44847</v>
      </c>
      <c r="L857" s="31"/>
      <c r="M857" s="82"/>
      <c r="N857" s="31"/>
      <c r="O857" s="31" t="s">
        <v>25</v>
      </c>
      <c r="P857" s="31" t="s">
        <v>25</v>
      </c>
      <c r="Q857" s="31" t="s">
        <v>25</v>
      </c>
      <c r="R857" s="81"/>
      <c r="S857" s="82"/>
      <c r="T857" s="31"/>
      <c r="U857" s="31"/>
      <c r="V857" s="31"/>
      <c r="W857" s="31"/>
    </row>
    <row r="858" spans="1:23" x14ac:dyDescent="0.25">
      <c r="A858" s="31">
        <v>24</v>
      </c>
      <c r="B858" s="254" t="s">
        <v>1981</v>
      </c>
      <c r="C858" s="31" t="s">
        <v>1090</v>
      </c>
      <c r="D858" s="31" t="s">
        <v>1090</v>
      </c>
      <c r="E858" s="31">
        <v>1</v>
      </c>
      <c r="F858" s="31">
        <v>6</v>
      </c>
      <c r="G858" s="31" t="s">
        <v>1982</v>
      </c>
      <c r="H858" s="31" t="s">
        <v>963</v>
      </c>
      <c r="I858" s="31" t="s">
        <v>1075</v>
      </c>
      <c r="J858" s="182">
        <v>7010220923985</v>
      </c>
      <c r="K858" s="82">
        <v>44855</v>
      </c>
      <c r="L858" s="31" t="s">
        <v>4111</v>
      </c>
      <c r="M858" s="82">
        <v>44911</v>
      </c>
      <c r="N858" s="31"/>
      <c r="O858" s="31" t="s">
        <v>25</v>
      </c>
      <c r="P858" s="31" t="s">
        <v>25</v>
      </c>
      <c r="Q858" s="31" t="s">
        <v>25</v>
      </c>
      <c r="R858" s="81"/>
      <c r="S858" s="82"/>
      <c r="T858" s="31"/>
      <c r="U858" s="31"/>
      <c r="V858" s="31"/>
      <c r="W858" s="31"/>
    </row>
    <row r="859" spans="1:23" x14ac:dyDescent="0.25">
      <c r="A859" s="31">
        <v>25</v>
      </c>
      <c r="B859" s="254" t="s">
        <v>1831</v>
      </c>
      <c r="C859" s="31" t="s">
        <v>1090</v>
      </c>
      <c r="D859" s="31" t="s">
        <v>1090</v>
      </c>
      <c r="E859" s="31">
        <v>1.87</v>
      </c>
      <c r="F859" s="31">
        <v>6</v>
      </c>
      <c r="G859" s="31" t="s">
        <v>2025</v>
      </c>
      <c r="H859" s="31" t="s">
        <v>1830</v>
      </c>
      <c r="I859" s="31" t="s">
        <v>1075</v>
      </c>
      <c r="J859" s="182">
        <v>7010220823058</v>
      </c>
      <c r="K859" s="82">
        <v>44883</v>
      </c>
      <c r="L859" s="31" t="s">
        <v>116</v>
      </c>
      <c r="M859" s="82" t="s">
        <v>116</v>
      </c>
      <c r="N859" s="31"/>
      <c r="O859" s="31" t="s">
        <v>25</v>
      </c>
      <c r="P859" s="31" t="s">
        <v>25</v>
      </c>
      <c r="Q859" s="31" t="s">
        <v>25</v>
      </c>
      <c r="R859" s="81"/>
      <c r="S859" s="82"/>
      <c r="T859" s="31"/>
      <c r="U859" s="31"/>
      <c r="V859" s="31"/>
      <c r="W859" s="31"/>
    </row>
    <row r="860" spans="1:23" x14ac:dyDescent="0.25">
      <c r="A860" s="31">
        <v>26</v>
      </c>
      <c r="B860" s="254" t="s">
        <v>2026</v>
      </c>
      <c r="C860" s="31" t="s">
        <v>1090</v>
      </c>
      <c r="D860" s="31" t="s">
        <v>1090</v>
      </c>
      <c r="E860" s="31">
        <v>4.63</v>
      </c>
      <c r="F860" s="31">
        <v>6</v>
      </c>
      <c r="G860" s="31" t="s">
        <v>1152</v>
      </c>
      <c r="H860" s="31" t="s">
        <v>964</v>
      </c>
      <c r="I860" s="31" t="s">
        <v>1075</v>
      </c>
      <c r="J860" s="182">
        <v>7010220823060</v>
      </c>
      <c r="K860" s="82">
        <v>44883</v>
      </c>
      <c r="L860" s="31" t="s">
        <v>116</v>
      </c>
      <c r="M860" s="82" t="s">
        <v>116</v>
      </c>
      <c r="N860" s="31"/>
      <c r="O860" s="31" t="s">
        <v>25</v>
      </c>
      <c r="P860" s="31" t="s">
        <v>25</v>
      </c>
      <c r="Q860" s="31" t="s">
        <v>25</v>
      </c>
      <c r="R860" s="81"/>
      <c r="S860" s="82"/>
      <c r="T860" s="31"/>
      <c r="U860" s="31"/>
      <c r="V860" s="31"/>
      <c r="W860" s="31"/>
    </row>
    <row r="861" spans="1:23" x14ac:dyDescent="0.25">
      <c r="A861" s="31">
        <v>27</v>
      </c>
      <c r="B861" s="254" t="s">
        <v>2167</v>
      </c>
      <c r="C861" s="31" t="s">
        <v>1090</v>
      </c>
      <c r="D861" s="31" t="s">
        <v>1090</v>
      </c>
      <c r="E861" s="31">
        <v>3</v>
      </c>
      <c r="F861" s="31">
        <v>20</v>
      </c>
      <c r="G861" s="31" t="s">
        <v>2168</v>
      </c>
      <c r="H861" s="31" t="s">
        <v>964</v>
      </c>
      <c r="I861" s="31" t="s">
        <v>1075</v>
      </c>
      <c r="J861" s="182">
        <v>7010210504906</v>
      </c>
      <c r="K861" s="82">
        <v>44785</v>
      </c>
      <c r="L861" s="31" t="s">
        <v>4112</v>
      </c>
      <c r="M861" s="82">
        <v>45149</v>
      </c>
      <c r="N861" s="31"/>
      <c r="O861" s="31" t="s">
        <v>25</v>
      </c>
      <c r="P861" s="31" t="s">
        <v>25</v>
      </c>
      <c r="Q861" s="31" t="s">
        <v>25</v>
      </c>
      <c r="R861" s="81"/>
      <c r="S861" s="82"/>
      <c r="T861" s="31"/>
      <c r="U861" s="31"/>
      <c r="V861" s="31"/>
      <c r="W861" s="31"/>
    </row>
    <row r="862" spans="1:23" x14ac:dyDescent="0.25">
      <c r="A862" s="31">
        <v>28</v>
      </c>
      <c r="B862" s="254" t="s">
        <v>1110</v>
      </c>
      <c r="C862" s="31" t="s">
        <v>1090</v>
      </c>
      <c r="D862" s="31" t="s">
        <v>1090</v>
      </c>
      <c r="E862" s="31">
        <v>2.4</v>
      </c>
      <c r="F862" s="31">
        <v>20</v>
      </c>
      <c r="G862" s="31" t="s">
        <v>2169</v>
      </c>
      <c r="H862" s="31" t="s">
        <v>1111</v>
      </c>
      <c r="I862" s="31" t="s">
        <v>1075</v>
      </c>
      <c r="J862" s="182">
        <v>7010210606358</v>
      </c>
      <c r="K862" s="82">
        <v>44425</v>
      </c>
      <c r="L862" s="31" t="s">
        <v>116</v>
      </c>
      <c r="M862" s="82" t="s">
        <v>116</v>
      </c>
      <c r="N862" s="31"/>
      <c r="O862" s="31" t="s">
        <v>25</v>
      </c>
      <c r="P862" s="31" t="s">
        <v>25</v>
      </c>
      <c r="Q862" s="31" t="s">
        <v>25</v>
      </c>
      <c r="R862" s="81"/>
      <c r="S862" s="82"/>
      <c r="T862" s="31"/>
      <c r="U862" s="31"/>
      <c r="V862" s="31"/>
      <c r="W862" s="31"/>
    </row>
    <row r="863" spans="1:23" x14ac:dyDescent="0.25">
      <c r="A863" s="31">
        <v>29</v>
      </c>
      <c r="B863" s="254" t="s">
        <v>1058</v>
      </c>
      <c r="C863" s="31" t="s">
        <v>1121</v>
      </c>
      <c r="D863" s="31" t="s">
        <v>1072</v>
      </c>
      <c r="E863" s="31">
        <v>1.2</v>
      </c>
      <c r="F863" s="31">
        <v>20</v>
      </c>
      <c r="G863" s="31" t="s">
        <v>2170</v>
      </c>
      <c r="H863" s="31" t="s">
        <v>964</v>
      </c>
      <c r="I863" s="31" t="s">
        <v>1075</v>
      </c>
      <c r="J863" s="182">
        <v>7020210905581</v>
      </c>
      <c r="K863" s="82">
        <v>44470</v>
      </c>
      <c r="L863" s="31" t="s">
        <v>116</v>
      </c>
      <c r="M863" s="82" t="s">
        <v>116</v>
      </c>
      <c r="N863" s="31"/>
      <c r="O863" s="31" t="s">
        <v>25</v>
      </c>
      <c r="P863" s="31" t="s">
        <v>25</v>
      </c>
      <c r="Q863" s="31" t="s">
        <v>25</v>
      </c>
      <c r="R863" s="81"/>
      <c r="S863" s="82"/>
      <c r="T863" s="31"/>
      <c r="U863" s="31"/>
      <c r="V863" s="31"/>
      <c r="W863" s="31"/>
    </row>
    <row r="864" spans="1:23" x14ac:dyDescent="0.25">
      <c r="A864" s="31">
        <v>30</v>
      </c>
      <c r="B864" s="254" t="s">
        <v>2171</v>
      </c>
      <c r="C864" s="31" t="s">
        <v>1122</v>
      </c>
      <c r="D864" s="31" t="s">
        <v>1085</v>
      </c>
      <c r="E864" s="31">
        <v>7.44</v>
      </c>
      <c r="F864" s="31">
        <v>20</v>
      </c>
      <c r="G864" s="31" t="s">
        <v>2172</v>
      </c>
      <c r="H864" s="31" t="s">
        <v>964</v>
      </c>
      <c r="I864" s="31" t="s">
        <v>1075</v>
      </c>
      <c r="J864" s="182">
        <v>7030220312264</v>
      </c>
      <c r="K864" s="82">
        <v>44834</v>
      </c>
      <c r="L864" s="31" t="s">
        <v>4113</v>
      </c>
      <c r="M864" s="82">
        <v>45012</v>
      </c>
      <c r="N864" s="31"/>
      <c r="O864" s="31" t="s">
        <v>25</v>
      </c>
      <c r="P864" s="31" t="s">
        <v>25</v>
      </c>
      <c r="Q864" s="31" t="s">
        <v>25</v>
      </c>
      <c r="R864" s="81"/>
      <c r="S864" s="82"/>
      <c r="T864" s="31"/>
      <c r="U864" s="31"/>
      <c r="V864" s="31"/>
      <c r="W864" s="31"/>
    </row>
    <row r="865" spans="1:23" x14ac:dyDescent="0.25">
      <c r="A865" s="31">
        <v>31</v>
      </c>
      <c r="B865" s="254" t="s">
        <v>2173</v>
      </c>
      <c r="C865" s="31" t="s">
        <v>117</v>
      </c>
      <c r="D865" s="31" t="s">
        <v>1090</v>
      </c>
      <c r="E865" s="31">
        <v>1.85</v>
      </c>
      <c r="F865" s="31">
        <v>20</v>
      </c>
      <c r="G865" s="31" t="s">
        <v>2174</v>
      </c>
      <c r="H865" s="31" t="s">
        <v>964</v>
      </c>
      <c r="I865" s="31" t="s">
        <v>1075</v>
      </c>
      <c r="J865" s="182">
        <v>7010220518346</v>
      </c>
      <c r="K865" s="82">
        <v>44916</v>
      </c>
      <c r="L865" s="31" t="s">
        <v>4255</v>
      </c>
      <c r="M865" s="82">
        <v>45281</v>
      </c>
      <c r="N865" s="31"/>
      <c r="O865" s="31" t="s">
        <v>25</v>
      </c>
      <c r="P865" s="31" t="s">
        <v>25</v>
      </c>
      <c r="Q865" s="31" t="s">
        <v>25</v>
      </c>
      <c r="R865" s="81"/>
      <c r="S865" s="82"/>
      <c r="T865" s="31"/>
      <c r="U865" s="31"/>
      <c r="V865" s="31"/>
      <c r="W865" s="31"/>
    </row>
    <row r="866" spans="1:23" x14ac:dyDescent="0.25">
      <c r="A866" s="31">
        <v>32</v>
      </c>
      <c r="B866" s="254" t="s">
        <v>2175</v>
      </c>
      <c r="C866" s="31" t="s">
        <v>1109</v>
      </c>
      <c r="D866" s="31" t="s">
        <v>1090</v>
      </c>
      <c r="E866" s="31">
        <v>1.6</v>
      </c>
      <c r="F866" s="31">
        <v>20</v>
      </c>
      <c r="G866" s="31" t="s">
        <v>2176</v>
      </c>
      <c r="H866" s="31" t="s">
        <v>2177</v>
      </c>
      <c r="I866" s="31" t="s">
        <v>1075</v>
      </c>
      <c r="J866" s="182">
        <v>7010220924574</v>
      </c>
      <c r="K866" s="82">
        <v>44833</v>
      </c>
      <c r="L866" s="31" t="s">
        <v>116</v>
      </c>
      <c r="M866" s="82" t="s">
        <v>116</v>
      </c>
      <c r="N866" s="31"/>
      <c r="O866" s="31" t="s">
        <v>25</v>
      </c>
      <c r="P866" s="31" t="s">
        <v>25</v>
      </c>
      <c r="Q866" s="31" t="s">
        <v>25</v>
      </c>
      <c r="R866" s="81">
        <v>7020230117939</v>
      </c>
      <c r="S866" s="82">
        <v>45019</v>
      </c>
      <c r="T866" s="82"/>
      <c r="U866" s="31"/>
      <c r="V866" s="31"/>
      <c r="W866" s="31"/>
    </row>
    <row r="867" spans="1:23" x14ac:dyDescent="0.25">
      <c r="A867" s="31">
        <v>33</v>
      </c>
      <c r="B867" s="254" t="s">
        <v>2178</v>
      </c>
      <c r="C867" s="31" t="s">
        <v>2179</v>
      </c>
      <c r="D867" s="31" t="s">
        <v>1090</v>
      </c>
      <c r="E867" s="31">
        <v>1.55</v>
      </c>
      <c r="F867" s="31">
        <v>20</v>
      </c>
      <c r="G867" s="31" t="s">
        <v>2180</v>
      </c>
      <c r="H867" s="31" t="s">
        <v>2181</v>
      </c>
      <c r="I867" s="31" t="s">
        <v>1075</v>
      </c>
      <c r="J867" s="182">
        <v>7010210201726</v>
      </c>
      <c r="K867" s="82">
        <v>44284</v>
      </c>
      <c r="L867" s="31">
        <v>3419</v>
      </c>
      <c r="M867" s="82">
        <v>44365</v>
      </c>
      <c r="N867" s="31"/>
      <c r="O867" s="31" t="s">
        <v>25</v>
      </c>
      <c r="P867" s="31" t="s">
        <v>25</v>
      </c>
      <c r="Q867" s="31" t="s">
        <v>25</v>
      </c>
      <c r="R867" s="81"/>
      <c r="S867" s="82"/>
      <c r="T867" s="31"/>
      <c r="U867" s="31"/>
      <c r="V867" s="31"/>
      <c r="W867" s="31"/>
    </row>
    <row r="868" spans="1:23" x14ac:dyDescent="0.25">
      <c r="A868" s="31">
        <v>34</v>
      </c>
      <c r="B868" s="254" t="s">
        <v>1058</v>
      </c>
      <c r="C868" s="31" t="s">
        <v>1121</v>
      </c>
      <c r="D868" s="31" t="s">
        <v>1072</v>
      </c>
      <c r="E868" s="31">
        <v>1.2</v>
      </c>
      <c r="F868" s="31">
        <v>20</v>
      </c>
      <c r="G868" s="31" t="s">
        <v>2182</v>
      </c>
      <c r="H868" s="31" t="s">
        <v>964</v>
      </c>
      <c r="I868" s="31" t="s">
        <v>1075</v>
      </c>
      <c r="J868" s="182">
        <v>7020221116208</v>
      </c>
      <c r="K868" s="82">
        <v>44890</v>
      </c>
      <c r="L868" s="31" t="s">
        <v>116</v>
      </c>
      <c r="M868" s="31" t="s">
        <v>116</v>
      </c>
      <c r="N868" s="31"/>
      <c r="O868" s="31" t="s">
        <v>25</v>
      </c>
      <c r="P868" s="31" t="s">
        <v>25</v>
      </c>
      <c r="Q868" s="31" t="s">
        <v>25</v>
      </c>
      <c r="R868" s="81"/>
      <c r="S868" s="82"/>
      <c r="T868" s="31"/>
      <c r="U868" s="31"/>
      <c r="V868" s="31"/>
      <c r="W868" s="31"/>
    </row>
    <row r="869" spans="1:23" x14ac:dyDescent="0.25">
      <c r="A869" s="31">
        <v>35</v>
      </c>
      <c r="B869" s="285" t="s">
        <v>1831</v>
      </c>
      <c r="C869" s="281" t="s">
        <v>1090</v>
      </c>
      <c r="D869" s="281" t="s">
        <v>1090</v>
      </c>
      <c r="E869" s="301">
        <v>2.4</v>
      </c>
      <c r="F869" s="281">
        <v>6</v>
      </c>
      <c r="G869" s="281" t="s">
        <v>2363</v>
      </c>
      <c r="H869" s="281" t="s">
        <v>964</v>
      </c>
      <c r="I869" s="281" t="s">
        <v>1075</v>
      </c>
      <c r="J869" s="302">
        <v>7010221228080</v>
      </c>
      <c r="K869" s="282">
        <v>44952</v>
      </c>
      <c r="L869" s="281" t="s">
        <v>116</v>
      </c>
      <c r="M869" s="281" t="s">
        <v>116</v>
      </c>
      <c r="N869" s="281"/>
      <c r="O869" s="281" t="s">
        <v>25</v>
      </c>
      <c r="P869" s="281" t="s">
        <v>25</v>
      </c>
      <c r="Q869" s="281" t="s">
        <v>25</v>
      </c>
      <c r="R869" s="302"/>
      <c r="S869" s="282"/>
      <c r="T869" s="281"/>
      <c r="U869" s="281"/>
      <c r="V869" s="281"/>
      <c r="W869" s="281"/>
    </row>
    <row r="870" spans="1:23" x14ac:dyDescent="0.25">
      <c r="A870" s="31">
        <v>36</v>
      </c>
      <c r="B870" s="285" t="s">
        <v>2364</v>
      </c>
      <c r="C870" s="281" t="s">
        <v>2365</v>
      </c>
      <c r="D870" s="281" t="s">
        <v>1085</v>
      </c>
      <c r="E870" s="301">
        <v>6</v>
      </c>
      <c r="F870" s="281">
        <v>20</v>
      </c>
      <c r="G870" s="281" t="s">
        <v>2366</v>
      </c>
      <c r="H870" s="281" t="s">
        <v>964</v>
      </c>
      <c r="I870" s="281" t="s">
        <v>1075</v>
      </c>
      <c r="J870" s="302">
        <v>7030220815830</v>
      </c>
      <c r="K870" s="282">
        <v>44958</v>
      </c>
      <c r="L870" s="281" t="s">
        <v>116</v>
      </c>
      <c r="M870" s="281" t="s">
        <v>116</v>
      </c>
      <c r="N870" s="281"/>
      <c r="O870" s="281" t="s">
        <v>25</v>
      </c>
      <c r="P870" s="281" t="s">
        <v>25</v>
      </c>
      <c r="Q870" s="281" t="s">
        <v>25</v>
      </c>
      <c r="R870" s="302"/>
      <c r="S870" s="282"/>
      <c r="T870" s="281"/>
      <c r="U870" s="281"/>
      <c r="V870" s="281"/>
      <c r="W870" s="281"/>
    </row>
    <row r="871" spans="1:23" x14ac:dyDescent="0.25">
      <c r="A871" s="31">
        <v>37</v>
      </c>
      <c r="B871" s="285" t="s">
        <v>2367</v>
      </c>
      <c r="C871" s="281" t="s">
        <v>1072</v>
      </c>
      <c r="D871" s="281" t="s">
        <v>1072</v>
      </c>
      <c r="E871" s="301">
        <v>3.5</v>
      </c>
      <c r="F871" s="281">
        <v>20</v>
      </c>
      <c r="G871" s="281" t="s">
        <v>2368</v>
      </c>
      <c r="H871" s="281" t="s">
        <v>964</v>
      </c>
      <c r="I871" s="281" t="s">
        <v>1075</v>
      </c>
      <c r="J871" s="302">
        <v>7020221217290</v>
      </c>
      <c r="K871" s="282">
        <v>44977</v>
      </c>
      <c r="L871" s="281"/>
      <c r="M871" s="281"/>
      <c r="N871" s="281"/>
      <c r="O871" s="281" t="s">
        <v>25</v>
      </c>
      <c r="P871" s="281" t="s">
        <v>25</v>
      </c>
      <c r="Q871" s="281" t="s">
        <v>25</v>
      </c>
      <c r="R871" s="302"/>
      <c r="S871" s="282"/>
      <c r="T871" s="281"/>
      <c r="U871" s="281"/>
      <c r="V871" s="281"/>
      <c r="W871" s="281"/>
    </row>
    <row r="872" spans="1:23" x14ac:dyDescent="0.25">
      <c r="A872" s="31">
        <v>38</v>
      </c>
      <c r="B872" s="285" t="s">
        <v>2406</v>
      </c>
      <c r="C872" s="281" t="s">
        <v>1072</v>
      </c>
      <c r="D872" s="281" t="s">
        <v>1072</v>
      </c>
      <c r="E872" s="301">
        <v>1.9</v>
      </c>
      <c r="F872" s="281">
        <v>20</v>
      </c>
      <c r="G872" s="281" t="s">
        <v>2407</v>
      </c>
      <c r="H872" s="281" t="s">
        <v>964</v>
      </c>
      <c r="I872" s="281" t="s">
        <v>1075</v>
      </c>
      <c r="J872" s="302">
        <v>7020230118029</v>
      </c>
      <c r="K872" s="282">
        <v>44977</v>
      </c>
      <c r="L872" s="281"/>
      <c r="M872" s="281"/>
      <c r="N872" s="281"/>
      <c r="O872" s="281" t="s">
        <v>25</v>
      </c>
      <c r="P872" s="281" t="s">
        <v>25</v>
      </c>
      <c r="Q872" s="281" t="s">
        <v>25</v>
      </c>
      <c r="R872" s="302"/>
      <c r="S872" s="282"/>
      <c r="T872" s="281"/>
      <c r="U872" s="281"/>
      <c r="V872" s="281"/>
      <c r="W872" s="281"/>
    </row>
    <row r="873" spans="1:23" x14ac:dyDescent="0.25">
      <c r="A873" s="31">
        <v>39</v>
      </c>
      <c r="B873" s="285" t="s">
        <v>2534</v>
      </c>
      <c r="C873" s="281" t="s">
        <v>1072</v>
      </c>
      <c r="D873" s="281" t="s">
        <v>1072</v>
      </c>
      <c r="E873" s="301">
        <v>3.04</v>
      </c>
      <c r="F873" s="281">
        <v>20</v>
      </c>
      <c r="G873" s="281" t="s">
        <v>2535</v>
      </c>
      <c r="H873" s="281" t="s">
        <v>963</v>
      </c>
      <c r="I873" s="281" t="s">
        <v>1075</v>
      </c>
      <c r="J873" s="302">
        <v>7020230218671</v>
      </c>
      <c r="K873" s="282">
        <v>44995</v>
      </c>
      <c r="L873" s="281"/>
      <c r="M873" s="281"/>
      <c r="N873" s="281"/>
      <c r="O873" s="281" t="s">
        <v>25</v>
      </c>
      <c r="P873" s="281" t="s">
        <v>25</v>
      </c>
      <c r="Q873" s="281" t="s">
        <v>25</v>
      </c>
      <c r="R873" s="302"/>
      <c r="S873" s="282"/>
      <c r="T873" s="281"/>
      <c r="U873" s="281"/>
      <c r="V873" s="281"/>
      <c r="W873" s="281"/>
    </row>
    <row r="874" spans="1:23" x14ac:dyDescent="0.25">
      <c r="A874" s="31">
        <v>40</v>
      </c>
      <c r="B874" s="285" t="s">
        <v>1193</v>
      </c>
      <c r="C874" s="281" t="s">
        <v>1072</v>
      </c>
      <c r="D874" s="281" t="s">
        <v>1072</v>
      </c>
      <c r="E874" s="301">
        <v>1.4</v>
      </c>
      <c r="F874" s="281">
        <v>20</v>
      </c>
      <c r="G874" s="281" t="s">
        <v>2536</v>
      </c>
      <c r="H874" s="281" t="s">
        <v>964</v>
      </c>
      <c r="I874" s="281" t="s">
        <v>1075</v>
      </c>
      <c r="J874" s="302">
        <v>7020220915327</v>
      </c>
      <c r="K874" s="282">
        <v>44855</v>
      </c>
      <c r="L874" s="281" t="s">
        <v>2537</v>
      </c>
      <c r="M874" s="282">
        <v>45009</v>
      </c>
      <c r="N874" s="281"/>
      <c r="O874" s="281" t="s">
        <v>25</v>
      </c>
      <c r="P874" s="281" t="s">
        <v>25</v>
      </c>
      <c r="Q874" s="281" t="s">
        <v>25</v>
      </c>
      <c r="R874" s="302"/>
      <c r="S874" s="282"/>
      <c r="T874" s="281"/>
      <c r="U874" s="281"/>
      <c r="V874" s="281"/>
      <c r="W874" s="281"/>
    </row>
    <row r="875" spans="1:23" x14ac:dyDescent="0.25">
      <c r="A875" s="31">
        <v>41</v>
      </c>
      <c r="B875" s="285" t="s">
        <v>2588</v>
      </c>
      <c r="C875" s="281" t="s">
        <v>1072</v>
      </c>
      <c r="D875" s="281" t="s">
        <v>1072</v>
      </c>
      <c r="E875" s="301">
        <v>12.5</v>
      </c>
      <c r="F875" s="281">
        <v>20</v>
      </c>
      <c r="G875" s="281" t="s">
        <v>2589</v>
      </c>
      <c r="H875" s="281" t="s">
        <v>964</v>
      </c>
      <c r="I875" s="281" t="s">
        <v>1075</v>
      </c>
      <c r="J875" s="302">
        <v>7020220511845</v>
      </c>
      <c r="K875" s="282"/>
      <c r="L875" s="281"/>
      <c r="M875" s="281"/>
      <c r="N875" s="281"/>
      <c r="O875" s="281" t="s">
        <v>25</v>
      </c>
      <c r="P875" s="281" t="s">
        <v>25</v>
      </c>
      <c r="Q875" s="281" t="s">
        <v>25</v>
      </c>
      <c r="R875" s="302"/>
      <c r="S875" s="282"/>
      <c r="T875" s="281"/>
      <c r="U875" s="281"/>
      <c r="V875" s="281"/>
      <c r="W875" s="281"/>
    </row>
    <row r="876" spans="1:23" x14ac:dyDescent="0.25">
      <c r="A876" s="31">
        <v>42</v>
      </c>
      <c r="B876" s="285" t="s">
        <v>2718</v>
      </c>
      <c r="C876" s="285" t="s">
        <v>3013</v>
      </c>
      <c r="D876" s="285" t="s">
        <v>2870</v>
      </c>
      <c r="E876" s="285">
        <v>1</v>
      </c>
      <c r="F876" s="285">
        <v>20</v>
      </c>
      <c r="G876" s="285" t="s">
        <v>3014</v>
      </c>
      <c r="H876" s="285" t="s">
        <v>964</v>
      </c>
      <c r="I876" s="285" t="s">
        <v>1075</v>
      </c>
      <c r="J876" s="302">
        <v>7060230407966</v>
      </c>
      <c r="K876" s="282">
        <v>45063</v>
      </c>
      <c r="L876" s="285"/>
      <c r="M876" s="285"/>
      <c r="N876" s="285"/>
      <c r="O876" s="285" t="s">
        <v>25</v>
      </c>
      <c r="P876" s="285" t="s">
        <v>25</v>
      </c>
      <c r="Q876" s="285" t="s">
        <v>25</v>
      </c>
      <c r="R876" s="564"/>
      <c r="S876" s="295"/>
      <c r="T876" s="285"/>
      <c r="U876" s="285"/>
      <c r="V876" s="285"/>
      <c r="W876" s="285"/>
    </row>
    <row r="877" spans="1:23" x14ac:dyDescent="0.25">
      <c r="A877" s="31">
        <v>43</v>
      </c>
      <c r="B877" s="285" t="s">
        <v>3015</v>
      </c>
      <c r="C877" s="285" t="s">
        <v>1072</v>
      </c>
      <c r="D877" s="285" t="s">
        <v>1072</v>
      </c>
      <c r="E877" s="285">
        <v>1.78</v>
      </c>
      <c r="F877" s="285">
        <v>20</v>
      </c>
      <c r="G877" s="285" t="s">
        <v>3016</v>
      </c>
      <c r="H877" s="285" t="s">
        <v>963</v>
      </c>
      <c r="I877" s="285" t="s">
        <v>1075</v>
      </c>
      <c r="J877" s="302">
        <v>7020230218638</v>
      </c>
      <c r="K877" s="282">
        <v>45064</v>
      </c>
      <c r="L877" s="285"/>
      <c r="M877" s="285"/>
      <c r="N877" s="285"/>
      <c r="O877" s="285" t="s">
        <v>25</v>
      </c>
      <c r="P877" s="285" t="s">
        <v>25</v>
      </c>
      <c r="Q877" s="285" t="s">
        <v>25</v>
      </c>
      <c r="R877" s="564"/>
      <c r="S877" s="295"/>
      <c r="T877" s="285"/>
      <c r="U877" s="285"/>
      <c r="V877" s="285"/>
      <c r="W877" s="285"/>
    </row>
    <row r="878" spans="1:23" x14ac:dyDescent="0.25">
      <c r="A878" s="31">
        <v>44</v>
      </c>
      <c r="B878" s="285" t="s">
        <v>3017</v>
      </c>
      <c r="C878" s="285" t="s">
        <v>1119</v>
      </c>
      <c r="D878" s="285" t="s">
        <v>1100</v>
      </c>
      <c r="E878" s="285">
        <v>4.5</v>
      </c>
      <c r="F878" s="285">
        <v>20</v>
      </c>
      <c r="G878" s="285" t="s">
        <v>3018</v>
      </c>
      <c r="H878" s="285" t="s">
        <v>964</v>
      </c>
      <c r="I878" s="285" t="s">
        <v>1075</v>
      </c>
      <c r="J878" s="302">
        <v>7050220204812</v>
      </c>
      <c r="K878" s="282">
        <v>45064</v>
      </c>
      <c r="L878" s="285"/>
      <c r="M878" s="285"/>
      <c r="N878" s="285"/>
      <c r="O878" s="285" t="s">
        <v>25</v>
      </c>
      <c r="P878" s="285" t="s">
        <v>25</v>
      </c>
      <c r="Q878" s="285" t="s">
        <v>25</v>
      </c>
      <c r="R878" s="564"/>
      <c r="S878" s="295"/>
      <c r="T878" s="285"/>
      <c r="U878" s="285"/>
      <c r="V878" s="285"/>
      <c r="W878" s="285"/>
    </row>
    <row r="879" spans="1:23" x14ac:dyDescent="0.25">
      <c r="A879" s="31">
        <v>45</v>
      </c>
      <c r="B879" s="285" t="s">
        <v>3146</v>
      </c>
      <c r="C879" s="285" t="s">
        <v>3147</v>
      </c>
      <c r="D879" s="285" t="s">
        <v>1085</v>
      </c>
      <c r="E879" s="285">
        <v>1</v>
      </c>
      <c r="F879" s="285">
        <v>20</v>
      </c>
      <c r="G879" s="285" t="s">
        <v>3148</v>
      </c>
      <c r="H879" s="285" t="s">
        <v>963</v>
      </c>
      <c r="I879" s="285" t="s">
        <v>1075</v>
      </c>
      <c r="J879" s="302">
        <v>7030230523875</v>
      </c>
      <c r="K879" s="282">
        <v>45099</v>
      </c>
      <c r="L879" s="285"/>
      <c r="M879" s="285"/>
      <c r="N879" s="285"/>
      <c r="O879" s="285" t="s">
        <v>25</v>
      </c>
      <c r="P879" s="285" t="s">
        <v>25</v>
      </c>
      <c r="Q879" s="285" t="s">
        <v>25</v>
      </c>
      <c r="R879" s="564"/>
      <c r="S879" s="295"/>
      <c r="T879" s="285"/>
      <c r="U879" s="285"/>
      <c r="V879" s="285"/>
      <c r="W879" s="285"/>
    </row>
    <row r="880" spans="1:23" x14ac:dyDescent="0.25">
      <c r="A880" s="31">
        <v>46</v>
      </c>
      <c r="B880" s="285" t="s">
        <v>3149</v>
      </c>
      <c r="C880" s="285" t="s">
        <v>1072</v>
      </c>
      <c r="D880" s="285" t="s">
        <v>1072</v>
      </c>
      <c r="E880" s="285">
        <v>2.2999999999999998</v>
      </c>
      <c r="F880" s="285">
        <v>20</v>
      </c>
      <c r="G880" s="285" t="s">
        <v>3150</v>
      </c>
      <c r="H880" s="285" t="s">
        <v>964</v>
      </c>
      <c r="I880" s="285" t="s">
        <v>1075</v>
      </c>
      <c r="J880" s="302">
        <v>7020230521319</v>
      </c>
      <c r="K880" s="282">
        <v>45103</v>
      </c>
      <c r="L880" s="285" t="s">
        <v>3805</v>
      </c>
      <c r="M880" s="295">
        <v>45209</v>
      </c>
      <c r="N880" s="285"/>
      <c r="O880" s="285" t="s">
        <v>25</v>
      </c>
      <c r="P880" s="285" t="s">
        <v>25</v>
      </c>
      <c r="Q880" s="285" t="s">
        <v>25</v>
      </c>
      <c r="R880" s="564"/>
      <c r="S880" s="295"/>
      <c r="T880" s="285"/>
      <c r="U880" s="285"/>
      <c r="V880" s="285"/>
      <c r="W880" s="285"/>
    </row>
    <row r="881" spans="1:23" x14ac:dyDescent="0.25">
      <c r="A881" s="31">
        <v>47</v>
      </c>
      <c r="B881" s="285" t="s">
        <v>3151</v>
      </c>
      <c r="C881" s="285" t="s">
        <v>1090</v>
      </c>
      <c r="D881" s="285" t="s">
        <v>1090</v>
      </c>
      <c r="E881" s="285">
        <v>5.0199999999999996</v>
      </c>
      <c r="F881" s="285">
        <v>20</v>
      </c>
      <c r="G881" s="285" t="s">
        <v>3152</v>
      </c>
      <c r="H881" s="285" t="s">
        <v>3153</v>
      </c>
      <c r="I881" s="285" t="s">
        <v>1075</v>
      </c>
      <c r="J881" s="302">
        <v>7010230635224</v>
      </c>
      <c r="K881" s="282">
        <v>45110</v>
      </c>
      <c r="L881" s="285"/>
      <c r="M881" s="285"/>
      <c r="N881" s="285"/>
      <c r="O881" s="285" t="s">
        <v>25</v>
      </c>
      <c r="P881" s="285" t="s">
        <v>25</v>
      </c>
      <c r="Q881" s="285" t="s">
        <v>25</v>
      </c>
      <c r="R881" s="564"/>
      <c r="S881" s="295"/>
      <c r="T881" s="285"/>
      <c r="U881" s="285"/>
      <c r="V881" s="285"/>
      <c r="W881" s="285"/>
    </row>
    <row r="882" spans="1:23" x14ac:dyDescent="0.25">
      <c r="A882" s="31">
        <v>48</v>
      </c>
      <c r="B882" s="285" t="s">
        <v>2218</v>
      </c>
      <c r="C882" s="285" t="s">
        <v>2202</v>
      </c>
      <c r="D882" s="285" t="s">
        <v>1090</v>
      </c>
      <c r="E882" s="378">
        <v>3</v>
      </c>
      <c r="F882" s="285">
        <v>20</v>
      </c>
      <c r="G882" s="285" t="s">
        <v>3221</v>
      </c>
      <c r="H882" s="285" t="s">
        <v>964</v>
      </c>
      <c r="I882" s="285" t="s">
        <v>1075</v>
      </c>
      <c r="J882" s="302">
        <v>7010230737020</v>
      </c>
      <c r="K882" s="282">
        <v>45134</v>
      </c>
      <c r="L882" s="285"/>
      <c r="M882" s="285"/>
      <c r="N882" s="285"/>
      <c r="O882" s="285" t="s">
        <v>25</v>
      </c>
      <c r="P882" s="285" t="s">
        <v>25</v>
      </c>
      <c r="Q882" s="285" t="s">
        <v>25</v>
      </c>
      <c r="R882" s="564"/>
      <c r="S882" s="295"/>
      <c r="T882" s="285"/>
      <c r="U882" s="285"/>
      <c r="V882" s="285"/>
      <c r="W882" s="285"/>
    </row>
    <row r="883" spans="1:23" x14ac:dyDescent="0.25">
      <c r="A883" s="31">
        <v>49</v>
      </c>
      <c r="B883" s="285" t="s">
        <v>3453</v>
      </c>
      <c r="C883" s="285" t="s">
        <v>1084</v>
      </c>
      <c r="D883" s="285" t="s">
        <v>1085</v>
      </c>
      <c r="E883" s="294">
        <v>2.4</v>
      </c>
      <c r="F883" s="285">
        <v>20</v>
      </c>
      <c r="G883" s="285" t="s">
        <v>3454</v>
      </c>
      <c r="H883" s="285" t="s">
        <v>964</v>
      </c>
      <c r="I883" s="285" t="s">
        <v>1075</v>
      </c>
      <c r="J883" s="302">
        <v>7030230725067</v>
      </c>
      <c r="K883" s="282">
        <v>45142</v>
      </c>
      <c r="L883" s="585" t="s">
        <v>4114</v>
      </c>
      <c r="M883" s="586">
        <v>45187</v>
      </c>
      <c r="N883" s="285"/>
      <c r="O883" s="285" t="s">
        <v>25</v>
      </c>
      <c r="P883" s="285" t="s">
        <v>25</v>
      </c>
      <c r="Q883" s="285" t="s">
        <v>25</v>
      </c>
      <c r="R883" s="564"/>
      <c r="S883" s="295"/>
      <c r="T883" s="285"/>
      <c r="U883" s="285"/>
      <c r="V883" s="285"/>
      <c r="W883" s="285"/>
    </row>
    <row r="884" spans="1:23" x14ac:dyDescent="0.25">
      <c r="A884" s="31">
        <v>50</v>
      </c>
      <c r="B884" s="285" t="s">
        <v>3455</v>
      </c>
      <c r="C884" s="285" t="s">
        <v>3147</v>
      </c>
      <c r="D884" s="285" t="s">
        <v>1085</v>
      </c>
      <c r="E884" s="294">
        <v>1.5</v>
      </c>
      <c r="F884" s="285">
        <v>20</v>
      </c>
      <c r="G884" s="285" t="s">
        <v>3456</v>
      </c>
      <c r="H884" s="285" t="s">
        <v>963</v>
      </c>
      <c r="I884" s="285" t="s">
        <v>1075</v>
      </c>
      <c r="J884" s="302">
        <v>7030230725395</v>
      </c>
      <c r="K884" s="282">
        <v>45148</v>
      </c>
      <c r="L884" s="285"/>
      <c r="M884" s="285"/>
      <c r="N884" s="285"/>
      <c r="O884" s="285" t="s">
        <v>25</v>
      </c>
      <c r="P884" s="285" t="s">
        <v>25</v>
      </c>
      <c r="Q884" s="285" t="s">
        <v>25</v>
      </c>
      <c r="R884" s="564"/>
      <c r="S884" s="295"/>
      <c r="T884" s="285"/>
      <c r="U884" s="285"/>
      <c r="V884" s="285"/>
      <c r="W884" s="285"/>
    </row>
    <row r="885" spans="1:23" x14ac:dyDescent="0.25">
      <c r="A885" s="31">
        <v>51</v>
      </c>
      <c r="B885" s="285" t="s">
        <v>4115</v>
      </c>
      <c r="C885" s="285" t="s">
        <v>2202</v>
      </c>
      <c r="D885" s="285" t="s">
        <v>1072</v>
      </c>
      <c r="E885" s="378">
        <v>2.4780000000000002</v>
      </c>
      <c r="F885" s="285">
        <v>20</v>
      </c>
      <c r="G885" s="285" t="s">
        <v>4116</v>
      </c>
      <c r="H885" s="285" t="s">
        <v>963</v>
      </c>
      <c r="I885" s="285" t="s">
        <v>1075</v>
      </c>
      <c r="J885" s="302">
        <v>7020230622160</v>
      </c>
      <c r="K885" s="282">
        <v>45132</v>
      </c>
      <c r="L885" s="285" t="s">
        <v>4117</v>
      </c>
      <c r="M885" s="295">
        <v>45218</v>
      </c>
      <c r="N885" s="285"/>
      <c r="O885" s="285" t="s">
        <v>25</v>
      </c>
      <c r="P885" s="285" t="s">
        <v>25</v>
      </c>
      <c r="Q885" s="285" t="s">
        <v>25</v>
      </c>
      <c r="R885" s="564"/>
      <c r="S885" s="295"/>
      <c r="T885" s="285"/>
      <c r="U885" s="285"/>
      <c r="V885" s="285"/>
      <c r="W885" s="285"/>
    </row>
    <row r="886" spans="1:23" x14ac:dyDescent="0.25">
      <c r="A886" s="31">
        <v>52</v>
      </c>
      <c r="B886" s="285" t="s">
        <v>4118</v>
      </c>
      <c r="C886" s="285" t="s">
        <v>1121</v>
      </c>
      <c r="D886" s="285" t="s">
        <v>1072</v>
      </c>
      <c r="E886" s="378">
        <v>2</v>
      </c>
      <c r="F886" s="285">
        <v>20</v>
      </c>
      <c r="G886" s="285" t="s">
        <v>4119</v>
      </c>
      <c r="H886" s="285" t="s">
        <v>4120</v>
      </c>
      <c r="I886" s="285" t="s">
        <v>1075</v>
      </c>
      <c r="J886" s="302">
        <v>7020230218487</v>
      </c>
      <c r="K886" s="282">
        <v>45230</v>
      </c>
      <c r="L886" s="285"/>
      <c r="M886" s="285"/>
      <c r="N886" s="285"/>
      <c r="O886" s="285" t="s">
        <v>25</v>
      </c>
      <c r="P886" s="285" t="s">
        <v>25</v>
      </c>
      <c r="Q886" s="285" t="s">
        <v>25</v>
      </c>
      <c r="R886" s="564"/>
      <c r="S886" s="295"/>
      <c r="T886" s="285"/>
      <c r="U886" s="285"/>
      <c r="V886" s="285"/>
      <c r="W886" s="285"/>
    </row>
    <row r="887" spans="1:23" x14ac:dyDescent="0.25">
      <c r="A887" s="31">
        <v>53</v>
      </c>
      <c r="B887" s="285" t="s">
        <v>4121</v>
      </c>
      <c r="C887" s="285" t="s">
        <v>1128</v>
      </c>
      <c r="D887" s="285" t="s">
        <v>1090</v>
      </c>
      <c r="E887" s="294">
        <v>1.22</v>
      </c>
      <c r="F887" s="285">
        <v>6</v>
      </c>
      <c r="G887" s="285" t="s">
        <v>4122</v>
      </c>
      <c r="H887" s="285" t="s">
        <v>3166</v>
      </c>
      <c r="I887" s="285" t="s">
        <v>1075</v>
      </c>
      <c r="J887" s="302">
        <v>7010231039750</v>
      </c>
      <c r="K887" s="282">
        <v>45250</v>
      </c>
      <c r="L887" s="285" t="s">
        <v>4671</v>
      </c>
      <c r="M887" s="295">
        <v>45316</v>
      </c>
      <c r="N887" s="285"/>
      <c r="O887" s="285" t="s">
        <v>25</v>
      </c>
      <c r="P887" s="285" t="s">
        <v>25</v>
      </c>
      <c r="Q887" s="285" t="s">
        <v>25</v>
      </c>
      <c r="R887" s="564"/>
      <c r="S887" s="295"/>
      <c r="T887" s="285"/>
      <c r="U887" s="285"/>
      <c r="V887" s="285"/>
      <c r="W887" s="285"/>
    </row>
    <row r="888" spans="1:23" x14ac:dyDescent="0.25">
      <c r="A888" s="31">
        <v>54</v>
      </c>
      <c r="B888" s="285" t="s">
        <v>4123</v>
      </c>
      <c r="C888" s="285" t="s">
        <v>4124</v>
      </c>
      <c r="D888" s="285" t="s">
        <v>1090</v>
      </c>
      <c r="E888" s="294">
        <v>2.8</v>
      </c>
      <c r="F888" s="285">
        <v>6</v>
      </c>
      <c r="G888" s="285" t="s">
        <v>4125</v>
      </c>
      <c r="H888" s="285" t="s">
        <v>3166</v>
      </c>
      <c r="I888" s="285" t="s">
        <v>1075</v>
      </c>
      <c r="J888" s="302">
        <v>7010231041041</v>
      </c>
      <c r="K888" s="282">
        <v>45251</v>
      </c>
      <c r="L888" s="285"/>
      <c r="M888" s="285"/>
      <c r="N888" s="285"/>
      <c r="O888" s="285" t="s">
        <v>25</v>
      </c>
      <c r="P888" s="285" t="s">
        <v>25</v>
      </c>
      <c r="Q888" s="285" t="s">
        <v>25</v>
      </c>
      <c r="R888" s="564"/>
      <c r="S888" s="295"/>
      <c r="T888" s="285"/>
      <c r="U888" s="285"/>
      <c r="V888" s="285"/>
      <c r="W888" s="285"/>
    </row>
    <row r="889" spans="1:23" x14ac:dyDescent="0.25">
      <c r="A889" s="31">
        <v>55</v>
      </c>
      <c r="B889" s="285" t="s">
        <v>4126</v>
      </c>
      <c r="C889" s="285" t="s">
        <v>4127</v>
      </c>
      <c r="D889" s="285" t="s">
        <v>1090</v>
      </c>
      <c r="E889" s="378">
        <v>3.5</v>
      </c>
      <c r="F889" s="285">
        <v>20</v>
      </c>
      <c r="G889" s="285" t="s">
        <v>4128</v>
      </c>
      <c r="H889" s="285" t="s">
        <v>964</v>
      </c>
      <c r="I889" s="285" t="s">
        <v>1075</v>
      </c>
      <c r="J889" s="302">
        <v>7010230635494</v>
      </c>
      <c r="K889" s="282">
        <v>45273</v>
      </c>
      <c r="L889" s="285"/>
      <c r="M889" s="285"/>
      <c r="N889" s="285"/>
      <c r="O889" s="285"/>
      <c r="P889" s="285"/>
      <c r="Q889" s="285"/>
      <c r="R889" s="564"/>
      <c r="S889" s="295"/>
      <c r="T889" s="285"/>
      <c r="U889" s="285"/>
      <c r="V889" s="285"/>
      <c r="W889" s="285"/>
    </row>
    <row r="890" spans="1:23" x14ac:dyDescent="0.25">
      <c r="A890" s="31">
        <v>56</v>
      </c>
      <c r="B890" s="285" t="s">
        <v>4129</v>
      </c>
      <c r="C890" s="285" t="s">
        <v>1090</v>
      </c>
      <c r="D890" s="285" t="s">
        <v>1090</v>
      </c>
      <c r="E890" s="378">
        <v>4.5999999999999996</v>
      </c>
      <c r="F890" s="285">
        <v>20</v>
      </c>
      <c r="G890" s="285" t="s">
        <v>4130</v>
      </c>
      <c r="H890" s="285" t="s">
        <v>963</v>
      </c>
      <c r="I890" s="285" t="s">
        <v>1075</v>
      </c>
      <c r="J890" s="302">
        <v>7010230837784</v>
      </c>
      <c r="K890" s="281"/>
      <c r="L890" s="285"/>
      <c r="M890" s="285"/>
      <c r="N890" s="285"/>
      <c r="O890" s="285"/>
      <c r="P890" s="285"/>
      <c r="Q890" s="285"/>
      <c r="R890" s="564"/>
      <c r="S890" s="295"/>
      <c r="T890" s="285"/>
      <c r="U890" s="285"/>
      <c r="V890" s="285"/>
      <c r="W890" s="285"/>
    </row>
    <row r="891" spans="1:23" x14ac:dyDescent="0.25">
      <c r="A891" s="31">
        <v>57</v>
      </c>
      <c r="B891" s="285" t="s">
        <v>4256</v>
      </c>
      <c r="C891" s="285" t="s">
        <v>4257</v>
      </c>
      <c r="D891" s="285" t="s">
        <v>1090</v>
      </c>
      <c r="E891" s="378">
        <v>1</v>
      </c>
      <c r="F891" s="285">
        <v>20</v>
      </c>
      <c r="G891" s="285" t="s">
        <v>4258</v>
      </c>
      <c r="H891" s="285" t="s">
        <v>963</v>
      </c>
      <c r="I891" s="285" t="s">
        <v>1075</v>
      </c>
      <c r="J891" s="302">
        <v>7010231040762</v>
      </c>
      <c r="K891" s="282">
        <v>45278</v>
      </c>
      <c r="L891" s="285"/>
      <c r="M891" s="285"/>
      <c r="N891" s="285"/>
      <c r="O891" s="285"/>
      <c r="P891" s="285"/>
      <c r="Q891" s="285"/>
      <c r="R891" s="564"/>
      <c r="S891" s="295"/>
      <c r="T891" s="285"/>
      <c r="U891" s="285"/>
      <c r="V891" s="285"/>
      <c r="W891" s="285"/>
    </row>
    <row r="892" spans="1:23" x14ac:dyDescent="0.25">
      <c r="A892" s="31">
        <v>58</v>
      </c>
      <c r="B892" s="285" t="s">
        <v>4654</v>
      </c>
      <c r="C892" s="285" t="s">
        <v>4127</v>
      </c>
      <c r="D892" s="285" t="s">
        <v>1090</v>
      </c>
      <c r="E892" s="378">
        <v>1.6</v>
      </c>
      <c r="F892" s="285">
        <v>20</v>
      </c>
      <c r="G892" s="285" t="s">
        <v>4655</v>
      </c>
      <c r="H892" s="285" t="s">
        <v>1326</v>
      </c>
      <c r="I892" s="285" t="s">
        <v>1075</v>
      </c>
      <c r="J892" s="302">
        <v>7010240100529</v>
      </c>
      <c r="K892" s="282">
        <v>45323</v>
      </c>
      <c r="L892" s="285"/>
      <c r="M892" s="285"/>
      <c r="N892" s="285"/>
      <c r="O892" s="285"/>
      <c r="P892" s="285"/>
      <c r="Q892" s="285"/>
      <c r="R892" s="564">
        <v>7010240100529</v>
      </c>
      <c r="S892" s="295">
        <v>45331</v>
      </c>
      <c r="T892" s="285"/>
      <c r="U892" s="285"/>
      <c r="V892" s="285"/>
      <c r="W892" s="285"/>
    </row>
    <row r="893" spans="1:23" x14ac:dyDescent="0.25">
      <c r="A893" s="31">
        <v>59</v>
      </c>
      <c r="B893" s="285" t="s">
        <v>4739</v>
      </c>
      <c r="C893" s="285" t="s">
        <v>1109</v>
      </c>
      <c r="D893" s="285" t="s">
        <v>1090</v>
      </c>
      <c r="E893" s="285">
        <v>2</v>
      </c>
      <c r="F893" s="285">
        <v>20</v>
      </c>
      <c r="G893" s="285" t="s">
        <v>4740</v>
      </c>
      <c r="H893" s="285" t="s">
        <v>964</v>
      </c>
      <c r="I893" s="285" t="s">
        <v>1075</v>
      </c>
      <c r="J893" s="302">
        <v>7010230534412</v>
      </c>
      <c r="K893" s="282">
        <v>45343</v>
      </c>
      <c r="L893" s="285"/>
      <c r="M893" s="295"/>
      <c r="N893" s="285"/>
      <c r="O893" s="285" t="s">
        <v>25</v>
      </c>
      <c r="P893" s="285" t="s">
        <v>25</v>
      </c>
      <c r="Q893" s="285" t="s">
        <v>25</v>
      </c>
      <c r="R893" s="564"/>
      <c r="S893" s="295"/>
      <c r="T893" s="285"/>
      <c r="U893" s="285"/>
      <c r="V893" s="285"/>
      <c r="W893" s="285"/>
    </row>
    <row r="894" spans="1:23" x14ac:dyDescent="0.25">
      <c r="A894" s="31">
        <v>60</v>
      </c>
      <c r="B894" s="285" t="s">
        <v>4741</v>
      </c>
      <c r="C894" s="285" t="s">
        <v>4656</v>
      </c>
      <c r="D894" s="285" t="s">
        <v>1100</v>
      </c>
      <c r="E894" s="285">
        <v>1.28</v>
      </c>
      <c r="F894" s="285">
        <v>20</v>
      </c>
      <c r="G894" s="285" t="s">
        <v>4657</v>
      </c>
      <c r="H894" s="285" t="s">
        <v>964</v>
      </c>
      <c r="I894" s="285" t="s">
        <v>1075</v>
      </c>
      <c r="J894" s="302">
        <v>7050231214747</v>
      </c>
      <c r="K894" s="282">
        <v>45330</v>
      </c>
      <c r="L894" s="285" t="s">
        <v>4742</v>
      </c>
      <c r="M894" s="295">
        <v>45337</v>
      </c>
      <c r="N894" s="285"/>
      <c r="O894" s="285" t="s">
        <v>25</v>
      </c>
      <c r="P894" s="285" t="s">
        <v>25</v>
      </c>
      <c r="Q894" s="285" t="s">
        <v>25</v>
      </c>
      <c r="R894" s="564"/>
      <c r="S894" s="295"/>
      <c r="T894" s="285"/>
      <c r="U894" s="285"/>
      <c r="V894" s="285"/>
      <c r="W894" s="285"/>
    </row>
    <row r="895" spans="1:23" x14ac:dyDescent="0.25">
      <c r="A895" s="31">
        <v>61</v>
      </c>
      <c r="B895" s="285" t="s">
        <v>4743</v>
      </c>
      <c r="C895" s="285" t="s">
        <v>4127</v>
      </c>
      <c r="D895" s="285" t="s">
        <v>1090</v>
      </c>
      <c r="E895" s="285">
        <v>4.4000000000000004</v>
      </c>
      <c r="F895" s="285">
        <v>20</v>
      </c>
      <c r="G895" s="285" t="s">
        <v>4744</v>
      </c>
      <c r="H895" s="285" t="s">
        <v>1326</v>
      </c>
      <c r="I895" s="285" t="s">
        <v>1075</v>
      </c>
      <c r="J895" s="302">
        <v>7010240100554</v>
      </c>
      <c r="K895" s="282">
        <v>45323</v>
      </c>
      <c r="L895" s="285"/>
      <c r="M895" s="295"/>
      <c r="N895" s="285"/>
      <c r="O895" s="285" t="s">
        <v>25</v>
      </c>
      <c r="P895" s="285" t="s">
        <v>25</v>
      </c>
      <c r="Q895" s="285" t="s">
        <v>25</v>
      </c>
      <c r="R895" s="564">
        <v>7010240100554</v>
      </c>
      <c r="S895" s="295">
        <v>45331</v>
      </c>
      <c r="T895" s="285"/>
      <c r="U895" s="285"/>
      <c r="V895" s="285"/>
      <c r="W895" s="285"/>
    </row>
    <row r="896" spans="1:23" x14ac:dyDescent="0.25">
      <c r="A896" s="31">
        <v>62</v>
      </c>
      <c r="B896" s="285" t="s">
        <v>2173</v>
      </c>
      <c r="C896" s="285" t="s">
        <v>1072</v>
      </c>
      <c r="D896" s="285" t="s">
        <v>1072</v>
      </c>
      <c r="E896" s="285">
        <v>2.2000000000000002</v>
      </c>
      <c r="F896" s="285">
        <v>20</v>
      </c>
      <c r="G896" s="285" t="s">
        <v>4745</v>
      </c>
      <c r="H896" s="285" t="s">
        <v>963</v>
      </c>
      <c r="I896" s="285" t="s">
        <v>1075</v>
      </c>
      <c r="J896" s="302">
        <v>7020220108735</v>
      </c>
      <c r="K896" s="282">
        <v>44700</v>
      </c>
      <c r="L896" s="285" t="s">
        <v>4746</v>
      </c>
      <c r="M896" s="295">
        <v>44796</v>
      </c>
      <c r="N896" s="285"/>
      <c r="O896" s="285" t="s">
        <v>25</v>
      </c>
      <c r="P896" s="285" t="s">
        <v>25</v>
      </c>
      <c r="Q896" s="285" t="s">
        <v>25</v>
      </c>
      <c r="R896" s="564">
        <v>7020220108735</v>
      </c>
      <c r="S896" s="295">
        <v>45330</v>
      </c>
      <c r="T896" s="285"/>
      <c r="U896" s="285"/>
      <c r="V896" s="285"/>
      <c r="W896" s="285"/>
    </row>
    <row r="897" spans="1:23" x14ac:dyDescent="0.25">
      <c r="A897" s="31">
        <v>63</v>
      </c>
      <c r="B897" s="285" t="s">
        <v>5049</v>
      </c>
      <c r="C897" s="285" t="s">
        <v>3801</v>
      </c>
      <c r="D897" s="285" t="s">
        <v>1072</v>
      </c>
      <c r="E897" s="294">
        <v>9.0359999999999996</v>
      </c>
      <c r="F897" s="285">
        <v>20</v>
      </c>
      <c r="G897" s="285" t="s">
        <v>5050</v>
      </c>
      <c r="H897" s="285" t="s">
        <v>963</v>
      </c>
      <c r="I897" s="285" t="s">
        <v>1075</v>
      </c>
      <c r="J897" s="302">
        <v>7020230923874</v>
      </c>
      <c r="K897" s="282">
        <v>45434</v>
      </c>
      <c r="L897" s="285"/>
      <c r="M897" s="285"/>
      <c r="N897" s="285"/>
      <c r="O897" s="285"/>
      <c r="P897" s="285"/>
      <c r="Q897" s="285"/>
      <c r="R897" s="564"/>
      <c r="S897" s="295"/>
      <c r="T897" s="285"/>
      <c r="U897" s="285"/>
      <c r="V897" s="285"/>
      <c r="W897" s="285"/>
    </row>
    <row r="898" spans="1:23" x14ac:dyDescent="0.25">
      <c r="A898" s="31">
        <v>64</v>
      </c>
      <c r="B898" s="285" t="s">
        <v>5051</v>
      </c>
      <c r="C898" s="285" t="s">
        <v>1090</v>
      </c>
      <c r="D898" s="285" t="s">
        <v>1090</v>
      </c>
      <c r="E898" s="294">
        <v>2.4660000000000002</v>
      </c>
      <c r="F898" s="285">
        <v>20</v>
      </c>
      <c r="G898" s="285" t="s">
        <v>5052</v>
      </c>
      <c r="H898" s="285" t="s">
        <v>963</v>
      </c>
      <c r="I898" s="285" t="s">
        <v>1075</v>
      </c>
      <c r="J898" s="302">
        <v>7010231242754</v>
      </c>
      <c r="K898" s="282">
        <v>45425</v>
      </c>
      <c r="L898" s="285"/>
      <c r="M898" s="285"/>
      <c r="N898" s="285"/>
      <c r="O898" s="285"/>
      <c r="P898" s="285"/>
      <c r="Q898" s="285"/>
      <c r="R898" s="564"/>
      <c r="S898" s="295"/>
      <c r="T898" s="285"/>
      <c r="U898" s="285"/>
      <c r="V898" s="285"/>
      <c r="W898" s="285"/>
    </row>
    <row r="899" spans="1:23" x14ac:dyDescent="0.25">
      <c r="A899" s="31">
        <v>65</v>
      </c>
      <c r="B899" s="285" t="s">
        <v>2588</v>
      </c>
      <c r="C899" s="285" t="s">
        <v>1072</v>
      </c>
      <c r="D899" s="285" t="s">
        <v>1072</v>
      </c>
      <c r="E899" s="294">
        <v>12.3</v>
      </c>
      <c r="F899" s="285">
        <v>20</v>
      </c>
      <c r="G899" s="285" t="s">
        <v>5053</v>
      </c>
      <c r="H899" s="285" t="s">
        <v>964</v>
      </c>
      <c r="I899" s="285" t="s">
        <v>1075</v>
      </c>
      <c r="J899" s="302">
        <v>7020240301794</v>
      </c>
      <c r="K899" s="282">
        <v>45404</v>
      </c>
      <c r="L899" s="285"/>
      <c r="M899" s="285"/>
      <c r="N899" s="285"/>
      <c r="O899" s="285"/>
      <c r="P899" s="285"/>
      <c r="Q899" s="285"/>
      <c r="R899" s="564"/>
      <c r="S899" s="295"/>
      <c r="T899" s="285"/>
      <c r="U899" s="285"/>
      <c r="V899" s="285"/>
      <c r="W899" s="285"/>
    </row>
    <row r="900" spans="1:23" x14ac:dyDescent="0.25">
      <c r="A900" s="31">
        <v>66</v>
      </c>
      <c r="B900" s="285" t="s">
        <v>5329</v>
      </c>
      <c r="C900" s="285" t="s">
        <v>5330</v>
      </c>
      <c r="D900" s="285" t="s">
        <v>1090</v>
      </c>
      <c r="E900" s="294">
        <v>1</v>
      </c>
      <c r="F900" s="285">
        <v>20</v>
      </c>
      <c r="G900" s="285" t="s">
        <v>5331</v>
      </c>
      <c r="H900" s="285" t="s">
        <v>5332</v>
      </c>
      <c r="I900" s="285" t="s">
        <v>1075</v>
      </c>
      <c r="J900" s="302">
        <v>7010221126435</v>
      </c>
      <c r="K900" s="282">
        <v>45475</v>
      </c>
      <c r="L900" s="285"/>
      <c r="M900" s="285"/>
      <c r="N900" s="285"/>
      <c r="O900" s="285" t="s">
        <v>25</v>
      </c>
      <c r="P900" s="285" t="s">
        <v>25</v>
      </c>
      <c r="Q900" s="285" t="s">
        <v>25</v>
      </c>
      <c r="R900" s="564"/>
      <c r="S900" s="295"/>
      <c r="T900" s="285"/>
      <c r="U900" s="285"/>
      <c r="V900" s="285"/>
      <c r="W900" s="285"/>
    </row>
    <row r="901" spans="1:23" x14ac:dyDescent="0.25">
      <c r="A901" s="281">
        <v>67</v>
      </c>
      <c r="B901" s="285" t="s">
        <v>5612</v>
      </c>
      <c r="C901" s="285" t="s">
        <v>5613</v>
      </c>
      <c r="D901" s="285" t="s">
        <v>4656</v>
      </c>
      <c r="E901" s="294">
        <v>3.5</v>
      </c>
      <c r="F901" s="285">
        <v>20</v>
      </c>
      <c r="G901" s="285" t="s">
        <v>5614</v>
      </c>
      <c r="H901" s="285" t="s">
        <v>964</v>
      </c>
      <c r="I901" s="285" t="s">
        <v>1075</v>
      </c>
      <c r="J901" s="302">
        <v>7050240703884</v>
      </c>
      <c r="K901" s="282">
        <v>45512</v>
      </c>
      <c r="L901" s="285" t="s">
        <v>5615</v>
      </c>
      <c r="M901" s="295">
        <v>45525</v>
      </c>
      <c r="N901" s="285"/>
      <c r="O901" s="285"/>
      <c r="P901" s="285"/>
      <c r="Q901" s="285"/>
      <c r="R901" s="285"/>
      <c r="S901" s="285"/>
      <c r="T901" s="285"/>
      <c r="U901" s="285"/>
      <c r="V901" s="285"/>
      <c r="W901" s="285"/>
    </row>
    <row r="902" spans="1:23" x14ac:dyDescent="0.25">
      <c r="A902" s="281">
        <v>68</v>
      </c>
      <c r="B902" s="285" t="s">
        <v>5616</v>
      </c>
      <c r="C902" s="285" t="s">
        <v>1080</v>
      </c>
      <c r="D902" s="285" t="s">
        <v>5617</v>
      </c>
      <c r="E902" s="294">
        <v>1.4</v>
      </c>
      <c r="F902" s="285">
        <v>20</v>
      </c>
      <c r="G902" s="285" t="s">
        <v>5618</v>
      </c>
      <c r="H902" s="285" t="s">
        <v>964</v>
      </c>
      <c r="I902" s="285" t="s">
        <v>1075</v>
      </c>
      <c r="J902" s="302">
        <v>7040231221634</v>
      </c>
      <c r="K902" s="282">
        <v>45511</v>
      </c>
      <c r="L902" s="285"/>
      <c r="M902" s="285"/>
      <c r="N902" s="285"/>
      <c r="O902" s="285"/>
      <c r="P902" s="285"/>
      <c r="Q902" s="285"/>
      <c r="R902" s="285"/>
      <c r="S902" s="285"/>
      <c r="T902" s="285"/>
      <c r="U902" s="285"/>
      <c r="V902" s="285"/>
      <c r="W902" s="285"/>
    </row>
    <row r="903" spans="1:23" x14ac:dyDescent="0.25">
      <c r="A903" s="281">
        <v>69</v>
      </c>
      <c r="B903" s="285" t="s">
        <v>5891</v>
      </c>
      <c r="C903" s="285" t="s">
        <v>3147</v>
      </c>
      <c r="D903" s="285" t="s">
        <v>1085</v>
      </c>
      <c r="E903" s="285">
        <v>2.21</v>
      </c>
      <c r="F903" s="285">
        <v>20</v>
      </c>
      <c r="G903" s="285" t="s">
        <v>5892</v>
      </c>
      <c r="H903" s="285" t="s">
        <v>964</v>
      </c>
      <c r="I903" s="285" t="s">
        <v>1075</v>
      </c>
      <c r="J903" s="302">
        <v>7030240100320</v>
      </c>
      <c r="K903" s="282">
        <v>45560</v>
      </c>
      <c r="L903" s="285"/>
      <c r="M903" s="285"/>
      <c r="N903" s="285"/>
      <c r="O903" s="285"/>
      <c r="P903" s="285"/>
      <c r="Q903" s="285"/>
      <c r="R903" s="285"/>
      <c r="S903" s="285"/>
      <c r="T903" s="285"/>
      <c r="U903" s="285"/>
      <c r="V903" s="285"/>
      <c r="W903" s="285"/>
    </row>
    <row r="904" spans="1:23" x14ac:dyDescent="0.25">
      <c r="A904" s="281">
        <v>70</v>
      </c>
      <c r="B904" s="647" t="s">
        <v>6003</v>
      </c>
      <c r="C904" s="285" t="s">
        <v>1072</v>
      </c>
      <c r="D904" s="285" t="s">
        <v>5604</v>
      </c>
      <c r="E904" s="294">
        <v>3.0990000000000002</v>
      </c>
      <c r="F904" s="285">
        <v>20</v>
      </c>
      <c r="G904" s="285" t="s">
        <v>6004</v>
      </c>
      <c r="H904" s="285" t="s">
        <v>963</v>
      </c>
      <c r="I904" s="285" t="s">
        <v>1075</v>
      </c>
      <c r="J904" s="302">
        <v>7020240604320</v>
      </c>
      <c r="K904" s="282">
        <v>45600</v>
      </c>
      <c r="L904" s="285"/>
      <c r="M904" s="285"/>
      <c r="N904" s="285"/>
      <c r="O904" s="285"/>
      <c r="P904" s="285"/>
      <c r="Q904" s="285"/>
      <c r="R904" s="285"/>
      <c r="S904" s="285"/>
      <c r="T904" s="285"/>
      <c r="U904" s="285"/>
      <c r="V904" s="285"/>
      <c r="W904" s="285"/>
    </row>
    <row r="905" spans="1:23" x14ac:dyDescent="0.25">
      <c r="A905" s="281">
        <v>71</v>
      </c>
      <c r="B905" s="647" t="s">
        <v>6005</v>
      </c>
      <c r="C905" s="285" t="s">
        <v>1102</v>
      </c>
      <c r="D905" s="285" t="s">
        <v>3440</v>
      </c>
      <c r="E905" s="294">
        <v>3.2</v>
      </c>
      <c r="F905" s="285">
        <v>20</v>
      </c>
      <c r="G905" s="285" t="s">
        <v>6006</v>
      </c>
      <c r="H905" s="285" t="s">
        <v>964</v>
      </c>
      <c r="I905" s="285" t="s">
        <v>1075</v>
      </c>
      <c r="J905" s="302">
        <v>7030240605530</v>
      </c>
      <c r="K905" s="282">
        <v>45623</v>
      </c>
      <c r="L905" s="285"/>
      <c r="M905" s="285"/>
      <c r="N905" s="285"/>
      <c r="O905" s="285"/>
      <c r="P905" s="285"/>
      <c r="Q905" s="285"/>
      <c r="R905" s="285"/>
      <c r="S905" s="285"/>
      <c r="T905" s="285"/>
      <c r="U905" s="285"/>
      <c r="V905" s="285"/>
      <c r="W905" s="285"/>
    </row>
    <row r="906" spans="1:23" x14ac:dyDescent="0.25">
      <c r="A906" s="281">
        <v>72</v>
      </c>
      <c r="B906" s="647" t="s">
        <v>6007</v>
      </c>
      <c r="C906" s="285" t="s">
        <v>2873</v>
      </c>
      <c r="D906" s="285" t="s">
        <v>1090</v>
      </c>
      <c r="E906" s="294">
        <v>2.0459999999999998</v>
      </c>
      <c r="F906" s="285">
        <v>20</v>
      </c>
      <c r="G906" s="285" t="s">
        <v>6008</v>
      </c>
      <c r="H906" s="285" t="s">
        <v>963</v>
      </c>
      <c r="I906" s="285" t="s">
        <v>1075</v>
      </c>
      <c r="J906" s="302">
        <v>7010240810533</v>
      </c>
      <c r="K906" s="282">
        <v>45616</v>
      </c>
      <c r="L906" s="285"/>
      <c r="M906" s="285"/>
      <c r="N906" s="285"/>
      <c r="O906" s="285"/>
      <c r="P906" s="285"/>
      <c r="Q906" s="285"/>
      <c r="R906" s="285"/>
      <c r="S906" s="285"/>
      <c r="T906" s="285"/>
      <c r="U906" s="285"/>
      <c r="V906" s="285"/>
      <c r="W906" s="285"/>
    </row>
    <row r="907" spans="1:23" x14ac:dyDescent="0.25">
      <c r="A907" s="281">
        <v>73</v>
      </c>
      <c r="B907" s="647" t="s">
        <v>6009</v>
      </c>
      <c r="C907" s="285" t="s">
        <v>4656</v>
      </c>
      <c r="D907" s="285" t="s">
        <v>5613</v>
      </c>
      <c r="E907" s="294">
        <v>8.0640000000000001</v>
      </c>
      <c r="F907" s="285">
        <v>20</v>
      </c>
      <c r="G907" s="285" t="s">
        <v>6010</v>
      </c>
      <c r="H907" s="285" t="s">
        <v>963</v>
      </c>
      <c r="I907" s="285" t="s">
        <v>1075</v>
      </c>
      <c r="J907" s="302">
        <v>7050241004951</v>
      </c>
      <c r="K907" s="282">
        <v>45604</v>
      </c>
      <c r="L907" s="285"/>
      <c r="M907" s="285"/>
      <c r="N907" s="285"/>
      <c r="O907" s="285"/>
      <c r="P907" s="285"/>
      <c r="Q907" s="285"/>
      <c r="R907" s="285"/>
      <c r="S907" s="285"/>
      <c r="T907" s="285"/>
      <c r="U907" s="285"/>
      <c r="V907" s="285"/>
      <c r="W907" s="285"/>
    </row>
    <row r="908" spans="1:23" x14ac:dyDescent="0.25">
      <c r="A908" s="281">
        <v>74</v>
      </c>
      <c r="B908" s="647" t="s">
        <v>6011</v>
      </c>
      <c r="C908" s="285" t="s">
        <v>6012</v>
      </c>
      <c r="D908" s="285" t="s">
        <v>3440</v>
      </c>
      <c r="E908" s="294">
        <v>11.5</v>
      </c>
      <c r="F908" s="285">
        <v>110</v>
      </c>
      <c r="G908" s="285" t="s">
        <v>6013</v>
      </c>
      <c r="H908" s="285" t="s">
        <v>963</v>
      </c>
      <c r="I908" s="285" t="s">
        <v>1075</v>
      </c>
      <c r="J908" s="302">
        <v>7030240302109</v>
      </c>
      <c r="K908" s="282">
        <v>45602</v>
      </c>
      <c r="L908" s="285"/>
      <c r="M908" s="285"/>
      <c r="N908" s="285"/>
      <c r="O908" s="285"/>
      <c r="P908" s="285"/>
      <c r="Q908" s="285"/>
      <c r="R908" s="285"/>
      <c r="S908" s="285"/>
      <c r="T908" s="285"/>
      <c r="U908" s="285"/>
      <c r="V908" s="285"/>
      <c r="W908" s="285"/>
    </row>
    <row r="909" spans="1:23" x14ac:dyDescent="0.25">
      <c r="A909" s="281">
        <v>75</v>
      </c>
      <c r="B909" s="647" t="s">
        <v>6014</v>
      </c>
      <c r="C909" s="285" t="s">
        <v>6015</v>
      </c>
      <c r="D909" s="285" t="s">
        <v>5604</v>
      </c>
      <c r="E909" s="294">
        <v>2.3359999999999999</v>
      </c>
      <c r="F909" s="285">
        <v>20</v>
      </c>
      <c r="G909" s="285" t="s">
        <v>6016</v>
      </c>
      <c r="H909" s="285" t="s">
        <v>3178</v>
      </c>
      <c r="I909" s="285" t="s">
        <v>1075</v>
      </c>
      <c r="J909" s="302">
        <v>7020240705471</v>
      </c>
      <c r="K909" s="282">
        <v>45506</v>
      </c>
      <c r="L909" s="285" t="s">
        <v>6017</v>
      </c>
      <c r="M909" s="295">
        <v>45611</v>
      </c>
      <c r="N909" s="285"/>
      <c r="O909" s="285"/>
      <c r="P909" s="285"/>
      <c r="Q909" s="285"/>
      <c r="R909" s="285"/>
      <c r="S909" s="285"/>
      <c r="T909" s="285"/>
      <c r="U909" s="285"/>
      <c r="V909" s="285"/>
      <c r="W909" s="285"/>
    </row>
    <row r="910" spans="1:23" x14ac:dyDescent="0.25">
      <c r="A910" s="281">
        <v>76</v>
      </c>
      <c r="B910" s="647" t="s">
        <v>6009</v>
      </c>
      <c r="C910" s="285" t="s">
        <v>4656</v>
      </c>
      <c r="D910" s="285" t="s">
        <v>5613</v>
      </c>
      <c r="E910" s="294">
        <v>8.0640000000000001</v>
      </c>
      <c r="F910" s="285">
        <v>20</v>
      </c>
      <c r="G910" s="285" t="s">
        <v>6018</v>
      </c>
      <c r="H910" s="285" t="s">
        <v>963</v>
      </c>
      <c r="I910" s="285" t="s">
        <v>1075</v>
      </c>
      <c r="J910" s="302">
        <v>7050241004951</v>
      </c>
      <c r="K910" s="282">
        <v>45604</v>
      </c>
      <c r="L910" s="285" t="s">
        <v>6019</v>
      </c>
      <c r="M910" s="295">
        <v>45609</v>
      </c>
      <c r="N910" s="285"/>
      <c r="O910" s="285"/>
      <c r="P910" s="285"/>
      <c r="Q910" s="285"/>
      <c r="R910" s="285"/>
      <c r="S910" s="285"/>
      <c r="T910" s="285"/>
      <c r="U910" s="285"/>
      <c r="V910" s="285"/>
      <c r="W910" s="285"/>
    </row>
  </sheetData>
  <mergeCells count="8">
    <mergeCell ref="C8:F8"/>
    <mergeCell ref="C10:F10"/>
    <mergeCell ref="C2:F2"/>
    <mergeCell ref="C3:F3"/>
    <mergeCell ref="C4:F4"/>
    <mergeCell ref="C5:F5"/>
    <mergeCell ref="C6:F6"/>
    <mergeCell ref="C7:F7"/>
  </mergeCells>
  <conditionalFormatting sqref="J714:J719">
    <cfRule type="duplicateValues" dxfId="0" priority="1"/>
  </conditionalFormatting>
  <pageMargins left="0.7" right="0.7" top="0.75" bottom="0.75" header="0.3" footer="0.3"/>
  <pageSetup paperSize="9" orientation="portrait" r:id="rId1"/>
  <headerFooter>
    <oddHeader>&amp;CCod: TEL – 07.50 Ed. I, rev. 0</oddHeader>
  </headerFooter>
  <ignoredErrors>
    <ignoredError sqref="L188:M188"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5"/>
  <sheetViews>
    <sheetView zoomScale="80" zoomScaleNormal="80" workbookViewId="0">
      <selection activeCell="K15" sqref="K15"/>
    </sheetView>
  </sheetViews>
  <sheetFormatPr defaultRowHeight="15" x14ac:dyDescent="0.25"/>
  <cols>
    <col min="1" max="1" width="6" customWidth="1"/>
    <col min="2" max="2" width="33" customWidth="1"/>
    <col min="3" max="3" width="69.42578125" customWidth="1"/>
    <col min="4" max="4" width="18.5703125" customWidth="1"/>
    <col min="5" max="5" width="17.140625" customWidth="1"/>
    <col min="6" max="6" width="16.42578125" customWidth="1"/>
  </cols>
  <sheetData>
    <row r="1" spans="1:7" ht="15.75" thickBot="1" x14ac:dyDescent="0.3"/>
    <row r="2" spans="1:7" x14ac:dyDescent="0.25">
      <c r="B2" s="23" t="s">
        <v>794</v>
      </c>
      <c r="C2" s="847">
        <v>45636</v>
      </c>
      <c r="D2" s="848"/>
      <c r="E2" s="848"/>
      <c r="F2" s="849"/>
      <c r="G2" s="24"/>
    </row>
    <row r="3" spans="1:7" ht="15.75" thickBot="1" x14ac:dyDescent="0.3">
      <c r="B3" s="25" t="s">
        <v>795</v>
      </c>
      <c r="C3" s="850" t="s">
        <v>796</v>
      </c>
      <c r="D3" s="850"/>
      <c r="E3" s="850"/>
      <c r="F3" s="851"/>
      <c r="G3" s="26"/>
    </row>
    <row r="4" spans="1:7" ht="15.75" x14ac:dyDescent="0.25">
      <c r="B4" s="27"/>
      <c r="C4" s="852" t="s">
        <v>797</v>
      </c>
      <c r="D4" s="852"/>
      <c r="E4" s="852"/>
      <c r="F4" s="853"/>
      <c r="G4" s="26"/>
    </row>
    <row r="5" spans="1:7" ht="15.75" thickBot="1" x14ac:dyDescent="0.3">
      <c r="B5" s="35"/>
      <c r="C5" s="858" t="s">
        <v>801</v>
      </c>
      <c r="D5" s="859"/>
      <c r="E5" s="859"/>
      <c r="F5" s="860"/>
    </row>
    <row r="6" spans="1:7" x14ac:dyDescent="0.25">
      <c r="B6" s="33"/>
      <c r="C6" s="861" t="s">
        <v>802</v>
      </c>
      <c r="D6" s="862"/>
      <c r="E6" s="862"/>
      <c r="F6" s="863"/>
    </row>
    <row r="7" spans="1:7" x14ac:dyDescent="0.25">
      <c r="B7" s="34"/>
      <c r="C7" s="864" t="s">
        <v>803</v>
      </c>
      <c r="D7" s="865"/>
      <c r="E7" s="865"/>
      <c r="F7" s="866"/>
    </row>
    <row r="8" spans="1:7" x14ac:dyDescent="0.25">
      <c r="B8" s="28"/>
      <c r="C8" s="854" t="s">
        <v>800</v>
      </c>
      <c r="D8" s="854"/>
      <c r="E8" s="854"/>
      <c r="F8" s="855"/>
      <c r="G8" s="26"/>
    </row>
    <row r="9" spans="1:7" x14ac:dyDescent="0.25">
      <c r="B9" s="32"/>
      <c r="C9" s="39" t="s">
        <v>799</v>
      </c>
      <c r="D9" s="40"/>
      <c r="E9" s="40"/>
      <c r="F9" s="41"/>
    </row>
    <row r="10" spans="1:7" x14ac:dyDescent="0.25">
      <c r="B10" s="29"/>
      <c r="C10" s="856" t="s">
        <v>804</v>
      </c>
      <c r="D10" s="856"/>
      <c r="E10" s="856"/>
      <c r="F10" s="857"/>
      <c r="G10" s="26" t="s">
        <v>798</v>
      </c>
    </row>
    <row r="11" spans="1:7" x14ac:dyDescent="0.25">
      <c r="B11" s="30"/>
      <c r="C11" s="42" t="s">
        <v>805</v>
      </c>
      <c r="D11" s="42"/>
      <c r="E11" s="42"/>
      <c r="F11" s="43"/>
      <c r="G11" s="26" t="s">
        <v>798</v>
      </c>
    </row>
    <row r="12" spans="1:7" x14ac:dyDescent="0.25">
      <c r="B12" s="31"/>
      <c r="C12" s="36" t="s">
        <v>806</v>
      </c>
      <c r="D12" s="37"/>
      <c r="E12" s="37"/>
      <c r="F12" s="38"/>
      <c r="G12" s="26" t="s">
        <v>798</v>
      </c>
    </row>
    <row r="13" spans="1:7" ht="15.75" thickBot="1" x14ac:dyDescent="0.3"/>
    <row r="14" spans="1:7" ht="26.25" thickBot="1" x14ac:dyDescent="0.3">
      <c r="A14" s="1" t="s">
        <v>28</v>
      </c>
      <c r="B14" s="2" t="s">
        <v>6</v>
      </c>
      <c r="C14" s="2" t="s">
        <v>7</v>
      </c>
      <c r="D14" s="2" t="s">
        <v>1</v>
      </c>
      <c r="E14" s="343" t="s">
        <v>3</v>
      </c>
      <c r="F14" s="343" t="s">
        <v>4492</v>
      </c>
      <c r="G14" s="86"/>
    </row>
    <row r="15" spans="1:7" ht="90" customHeight="1" x14ac:dyDescent="0.25">
      <c r="A15" s="335">
        <v>1</v>
      </c>
      <c r="B15" s="261" t="s">
        <v>413</v>
      </c>
      <c r="C15" s="261" t="s">
        <v>413</v>
      </c>
      <c r="D15" s="342" t="s">
        <v>287</v>
      </c>
      <c r="E15" s="242"/>
      <c r="G15" s="263"/>
    </row>
    <row r="16" spans="1:7" ht="38.25" x14ac:dyDescent="0.25">
      <c r="A16" s="44">
        <v>2</v>
      </c>
      <c r="B16" s="261" t="s">
        <v>2092</v>
      </c>
      <c r="C16" s="261" t="s">
        <v>2092</v>
      </c>
      <c r="D16" s="342" t="s">
        <v>287</v>
      </c>
      <c r="E16" s="242"/>
      <c r="G16" s="263"/>
    </row>
    <row r="17" spans="1:7" ht="25.5" customHeight="1" x14ac:dyDescent="0.25">
      <c r="A17" s="44">
        <v>3</v>
      </c>
      <c r="B17" s="261" t="s">
        <v>2093</v>
      </c>
      <c r="C17" s="261" t="s">
        <v>2093</v>
      </c>
      <c r="D17" s="342" t="s">
        <v>287</v>
      </c>
      <c r="E17" s="242" t="s">
        <v>2143</v>
      </c>
      <c r="F17" s="377" t="s">
        <v>3129</v>
      </c>
      <c r="G17" s="263"/>
    </row>
    <row r="18" spans="1:7" ht="25.5" customHeight="1" x14ac:dyDescent="0.25">
      <c r="A18" s="335">
        <v>4</v>
      </c>
      <c r="B18" s="261" t="s">
        <v>2093</v>
      </c>
      <c r="C18" s="261" t="s">
        <v>2093</v>
      </c>
      <c r="D18" s="342" t="s">
        <v>287</v>
      </c>
      <c r="E18" s="242" t="s">
        <v>2144</v>
      </c>
      <c r="F18" s="377" t="s">
        <v>3129</v>
      </c>
      <c r="G18" s="263"/>
    </row>
    <row r="19" spans="1:7" ht="25.5" customHeight="1" x14ac:dyDescent="0.25">
      <c r="A19" s="44">
        <v>5</v>
      </c>
      <c r="B19" s="261" t="s">
        <v>2093</v>
      </c>
      <c r="C19" s="261" t="s">
        <v>2093</v>
      </c>
      <c r="D19" s="342" t="s">
        <v>287</v>
      </c>
      <c r="E19" s="344" t="s">
        <v>2146</v>
      </c>
      <c r="F19" s="377" t="s">
        <v>3129</v>
      </c>
      <c r="G19" s="263"/>
    </row>
    <row r="20" spans="1:7" ht="25.5" customHeight="1" x14ac:dyDescent="0.25">
      <c r="A20" s="44">
        <v>6</v>
      </c>
      <c r="B20" s="261" t="s">
        <v>2093</v>
      </c>
      <c r="C20" s="261" t="s">
        <v>2093</v>
      </c>
      <c r="D20" s="342" t="s">
        <v>287</v>
      </c>
      <c r="E20" s="344" t="s">
        <v>2146</v>
      </c>
      <c r="F20" s="377" t="s">
        <v>3129</v>
      </c>
      <c r="G20" s="263"/>
    </row>
    <row r="21" spans="1:7" ht="25.5" customHeight="1" x14ac:dyDescent="0.25">
      <c r="A21" s="335">
        <v>7</v>
      </c>
      <c r="B21" s="261" t="s">
        <v>2094</v>
      </c>
      <c r="C21" s="261" t="s">
        <v>2094</v>
      </c>
      <c r="D21" s="342" t="s">
        <v>287</v>
      </c>
      <c r="E21" s="413" t="s">
        <v>2142</v>
      </c>
      <c r="F21" s="86"/>
      <c r="G21" s="376"/>
    </row>
    <row r="22" spans="1:7" x14ac:dyDescent="0.25">
      <c r="A22" s="44">
        <v>8</v>
      </c>
      <c r="B22" s="613" t="s">
        <v>2885</v>
      </c>
      <c r="C22" s="261" t="s">
        <v>2886</v>
      </c>
      <c r="D22" s="342" t="s">
        <v>287</v>
      </c>
      <c r="E22" s="345" t="s">
        <v>2142</v>
      </c>
      <c r="F22" s="86"/>
      <c r="G22" s="376"/>
    </row>
    <row r="23" spans="1:7" ht="29.25" customHeight="1" x14ac:dyDescent="0.25">
      <c r="A23" s="336">
        <v>9</v>
      </c>
      <c r="B23" s="613" t="s">
        <v>2887</v>
      </c>
      <c r="C23" s="347" t="s">
        <v>2888</v>
      </c>
      <c r="D23" s="342" t="s">
        <v>287</v>
      </c>
      <c r="E23" s="345" t="s">
        <v>2930</v>
      </c>
      <c r="F23" s="377" t="s">
        <v>3129</v>
      </c>
      <c r="G23" s="376"/>
    </row>
    <row r="24" spans="1:7" ht="25.5" x14ac:dyDescent="0.25">
      <c r="A24" s="612"/>
      <c r="B24" s="615"/>
      <c r="C24" s="500" t="s">
        <v>2890</v>
      </c>
      <c r="D24" s="342" t="s">
        <v>287</v>
      </c>
      <c r="E24" s="345" t="s">
        <v>2930</v>
      </c>
      <c r="F24" s="377" t="s">
        <v>3129</v>
      </c>
      <c r="G24" s="376"/>
    </row>
    <row r="25" spans="1:7" ht="25.5" x14ac:dyDescent="0.25">
      <c r="A25" s="498"/>
      <c r="B25" s="616"/>
      <c r="C25" s="500" t="s">
        <v>2891</v>
      </c>
      <c r="D25" s="342" t="s">
        <v>287</v>
      </c>
      <c r="E25" s="345" t="s">
        <v>2930</v>
      </c>
      <c r="F25" s="377" t="s">
        <v>3129</v>
      </c>
      <c r="G25" s="376"/>
    </row>
    <row r="26" spans="1:7" x14ac:dyDescent="0.25">
      <c r="A26" s="498"/>
      <c r="B26" s="616"/>
      <c r="C26" s="500" t="s">
        <v>2892</v>
      </c>
      <c r="D26" s="342" t="s">
        <v>287</v>
      </c>
      <c r="E26" s="345" t="s">
        <v>2930</v>
      </c>
      <c r="F26" s="377" t="s">
        <v>3129</v>
      </c>
      <c r="G26" s="376"/>
    </row>
    <row r="27" spans="1:7" x14ac:dyDescent="0.25">
      <c r="A27" s="498"/>
      <c r="B27" s="616"/>
      <c r="C27" s="500" t="s">
        <v>2893</v>
      </c>
      <c r="D27" s="342" t="s">
        <v>287</v>
      </c>
      <c r="E27" s="345" t="s">
        <v>2930</v>
      </c>
      <c r="F27" s="377" t="s">
        <v>3129</v>
      </c>
      <c r="G27" s="376"/>
    </row>
    <row r="28" spans="1:7" ht="25.5" x14ac:dyDescent="0.25">
      <c r="A28" s="498"/>
      <c r="B28" s="616"/>
      <c r="C28" s="500" t="s">
        <v>2894</v>
      </c>
      <c r="D28" s="342" t="s">
        <v>287</v>
      </c>
      <c r="E28" s="345" t="s">
        <v>2930</v>
      </c>
      <c r="F28" s="377" t="s">
        <v>3129</v>
      </c>
      <c r="G28" s="376"/>
    </row>
    <row r="29" spans="1:7" ht="25.5" x14ac:dyDescent="0.25">
      <c r="A29" s="498">
        <v>10</v>
      </c>
      <c r="B29" s="616" t="s">
        <v>2889</v>
      </c>
      <c r="C29" s="500" t="s">
        <v>2895</v>
      </c>
      <c r="D29" s="342" t="s">
        <v>287</v>
      </c>
      <c r="E29" s="345" t="s">
        <v>2930</v>
      </c>
      <c r="F29" s="377" t="s">
        <v>3129</v>
      </c>
      <c r="G29" s="376"/>
    </row>
    <row r="30" spans="1:7" ht="25.5" x14ac:dyDescent="0.25">
      <c r="A30" s="498"/>
      <c r="B30" s="616"/>
      <c r="C30" s="500" t="s">
        <v>2896</v>
      </c>
      <c r="D30" s="342" t="s">
        <v>287</v>
      </c>
      <c r="E30" s="345" t="s">
        <v>2930</v>
      </c>
      <c r="F30" s="377" t="s">
        <v>3129</v>
      </c>
      <c r="G30" s="376"/>
    </row>
    <row r="31" spans="1:7" x14ac:dyDescent="0.25">
      <c r="A31" s="498"/>
      <c r="B31" s="616"/>
      <c r="C31" s="500" t="s">
        <v>2897</v>
      </c>
      <c r="D31" s="342" t="s">
        <v>287</v>
      </c>
      <c r="E31" s="345" t="s">
        <v>2930</v>
      </c>
      <c r="F31" s="377" t="s">
        <v>3129</v>
      </c>
      <c r="G31" s="376"/>
    </row>
    <row r="32" spans="1:7" ht="25.5" x14ac:dyDescent="0.25">
      <c r="A32" s="498"/>
      <c r="B32" s="616"/>
      <c r="C32" s="500" t="s">
        <v>2898</v>
      </c>
      <c r="D32" s="342" t="s">
        <v>287</v>
      </c>
      <c r="E32" s="345" t="s">
        <v>2930</v>
      </c>
      <c r="F32" s="377" t="s">
        <v>3129</v>
      </c>
      <c r="G32" s="376"/>
    </row>
    <row r="33" spans="1:7" ht="25.5" x14ac:dyDescent="0.25">
      <c r="A33" s="498"/>
      <c r="B33" s="616"/>
      <c r="C33" s="500" t="s">
        <v>2899</v>
      </c>
      <c r="D33" s="342" t="s">
        <v>287</v>
      </c>
      <c r="E33" s="345" t="s">
        <v>2930</v>
      </c>
      <c r="F33" s="377" t="s">
        <v>3129</v>
      </c>
      <c r="G33" s="376"/>
    </row>
    <row r="34" spans="1:7" x14ac:dyDescent="0.25">
      <c r="A34" s="498"/>
      <c r="B34" s="616"/>
      <c r="C34" s="500" t="s">
        <v>2900</v>
      </c>
      <c r="D34" s="342" t="s">
        <v>287</v>
      </c>
      <c r="E34" s="345" t="s">
        <v>2930</v>
      </c>
      <c r="F34" s="377" t="s">
        <v>3129</v>
      </c>
      <c r="G34" s="376"/>
    </row>
    <row r="35" spans="1:7" x14ac:dyDescent="0.25">
      <c r="A35" s="498"/>
      <c r="B35" s="616"/>
      <c r="C35" s="500" t="s">
        <v>2901</v>
      </c>
      <c r="D35" s="342" t="s">
        <v>287</v>
      </c>
      <c r="E35" s="345" t="s">
        <v>2930</v>
      </c>
      <c r="F35" s="377" t="s">
        <v>3129</v>
      </c>
      <c r="G35" s="376"/>
    </row>
    <row r="36" spans="1:7" x14ac:dyDescent="0.25">
      <c r="A36" s="869">
        <v>11</v>
      </c>
      <c r="B36" s="615" t="s">
        <v>2902</v>
      </c>
      <c r="C36" s="500" t="s">
        <v>2903</v>
      </c>
      <c r="D36" s="342" t="s">
        <v>287</v>
      </c>
      <c r="E36" s="345" t="s">
        <v>2091</v>
      </c>
      <c r="F36" s="377" t="s">
        <v>3129</v>
      </c>
      <c r="G36" s="376"/>
    </row>
    <row r="37" spans="1:7" x14ac:dyDescent="0.25">
      <c r="A37" s="870"/>
      <c r="B37" s="616"/>
      <c r="C37" s="500" t="s">
        <v>2904</v>
      </c>
      <c r="D37" s="342" t="s">
        <v>287</v>
      </c>
      <c r="E37" s="345" t="s">
        <v>2091</v>
      </c>
      <c r="F37" s="377" t="s">
        <v>3129</v>
      </c>
      <c r="G37" s="376"/>
    </row>
    <row r="38" spans="1:7" x14ac:dyDescent="0.25">
      <c r="A38" s="869">
        <v>12</v>
      </c>
      <c r="B38" s="615" t="s">
        <v>2905</v>
      </c>
      <c r="C38" s="500" t="s">
        <v>2906</v>
      </c>
      <c r="D38" s="342" t="s">
        <v>287</v>
      </c>
      <c r="E38" s="345" t="s">
        <v>2091</v>
      </c>
      <c r="F38" s="377" t="s">
        <v>3129</v>
      </c>
      <c r="G38" s="263"/>
    </row>
    <row r="39" spans="1:7" x14ac:dyDescent="0.25">
      <c r="A39" s="870"/>
      <c r="B39" s="616"/>
      <c r="C39" s="500" t="s">
        <v>2907</v>
      </c>
      <c r="D39" s="342" t="s">
        <v>287</v>
      </c>
      <c r="E39" s="345" t="s">
        <v>2091</v>
      </c>
      <c r="F39" s="377" t="s">
        <v>3129</v>
      </c>
      <c r="G39" s="263"/>
    </row>
    <row r="40" spans="1:7" x14ac:dyDescent="0.25">
      <c r="A40" s="497"/>
      <c r="B40" s="615" t="s">
        <v>2908</v>
      </c>
      <c r="C40" s="500" t="s">
        <v>2909</v>
      </c>
      <c r="D40" s="342" t="s">
        <v>287</v>
      </c>
      <c r="E40" s="345" t="s">
        <v>2145</v>
      </c>
      <c r="G40" s="263"/>
    </row>
    <row r="41" spans="1:7" x14ac:dyDescent="0.25">
      <c r="A41" s="498">
        <v>13</v>
      </c>
      <c r="B41" s="616"/>
      <c r="C41" s="500" t="s">
        <v>2910</v>
      </c>
      <c r="D41" s="342" t="s">
        <v>287</v>
      </c>
      <c r="E41" s="345" t="s">
        <v>2091</v>
      </c>
      <c r="G41" s="263"/>
    </row>
    <row r="42" spans="1:7" x14ac:dyDescent="0.25">
      <c r="A42" s="498"/>
      <c r="B42" s="616"/>
      <c r="C42" s="500" t="s">
        <v>2911</v>
      </c>
      <c r="D42" s="342" t="s">
        <v>287</v>
      </c>
      <c r="E42" s="345" t="s">
        <v>2145</v>
      </c>
      <c r="G42" s="263"/>
    </row>
    <row r="43" spans="1:7" x14ac:dyDescent="0.25">
      <c r="A43" s="499"/>
      <c r="B43" s="616"/>
      <c r="C43" s="500" t="s">
        <v>2912</v>
      </c>
      <c r="D43" s="342" t="s">
        <v>287</v>
      </c>
      <c r="E43" s="345" t="s">
        <v>2091</v>
      </c>
      <c r="G43" s="263"/>
    </row>
    <row r="44" spans="1:7" x14ac:dyDescent="0.25">
      <c r="A44" s="497"/>
      <c r="B44" s="615"/>
      <c r="C44" s="500" t="s">
        <v>2095</v>
      </c>
      <c r="D44" s="342" t="s">
        <v>287</v>
      </c>
      <c r="E44" s="345" t="s">
        <v>2145</v>
      </c>
      <c r="G44" s="263"/>
    </row>
    <row r="45" spans="1:7" x14ac:dyDescent="0.25">
      <c r="A45" s="498"/>
      <c r="B45" s="616"/>
      <c r="C45" s="500" t="s">
        <v>2097</v>
      </c>
      <c r="D45" s="342" t="s">
        <v>287</v>
      </c>
      <c r="E45" s="345" t="s">
        <v>2091</v>
      </c>
      <c r="G45" s="263"/>
    </row>
    <row r="46" spans="1:7" x14ac:dyDescent="0.25">
      <c r="A46" s="498"/>
      <c r="B46" s="616"/>
      <c r="C46" s="500" t="s">
        <v>2100</v>
      </c>
      <c r="D46" s="342" t="s">
        <v>287</v>
      </c>
      <c r="E46" s="345" t="s">
        <v>2142</v>
      </c>
      <c r="G46" s="263"/>
    </row>
    <row r="47" spans="1:7" x14ac:dyDescent="0.25">
      <c r="A47" s="498"/>
      <c r="B47" s="616"/>
      <c r="C47" s="500" t="s">
        <v>2101</v>
      </c>
      <c r="D47" s="342" t="s">
        <v>287</v>
      </c>
      <c r="E47" s="345" t="s">
        <v>2142</v>
      </c>
      <c r="G47" s="263"/>
    </row>
    <row r="48" spans="1:7" x14ac:dyDescent="0.25">
      <c r="A48" s="498"/>
      <c r="B48" s="616"/>
      <c r="C48" s="500" t="s">
        <v>2096</v>
      </c>
      <c r="D48" s="342" t="s">
        <v>287</v>
      </c>
      <c r="E48" s="345" t="s">
        <v>2145</v>
      </c>
      <c r="G48" s="263"/>
    </row>
    <row r="49" spans="1:7" x14ac:dyDescent="0.25">
      <c r="A49" s="498">
        <v>14</v>
      </c>
      <c r="B49" s="616"/>
      <c r="C49" s="500" t="s">
        <v>2098</v>
      </c>
      <c r="D49" s="342" t="s">
        <v>287</v>
      </c>
      <c r="E49" s="345" t="s">
        <v>2091</v>
      </c>
      <c r="G49" s="263"/>
    </row>
    <row r="50" spans="1:7" ht="25.5" x14ac:dyDescent="0.25">
      <c r="A50" s="498"/>
      <c r="B50" s="616" t="s">
        <v>2913</v>
      </c>
      <c r="C50" s="500" t="s">
        <v>2099</v>
      </c>
      <c r="D50" s="342" t="s">
        <v>287</v>
      </c>
      <c r="E50" s="345" t="s">
        <v>2091</v>
      </c>
      <c r="G50" s="263"/>
    </row>
    <row r="51" spans="1:7" x14ac:dyDescent="0.25">
      <c r="A51" s="498"/>
      <c r="B51" s="616"/>
      <c r="C51" s="500" t="s">
        <v>2102</v>
      </c>
      <c r="D51" s="342" t="s">
        <v>287</v>
      </c>
      <c r="E51" s="345" t="s">
        <v>2142</v>
      </c>
      <c r="G51" s="263"/>
    </row>
    <row r="52" spans="1:7" ht="25.5" x14ac:dyDescent="0.25">
      <c r="A52" s="498"/>
      <c r="B52" s="616"/>
      <c r="C52" s="500" t="s">
        <v>2103</v>
      </c>
      <c r="D52" s="342" t="s">
        <v>287</v>
      </c>
      <c r="E52" s="345" t="s">
        <v>2142</v>
      </c>
      <c r="G52" s="263"/>
    </row>
    <row r="53" spans="1:7" x14ac:dyDescent="0.25">
      <c r="A53" s="498"/>
      <c r="B53" s="616"/>
      <c r="C53" s="500" t="s">
        <v>2104</v>
      </c>
      <c r="D53" s="342" t="s">
        <v>287</v>
      </c>
      <c r="E53" s="345" t="s">
        <v>2142</v>
      </c>
      <c r="G53" s="263"/>
    </row>
    <row r="54" spans="1:7" x14ac:dyDescent="0.25">
      <c r="A54" s="499"/>
      <c r="B54" s="616"/>
      <c r="C54" s="500" t="s">
        <v>2105</v>
      </c>
      <c r="D54" s="342" t="s">
        <v>287</v>
      </c>
      <c r="E54" s="345" t="s">
        <v>2142</v>
      </c>
      <c r="G54" s="263"/>
    </row>
    <row r="55" spans="1:7" x14ac:dyDescent="0.25">
      <c r="A55" s="497"/>
      <c r="B55" s="615" t="s">
        <v>2914</v>
      </c>
      <c r="C55" s="500" t="s">
        <v>2915</v>
      </c>
      <c r="D55" s="342" t="s">
        <v>287</v>
      </c>
      <c r="E55" s="345" t="s">
        <v>2142</v>
      </c>
      <c r="G55" s="263"/>
    </row>
    <row r="56" spans="1:7" x14ac:dyDescent="0.25">
      <c r="A56" s="498"/>
      <c r="B56" s="616"/>
      <c r="C56" s="500" t="s">
        <v>2916</v>
      </c>
      <c r="D56" s="342" t="s">
        <v>287</v>
      </c>
      <c r="E56" s="345" t="s">
        <v>2142</v>
      </c>
      <c r="G56" s="263"/>
    </row>
    <row r="57" spans="1:7" ht="15" customHeight="1" x14ac:dyDescent="0.25">
      <c r="A57" s="498">
        <v>15</v>
      </c>
      <c r="B57" s="616"/>
      <c r="C57" s="500" t="s">
        <v>2917</v>
      </c>
      <c r="D57" s="342" t="s">
        <v>287</v>
      </c>
      <c r="E57" s="345" t="s">
        <v>2142</v>
      </c>
      <c r="G57" s="263"/>
    </row>
    <row r="58" spans="1:7" ht="15" customHeight="1" x14ac:dyDescent="0.25">
      <c r="A58" s="499"/>
      <c r="B58" s="616"/>
      <c r="C58" s="500" t="s">
        <v>2918</v>
      </c>
      <c r="D58" s="342" t="s">
        <v>287</v>
      </c>
      <c r="E58" s="345" t="s">
        <v>2142</v>
      </c>
      <c r="G58" s="263"/>
    </row>
    <row r="59" spans="1:7" x14ac:dyDescent="0.25">
      <c r="A59" s="497"/>
      <c r="B59" s="615" t="s">
        <v>4150</v>
      </c>
      <c r="C59" s="500" t="s">
        <v>2919</v>
      </c>
      <c r="D59" s="342" t="s">
        <v>287</v>
      </c>
      <c r="E59" s="345" t="s">
        <v>2142</v>
      </c>
      <c r="G59" s="263"/>
    </row>
    <row r="60" spans="1:7" x14ac:dyDescent="0.25">
      <c r="A60" s="498"/>
      <c r="B60" s="616"/>
      <c r="C60" s="500" t="s">
        <v>2920</v>
      </c>
      <c r="D60" s="342" t="s">
        <v>287</v>
      </c>
      <c r="E60" s="345" t="s">
        <v>2142</v>
      </c>
      <c r="G60" s="263"/>
    </row>
    <row r="61" spans="1:7" ht="25.5" x14ac:dyDescent="0.25">
      <c r="A61" s="498"/>
      <c r="B61" s="616"/>
      <c r="C61" s="500" t="s">
        <v>2921</v>
      </c>
      <c r="D61" s="342" t="s">
        <v>287</v>
      </c>
      <c r="E61" s="345" t="s">
        <v>2142</v>
      </c>
      <c r="G61" s="263"/>
    </row>
    <row r="62" spans="1:7" ht="25.5" x14ac:dyDescent="0.25">
      <c r="A62" s="498">
        <v>16</v>
      </c>
      <c r="B62" s="616"/>
      <c r="C62" s="500" t="s">
        <v>2922</v>
      </c>
      <c r="D62" s="342" t="s">
        <v>287</v>
      </c>
      <c r="E62" s="345" t="s">
        <v>2142</v>
      </c>
      <c r="G62" s="263"/>
    </row>
    <row r="63" spans="1:7" ht="25.5" x14ac:dyDescent="0.25">
      <c r="A63" s="498"/>
      <c r="B63" s="616"/>
      <c r="C63" s="500" t="s">
        <v>2923</v>
      </c>
      <c r="D63" s="342" t="s">
        <v>287</v>
      </c>
      <c r="E63" s="345" t="s">
        <v>2142</v>
      </c>
      <c r="G63" s="263"/>
    </row>
    <row r="64" spans="1:7" ht="25.5" x14ac:dyDescent="0.25">
      <c r="A64" s="499"/>
      <c r="B64" s="617"/>
      <c r="C64" s="500" t="s">
        <v>2924</v>
      </c>
      <c r="D64" s="342" t="s">
        <v>287</v>
      </c>
      <c r="E64" s="345" t="s">
        <v>2142</v>
      </c>
      <c r="G64" s="263"/>
    </row>
    <row r="65" spans="1:7" ht="25.5" x14ac:dyDescent="0.25">
      <c r="A65" s="341">
        <v>17</v>
      </c>
      <c r="B65" s="618" t="s">
        <v>2925</v>
      </c>
      <c r="C65" s="261" t="s">
        <v>2926</v>
      </c>
      <c r="D65" s="342" t="s">
        <v>287</v>
      </c>
      <c r="E65" s="345" t="s">
        <v>2931</v>
      </c>
      <c r="G65" s="263"/>
    </row>
    <row r="66" spans="1:7" x14ac:dyDescent="0.25">
      <c r="A66" s="497"/>
      <c r="B66" s="615" t="s">
        <v>2927</v>
      </c>
      <c r="C66" s="500" t="s">
        <v>2111</v>
      </c>
      <c r="D66" s="342" t="s">
        <v>287</v>
      </c>
      <c r="E66" s="345" t="s">
        <v>2145</v>
      </c>
      <c r="F66" s="565" t="s">
        <v>3129</v>
      </c>
      <c r="G66" s="263"/>
    </row>
    <row r="67" spans="1:7" x14ac:dyDescent="0.25">
      <c r="A67" s="498">
        <v>18</v>
      </c>
      <c r="B67" s="616"/>
      <c r="C67" s="500" t="s">
        <v>2123</v>
      </c>
      <c r="D67" s="342" t="s">
        <v>287</v>
      </c>
      <c r="E67" s="345" t="s">
        <v>2145</v>
      </c>
      <c r="F67" s="565" t="s">
        <v>3129</v>
      </c>
      <c r="G67" s="263"/>
    </row>
    <row r="68" spans="1:7" ht="15" customHeight="1" x14ac:dyDescent="0.25">
      <c r="A68" s="499"/>
      <c r="B68" s="617"/>
      <c r="C68" s="500" t="s">
        <v>2124</v>
      </c>
      <c r="D68" s="342" t="s">
        <v>287</v>
      </c>
      <c r="E68" s="345" t="s">
        <v>2145</v>
      </c>
      <c r="F68" s="565" t="s">
        <v>3129</v>
      </c>
      <c r="G68" s="263"/>
    </row>
    <row r="69" spans="1:7" ht="38.25" x14ac:dyDescent="0.25">
      <c r="A69" s="337">
        <v>19</v>
      </c>
      <c r="B69" s="614" t="s">
        <v>2928</v>
      </c>
      <c r="C69" s="261" t="s">
        <v>2929</v>
      </c>
      <c r="D69" s="342" t="s">
        <v>287</v>
      </c>
      <c r="E69" s="345" t="s">
        <v>2144</v>
      </c>
      <c r="G69" s="263"/>
    </row>
    <row r="70" spans="1:7" ht="63.75" x14ac:dyDescent="0.25">
      <c r="A70" s="336">
        <v>20</v>
      </c>
      <c r="B70" s="261" t="s">
        <v>2875</v>
      </c>
      <c r="C70" s="261" t="s">
        <v>2875</v>
      </c>
      <c r="D70" s="342" t="s">
        <v>287</v>
      </c>
      <c r="E70" s="345" t="s">
        <v>2145</v>
      </c>
      <c r="G70" s="263"/>
    </row>
    <row r="71" spans="1:7" ht="25.5" x14ac:dyDescent="0.25">
      <c r="A71" s="340"/>
      <c r="B71" s="591" t="s">
        <v>2876</v>
      </c>
      <c r="C71" s="261" t="s">
        <v>2112</v>
      </c>
      <c r="D71" s="342" t="s">
        <v>287</v>
      </c>
      <c r="E71" s="345" t="s">
        <v>2142</v>
      </c>
      <c r="F71" s="565" t="s">
        <v>3129</v>
      </c>
      <c r="G71" s="263"/>
    </row>
    <row r="72" spans="1:7" ht="25.5" x14ac:dyDescent="0.25">
      <c r="A72" s="338"/>
      <c r="B72" s="338"/>
      <c r="C72" s="261" t="s">
        <v>2113</v>
      </c>
      <c r="D72" s="342" t="s">
        <v>287</v>
      </c>
      <c r="E72" s="345" t="s">
        <v>2142</v>
      </c>
      <c r="F72" s="565" t="s">
        <v>3129</v>
      </c>
      <c r="G72" s="263"/>
    </row>
    <row r="73" spans="1:7" ht="25.5" x14ac:dyDescent="0.25">
      <c r="A73" s="338"/>
      <c r="B73" s="338"/>
      <c r="C73" s="261" t="s">
        <v>2114</v>
      </c>
      <c r="D73" s="342" t="s">
        <v>287</v>
      </c>
      <c r="E73" s="345" t="s">
        <v>2142</v>
      </c>
      <c r="F73" s="565" t="s">
        <v>3129</v>
      </c>
      <c r="G73" s="263"/>
    </row>
    <row r="74" spans="1:7" ht="25.5" x14ac:dyDescent="0.25">
      <c r="A74" s="338">
        <v>21</v>
      </c>
      <c r="B74" s="338"/>
      <c r="C74" s="261" t="s">
        <v>2115</v>
      </c>
      <c r="D74" s="342" t="s">
        <v>287</v>
      </c>
      <c r="E74" s="345" t="s">
        <v>2142</v>
      </c>
      <c r="F74" s="565" t="s">
        <v>3129</v>
      </c>
      <c r="G74" s="263"/>
    </row>
    <row r="75" spans="1:7" ht="25.5" x14ac:dyDescent="0.25">
      <c r="A75" s="338"/>
      <c r="B75" s="338"/>
      <c r="C75" s="261" t="s">
        <v>2116</v>
      </c>
      <c r="D75" s="342" t="s">
        <v>287</v>
      </c>
      <c r="E75" s="345" t="s">
        <v>2142</v>
      </c>
      <c r="F75" s="565" t="s">
        <v>3129</v>
      </c>
      <c r="G75" s="263"/>
    </row>
    <row r="76" spans="1:7" ht="25.5" x14ac:dyDescent="0.25">
      <c r="A76" s="338"/>
      <c r="B76" s="338"/>
      <c r="C76" s="261" t="s">
        <v>2117</v>
      </c>
      <c r="D76" s="342" t="s">
        <v>287</v>
      </c>
      <c r="E76" s="345" t="s">
        <v>2142</v>
      </c>
      <c r="F76" s="565" t="s">
        <v>3129</v>
      </c>
      <c r="G76" s="263"/>
    </row>
    <row r="77" spans="1:7" ht="25.5" x14ac:dyDescent="0.25">
      <c r="A77" s="338"/>
      <c r="B77" s="338"/>
      <c r="C77" s="261" t="s">
        <v>2131</v>
      </c>
      <c r="D77" s="342" t="s">
        <v>287</v>
      </c>
      <c r="E77" s="345" t="s">
        <v>2142</v>
      </c>
      <c r="F77" s="565" t="s">
        <v>3129</v>
      </c>
      <c r="G77" s="263"/>
    </row>
    <row r="78" spans="1:7" ht="25.5" x14ac:dyDescent="0.25">
      <c r="A78" s="339"/>
      <c r="B78" s="592"/>
      <c r="C78" s="261" t="s">
        <v>2118</v>
      </c>
      <c r="D78" s="342" t="s">
        <v>287</v>
      </c>
      <c r="E78" s="345" t="s">
        <v>2142</v>
      </c>
      <c r="F78" s="565" t="s">
        <v>3129</v>
      </c>
      <c r="G78" s="263"/>
    </row>
    <row r="79" spans="1:7" ht="25.5" x14ac:dyDescent="0.25">
      <c r="A79" s="340"/>
      <c r="B79" s="591" t="s">
        <v>2877</v>
      </c>
      <c r="C79" s="261" t="s">
        <v>2119</v>
      </c>
      <c r="D79" s="342" t="s">
        <v>287</v>
      </c>
      <c r="E79" s="345" t="s">
        <v>2142</v>
      </c>
      <c r="F79" s="565" t="s">
        <v>3129</v>
      </c>
      <c r="G79" s="263"/>
    </row>
    <row r="80" spans="1:7" ht="15" customHeight="1" x14ac:dyDescent="0.25">
      <c r="A80" s="338">
        <v>22</v>
      </c>
      <c r="B80" s="338"/>
      <c r="C80" s="261" t="s">
        <v>2120</v>
      </c>
      <c r="D80" s="342" t="s">
        <v>287</v>
      </c>
      <c r="E80" s="345" t="s">
        <v>2142</v>
      </c>
      <c r="F80" s="565" t="s">
        <v>3129</v>
      </c>
      <c r="G80" s="263"/>
    </row>
    <row r="81" spans="1:7" x14ac:dyDescent="0.25">
      <c r="A81" s="339"/>
      <c r="B81" s="338"/>
      <c r="C81" s="261" t="s">
        <v>2121</v>
      </c>
      <c r="D81" s="342" t="s">
        <v>287</v>
      </c>
      <c r="E81" s="345" t="s">
        <v>2142</v>
      </c>
      <c r="G81" s="263"/>
    </row>
    <row r="82" spans="1:7" x14ac:dyDescent="0.25">
      <c r="A82" s="340"/>
      <c r="B82" s="591" t="s">
        <v>2878</v>
      </c>
      <c r="C82" s="261" t="s">
        <v>2125</v>
      </c>
      <c r="D82" s="342" t="s">
        <v>287</v>
      </c>
      <c r="E82" s="345" t="s">
        <v>2142</v>
      </c>
      <c r="G82" s="263"/>
    </row>
    <row r="83" spans="1:7" ht="25.5" x14ac:dyDescent="0.25">
      <c r="A83" s="338">
        <v>23</v>
      </c>
      <c r="B83" s="338"/>
      <c r="C83" s="261" t="s">
        <v>2126</v>
      </c>
      <c r="D83" s="342" t="s">
        <v>287</v>
      </c>
      <c r="E83" s="345" t="s">
        <v>2142</v>
      </c>
      <c r="G83" s="263"/>
    </row>
    <row r="84" spans="1:7" ht="25.5" x14ac:dyDescent="0.25">
      <c r="A84" s="339"/>
      <c r="B84" s="338"/>
      <c r="C84" s="261" t="s">
        <v>2127</v>
      </c>
      <c r="D84" s="342" t="s">
        <v>287</v>
      </c>
      <c r="E84" s="345" t="s">
        <v>2142</v>
      </c>
      <c r="G84" s="263"/>
    </row>
    <row r="85" spans="1:7" ht="25.5" x14ac:dyDescent="0.25">
      <c r="A85" s="497"/>
      <c r="B85" s="591"/>
      <c r="C85" s="500" t="s">
        <v>2128</v>
      </c>
      <c r="D85" s="342" t="s">
        <v>287</v>
      </c>
      <c r="E85" s="345" t="s">
        <v>2142</v>
      </c>
      <c r="G85" s="263"/>
    </row>
    <row r="86" spans="1:7" ht="25.5" x14ac:dyDescent="0.25">
      <c r="A86" s="498">
        <v>24</v>
      </c>
      <c r="B86" s="338" t="s">
        <v>2879</v>
      </c>
      <c r="C86" s="500" t="s">
        <v>2129</v>
      </c>
      <c r="D86" s="342" t="s">
        <v>287</v>
      </c>
      <c r="E86" s="345" t="s">
        <v>2142</v>
      </c>
      <c r="G86" s="263"/>
    </row>
    <row r="87" spans="1:7" ht="25.5" x14ac:dyDescent="0.25">
      <c r="A87" s="499"/>
      <c r="B87" s="338"/>
      <c r="C87" s="500" t="s">
        <v>2130</v>
      </c>
      <c r="D87" s="342" t="s">
        <v>287</v>
      </c>
      <c r="E87" s="345" t="s">
        <v>2142</v>
      </c>
      <c r="G87" s="263"/>
    </row>
    <row r="88" spans="1:7" ht="25.5" x14ac:dyDescent="0.25">
      <c r="A88" s="340"/>
      <c r="B88" s="591" t="s">
        <v>2880</v>
      </c>
      <c r="C88" s="261" t="s">
        <v>2132</v>
      </c>
      <c r="D88" s="342" t="s">
        <v>287</v>
      </c>
      <c r="E88" s="345" t="s">
        <v>2142</v>
      </c>
      <c r="F88" s="565" t="s">
        <v>3129</v>
      </c>
      <c r="G88" s="263"/>
    </row>
    <row r="89" spans="1:7" ht="25.5" x14ac:dyDescent="0.25">
      <c r="A89" s="338">
        <v>25</v>
      </c>
      <c r="B89" s="338"/>
      <c r="C89" s="261" t="s">
        <v>2133</v>
      </c>
      <c r="D89" s="342" t="s">
        <v>287</v>
      </c>
      <c r="E89" s="345" t="s">
        <v>2142</v>
      </c>
      <c r="F89" s="565" t="s">
        <v>3129</v>
      </c>
      <c r="G89" s="263"/>
    </row>
    <row r="90" spans="1:7" ht="25.5" x14ac:dyDescent="0.25">
      <c r="A90" s="338"/>
      <c r="B90" s="338"/>
      <c r="C90" s="261" t="s">
        <v>2134</v>
      </c>
      <c r="D90" s="342" t="s">
        <v>287</v>
      </c>
      <c r="E90" s="345" t="s">
        <v>2142</v>
      </c>
      <c r="F90" s="565" t="s">
        <v>3129</v>
      </c>
      <c r="G90" s="263"/>
    </row>
    <row r="91" spans="1:7" ht="25.5" x14ac:dyDescent="0.25">
      <c r="A91" s="339"/>
      <c r="B91" s="338"/>
      <c r="C91" s="261" t="s">
        <v>2135</v>
      </c>
      <c r="D91" s="342" t="s">
        <v>287</v>
      </c>
      <c r="E91" s="345" t="s">
        <v>2142</v>
      </c>
      <c r="F91" s="565" t="s">
        <v>3129</v>
      </c>
      <c r="G91" s="263"/>
    </row>
    <row r="92" spans="1:7" x14ac:dyDescent="0.25">
      <c r="A92" s="867">
        <v>26</v>
      </c>
      <c r="B92" s="591" t="s">
        <v>2881</v>
      </c>
      <c r="C92" s="261" t="s">
        <v>2106</v>
      </c>
      <c r="D92" s="342" t="s">
        <v>287</v>
      </c>
      <c r="E92" s="345" t="s">
        <v>2142</v>
      </c>
      <c r="F92" s="565" t="s">
        <v>3129</v>
      </c>
      <c r="G92" s="263"/>
    </row>
    <row r="93" spans="1:7" x14ac:dyDescent="0.25">
      <c r="A93" s="868"/>
      <c r="B93" s="338"/>
      <c r="C93" s="261" t="s">
        <v>2107</v>
      </c>
      <c r="D93" s="342" t="s">
        <v>287</v>
      </c>
      <c r="E93" s="345" t="s">
        <v>2142</v>
      </c>
      <c r="F93" s="565" t="s">
        <v>3129</v>
      </c>
      <c r="G93" s="263"/>
    </row>
    <row r="94" spans="1:7" ht="25.5" x14ac:dyDescent="0.25">
      <c r="A94" s="867">
        <v>27</v>
      </c>
      <c r="B94" s="591" t="s">
        <v>2882</v>
      </c>
      <c r="C94" s="261" t="s">
        <v>2108</v>
      </c>
      <c r="D94" s="342" t="s">
        <v>287</v>
      </c>
      <c r="E94" s="345" t="s">
        <v>2142</v>
      </c>
      <c r="F94" s="565" t="s">
        <v>3129</v>
      </c>
      <c r="G94" s="263"/>
    </row>
    <row r="95" spans="1:7" ht="25.5" x14ac:dyDescent="0.25">
      <c r="A95" s="868"/>
      <c r="B95" s="338"/>
      <c r="C95" s="261" t="s">
        <v>2122</v>
      </c>
      <c r="D95" s="342" t="s">
        <v>287</v>
      </c>
      <c r="E95" s="345" t="s">
        <v>2142</v>
      </c>
      <c r="F95" s="565" t="s">
        <v>3129</v>
      </c>
      <c r="G95" s="263"/>
    </row>
    <row r="96" spans="1:7" x14ac:dyDescent="0.25">
      <c r="A96" s="867">
        <v>28</v>
      </c>
      <c r="B96" s="591" t="s">
        <v>2883</v>
      </c>
      <c r="C96" s="261" t="s">
        <v>2109</v>
      </c>
      <c r="D96" s="342" t="s">
        <v>287</v>
      </c>
      <c r="E96" s="345" t="s">
        <v>2142</v>
      </c>
      <c r="F96" s="565" t="s">
        <v>3129</v>
      </c>
      <c r="G96" s="263"/>
    </row>
    <row r="97" spans="1:8" ht="15" customHeight="1" x14ac:dyDescent="0.25">
      <c r="A97" s="868"/>
      <c r="B97" s="338"/>
      <c r="C97" s="261" t="s">
        <v>2110</v>
      </c>
      <c r="D97" s="342" t="s">
        <v>287</v>
      </c>
      <c r="E97" s="345" t="s">
        <v>2142</v>
      </c>
      <c r="F97" s="565" t="s">
        <v>3129</v>
      </c>
      <c r="G97" s="263"/>
    </row>
    <row r="98" spans="1:8" x14ac:dyDescent="0.25">
      <c r="A98" s="340"/>
      <c r="B98" s="591" t="s">
        <v>2884</v>
      </c>
      <c r="C98" s="500" t="s">
        <v>2136</v>
      </c>
      <c r="D98" s="342" t="s">
        <v>287</v>
      </c>
      <c r="E98" s="345" t="s">
        <v>2142</v>
      </c>
      <c r="F98" s="565" t="s">
        <v>3129</v>
      </c>
      <c r="G98" s="263"/>
    </row>
    <row r="99" spans="1:8" x14ac:dyDescent="0.25">
      <c r="A99" s="338"/>
      <c r="B99" s="338"/>
      <c r="C99" s="500" t="s">
        <v>2137</v>
      </c>
      <c r="D99" s="342" t="s">
        <v>287</v>
      </c>
      <c r="E99" s="345" t="s">
        <v>2142</v>
      </c>
      <c r="F99" s="565" t="s">
        <v>3129</v>
      </c>
      <c r="G99" s="263"/>
    </row>
    <row r="100" spans="1:8" ht="25.5" x14ac:dyDescent="0.25">
      <c r="A100" s="338">
        <v>29</v>
      </c>
      <c r="B100" s="338"/>
      <c r="C100" s="500" t="s">
        <v>2138</v>
      </c>
      <c r="D100" s="342" t="s">
        <v>287</v>
      </c>
      <c r="E100" s="345" t="s">
        <v>2142</v>
      </c>
      <c r="F100" s="565" t="s">
        <v>3129</v>
      </c>
      <c r="G100" s="263"/>
    </row>
    <row r="101" spans="1:8" ht="25.5" x14ac:dyDescent="0.25">
      <c r="A101" s="338"/>
      <c r="B101" s="338"/>
      <c r="C101" s="500" t="s">
        <v>2139</v>
      </c>
      <c r="D101" s="342" t="s">
        <v>287</v>
      </c>
      <c r="E101" s="345" t="s">
        <v>2142</v>
      </c>
      <c r="F101" s="565" t="s">
        <v>3129</v>
      </c>
      <c r="G101" s="263"/>
    </row>
    <row r="102" spans="1:8" x14ac:dyDescent="0.25">
      <c r="A102" s="338"/>
      <c r="B102" s="338"/>
      <c r="C102" s="500" t="s">
        <v>2140</v>
      </c>
      <c r="D102" s="342" t="s">
        <v>287</v>
      </c>
      <c r="E102" s="345" t="s">
        <v>2142</v>
      </c>
      <c r="F102" s="565" t="s">
        <v>3129</v>
      </c>
      <c r="G102" s="263"/>
    </row>
    <row r="103" spans="1:8" x14ac:dyDescent="0.25">
      <c r="A103" s="339"/>
      <c r="B103" s="592"/>
      <c r="C103" s="500" t="s">
        <v>2141</v>
      </c>
      <c r="D103" s="342" t="s">
        <v>287</v>
      </c>
      <c r="E103" s="345" t="s">
        <v>2142</v>
      </c>
      <c r="F103" s="565" t="s">
        <v>3129</v>
      </c>
      <c r="G103" s="604"/>
      <c r="H103" s="70"/>
    </row>
    <row r="104" spans="1:8" ht="31.5" x14ac:dyDescent="0.25">
      <c r="A104" s="338">
        <v>90</v>
      </c>
      <c r="B104" s="594" t="s">
        <v>4300</v>
      </c>
      <c r="C104" s="595" t="s">
        <v>4301</v>
      </c>
      <c r="D104" s="596" t="s">
        <v>2470</v>
      </c>
      <c r="E104" s="264" t="s">
        <v>4302</v>
      </c>
      <c r="F104" s="601"/>
      <c r="G104" s="605"/>
      <c r="H104" s="70"/>
    </row>
    <row r="105" spans="1:8" ht="15.75" x14ac:dyDescent="0.25">
      <c r="A105" s="338">
        <v>91</v>
      </c>
      <c r="B105" s="594" t="s">
        <v>4303</v>
      </c>
      <c r="C105" s="264" t="s">
        <v>4304</v>
      </c>
      <c r="D105" s="596" t="s">
        <v>2470</v>
      </c>
      <c r="E105" s="264" t="s">
        <v>4305</v>
      </c>
      <c r="F105" s="602"/>
      <c r="G105" s="605"/>
      <c r="H105" s="70"/>
    </row>
    <row r="106" spans="1:8" ht="15" customHeight="1" x14ac:dyDescent="0.25">
      <c r="A106" s="338">
        <v>92</v>
      </c>
      <c r="B106" s="606" t="s">
        <v>4306</v>
      </c>
      <c r="C106" s="264" t="s">
        <v>4307</v>
      </c>
      <c r="D106" s="596" t="s">
        <v>2470</v>
      </c>
      <c r="E106" s="264" t="s">
        <v>4305</v>
      </c>
      <c r="F106" s="602"/>
      <c r="G106" s="605"/>
      <c r="H106" s="70"/>
    </row>
    <row r="107" spans="1:8" ht="15" customHeight="1" x14ac:dyDescent="0.25">
      <c r="A107" s="338">
        <v>93</v>
      </c>
      <c r="B107" s="607"/>
      <c r="C107" s="264" t="s">
        <v>4308</v>
      </c>
      <c r="D107" s="596" t="s">
        <v>2470</v>
      </c>
      <c r="E107" s="264" t="s">
        <v>4305</v>
      </c>
      <c r="F107" s="602"/>
      <c r="G107" s="605"/>
      <c r="H107" s="70"/>
    </row>
    <row r="108" spans="1:8" ht="15" customHeight="1" x14ac:dyDescent="0.25">
      <c r="A108" s="338">
        <v>94</v>
      </c>
      <c r="B108" s="607"/>
      <c r="C108" s="264" t="s">
        <v>4309</v>
      </c>
      <c r="D108" s="596" t="s">
        <v>2470</v>
      </c>
      <c r="E108" s="264" t="s">
        <v>4305</v>
      </c>
      <c r="F108" s="602"/>
      <c r="G108" s="605"/>
      <c r="H108" s="70"/>
    </row>
    <row r="109" spans="1:8" ht="15" customHeight="1" x14ac:dyDescent="0.25">
      <c r="A109" s="338">
        <v>95</v>
      </c>
      <c r="B109" s="608"/>
      <c r="C109" s="264" t="s">
        <v>4310</v>
      </c>
      <c r="D109" s="596" t="s">
        <v>2470</v>
      </c>
      <c r="E109" s="264" t="s">
        <v>4305</v>
      </c>
      <c r="F109" s="602"/>
      <c r="G109" s="605"/>
      <c r="H109" s="70"/>
    </row>
    <row r="110" spans="1:8" ht="15" customHeight="1" x14ac:dyDescent="0.25">
      <c r="A110" s="338">
        <v>96</v>
      </c>
      <c r="B110" s="606" t="s">
        <v>2908</v>
      </c>
      <c r="C110" s="264" t="s">
        <v>2912</v>
      </c>
      <c r="D110" s="596" t="s">
        <v>2470</v>
      </c>
      <c r="E110" s="264" t="s">
        <v>4311</v>
      </c>
      <c r="F110" s="602"/>
      <c r="G110" s="605"/>
      <c r="H110" s="70"/>
    </row>
    <row r="111" spans="1:8" ht="15" customHeight="1" x14ac:dyDescent="0.25">
      <c r="A111" s="338">
        <v>97</v>
      </c>
      <c r="B111" s="607"/>
      <c r="C111" s="264" t="s">
        <v>2910</v>
      </c>
      <c r="D111" s="596" t="s">
        <v>2470</v>
      </c>
      <c r="E111" s="264" t="s">
        <v>4311</v>
      </c>
      <c r="F111" s="602"/>
      <c r="G111" s="605"/>
      <c r="H111" s="70"/>
    </row>
    <row r="112" spans="1:8" ht="15" customHeight="1" x14ac:dyDescent="0.25">
      <c r="A112" s="338">
        <v>98</v>
      </c>
      <c r="B112" s="607"/>
      <c r="C112" s="264" t="s">
        <v>2911</v>
      </c>
      <c r="D112" s="596" t="s">
        <v>2470</v>
      </c>
      <c r="E112" s="264" t="s">
        <v>4311</v>
      </c>
      <c r="F112" s="602"/>
      <c r="G112" s="605"/>
      <c r="H112" s="70"/>
    </row>
    <row r="113" spans="1:8" ht="15" customHeight="1" x14ac:dyDescent="0.25">
      <c r="A113" s="338">
        <v>99</v>
      </c>
      <c r="B113" s="607"/>
      <c r="C113" s="264" t="s">
        <v>2909</v>
      </c>
      <c r="D113" s="596" t="s">
        <v>2470</v>
      </c>
      <c r="E113" s="264" t="s">
        <v>4311</v>
      </c>
      <c r="F113" s="602"/>
      <c r="G113" s="605"/>
      <c r="H113" s="70"/>
    </row>
    <row r="114" spans="1:8" ht="15.75" x14ac:dyDescent="0.25">
      <c r="A114" s="338">
        <v>100</v>
      </c>
      <c r="B114" s="608"/>
      <c r="C114" s="595" t="s">
        <v>4312</v>
      </c>
      <c r="D114" s="596" t="s">
        <v>2470</v>
      </c>
      <c r="E114" s="264" t="s">
        <v>4302</v>
      </c>
      <c r="F114" s="601"/>
      <c r="G114" s="605"/>
      <c r="H114" s="70"/>
    </row>
    <row r="115" spans="1:8" ht="15.75" x14ac:dyDescent="0.25">
      <c r="A115" s="338">
        <v>101</v>
      </c>
      <c r="B115" s="594" t="s">
        <v>4313</v>
      </c>
      <c r="C115" s="595" t="s">
        <v>4314</v>
      </c>
      <c r="D115" s="596" t="s">
        <v>2470</v>
      </c>
      <c r="E115" s="264" t="s">
        <v>4302</v>
      </c>
      <c r="F115" s="601"/>
      <c r="G115" s="605"/>
      <c r="H115" s="70"/>
    </row>
    <row r="116" spans="1:8" ht="31.5" x14ac:dyDescent="0.25">
      <c r="A116" s="338">
        <v>102</v>
      </c>
      <c r="B116" s="594" t="s">
        <v>4315</v>
      </c>
      <c r="C116" s="595" t="s">
        <v>2886</v>
      </c>
      <c r="D116" s="596" t="s">
        <v>2470</v>
      </c>
      <c r="E116" s="264" t="s">
        <v>4302</v>
      </c>
      <c r="F116" s="601"/>
      <c r="G116" s="605"/>
      <c r="H116" s="70"/>
    </row>
    <row r="117" spans="1:8" ht="50.25" customHeight="1" x14ac:dyDescent="0.25">
      <c r="A117" s="338">
        <v>103</v>
      </c>
      <c r="B117" s="606" t="s">
        <v>4316</v>
      </c>
      <c r="C117" s="597" t="s">
        <v>4317</v>
      </c>
      <c r="D117" s="596" t="s">
        <v>2470</v>
      </c>
      <c r="E117" s="264" t="s">
        <v>4318</v>
      </c>
      <c r="F117" s="603" t="s">
        <v>4319</v>
      </c>
      <c r="G117" s="605"/>
      <c r="H117" s="70"/>
    </row>
    <row r="118" spans="1:8" ht="52.5" customHeight="1" x14ac:dyDescent="0.25">
      <c r="A118" s="338">
        <v>104</v>
      </c>
      <c r="B118" s="607"/>
      <c r="C118" s="597" t="s">
        <v>4320</v>
      </c>
      <c r="D118" s="596" t="s">
        <v>2470</v>
      </c>
      <c r="E118" s="264" t="s">
        <v>4318</v>
      </c>
      <c r="F118" s="603" t="s">
        <v>4319</v>
      </c>
      <c r="G118" s="605"/>
      <c r="H118" s="70"/>
    </row>
    <row r="119" spans="1:8" ht="54" customHeight="1" x14ac:dyDescent="0.25">
      <c r="A119" s="338">
        <v>105</v>
      </c>
      <c r="B119" s="607"/>
      <c r="C119" s="597" t="s">
        <v>4321</v>
      </c>
      <c r="D119" s="596" t="s">
        <v>2470</v>
      </c>
      <c r="E119" s="264" t="s">
        <v>4318</v>
      </c>
      <c r="F119" s="603" t="s">
        <v>4319</v>
      </c>
      <c r="G119" s="605"/>
      <c r="H119" s="70"/>
    </row>
    <row r="120" spans="1:8" ht="57" customHeight="1" x14ac:dyDescent="0.25">
      <c r="A120" s="338">
        <v>106</v>
      </c>
      <c r="B120" s="607"/>
      <c r="C120" s="597" t="s">
        <v>4322</v>
      </c>
      <c r="D120" s="596" t="s">
        <v>2470</v>
      </c>
      <c r="E120" s="264" t="s">
        <v>4318</v>
      </c>
      <c r="F120" s="603" t="s">
        <v>4319</v>
      </c>
      <c r="G120" s="605"/>
      <c r="H120" s="70"/>
    </row>
    <row r="121" spans="1:8" ht="55.5" customHeight="1" x14ac:dyDescent="0.25">
      <c r="A121" s="338">
        <v>107</v>
      </c>
      <c r="B121" s="607"/>
      <c r="C121" s="597" t="s">
        <v>4323</v>
      </c>
      <c r="D121" s="596" t="s">
        <v>2470</v>
      </c>
      <c r="E121" s="264" t="s">
        <v>4318</v>
      </c>
      <c r="F121" s="603" t="s">
        <v>4319</v>
      </c>
      <c r="G121" s="605"/>
      <c r="H121" s="70"/>
    </row>
    <row r="122" spans="1:8" ht="57" customHeight="1" x14ac:dyDescent="0.25">
      <c r="A122" s="338">
        <v>108</v>
      </c>
      <c r="B122" s="607"/>
      <c r="C122" s="597" t="s">
        <v>4324</v>
      </c>
      <c r="D122" s="596" t="s">
        <v>2470</v>
      </c>
      <c r="E122" s="264" t="s">
        <v>4318</v>
      </c>
      <c r="F122" s="603" t="s">
        <v>4319</v>
      </c>
      <c r="G122" s="605"/>
      <c r="H122" s="70"/>
    </row>
    <row r="123" spans="1:8" ht="57" customHeight="1" x14ac:dyDescent="0.25">
      <c r="A123" s="338">
        <v>109</v>
      </c>
      <c r="B123" s="607"/>
      <c r="C123" s="597" t="s">
        <v>4325</v>
      </c>
      <c r="D123" s="596" t="s">
        <v>2470</v>
      </c>
      <c r="E123" s="264" t="s">
        <v>4318</v>
      </c>
      <c r="F123" s="603" t="s">
        <v>4319</v>
      </c>
      <c r="G123" s="605"/>
      <c r="H123" s="70"/>
    </row>
    <row r="124" spans="1:8" ht="63" customHeight="1" x14ac:dyDescent="0.25">
      <c r="A124" s="338">
        <v>110</v>
      </c>
      <c r="B124" s="607"/>
      <c r="C124" s="597" t="s">
        <v>4326</v>
      </c>
      <c r="D124" s="596" t="s">
        <v>2470</v>
      </c>
      <c r="E124" s="264" t="s">
        <v>4318</v>
      </c>
      <c r="F124" s="603" t="s">
        <v>4319</v>
      </c>
      <c r="G124" s="605"/>
      <c r="H124" s="70"/>
    </row>
    <row r="125" spans="1:8" ht="60" customHeight="1" x14ac:dyDescent="0.25">
      <c r="A125" s="338">
        <v>111</v>
      </c>
      <c r="B125" s="607"/>
      <c r="C125" s="597" t="s">
        <v>4327</v>
      </c>
      <c r="D125" s="596" t="s">
        <v>2470</v>
      </c>
      <c r="E125" s="264" t="s">
        <v>4318</v>
      </c>
      <c r="F125" s="603" t="s">
        <v>4319</v>
      </c>
      <c r="G125" s="605"/>
      <c r="H125" s="70"/>
    </row>
    <row r="126" spans="1:8" ht="59.25" customHeight="1" x14ac:dyDescent="0.25">
      <c r="A126" s="338">
        <v>112</v>
      </c>
      <c r="B126" s="607"/>
      <c r="C126" s="597" t="s">
        <v>4328</v>
      </c>
      <c r="D126" s="596" t="s">
        <v>2470</v>
      </c>
      <c r="E126" s="264" t="s">
        <v>4318</v>
      </c>
      <c r="F126" s="603" t="s">
        <v>4319</v>
      </c>
      <c r="G126" s="605"/>
      <c r="H126" s="70"/>
    </row>
    <row r="127" spans="1:8" ht="58.5" customHeight="1" x14ac:dyDescent="0.25">
      <c r="A127" s="338">
        <v>113</v>
      </c>
      <c r="B127" s="607"/>
      <c r="C127" s="597" t="s">
        <v>4329</v>
      </c>
      <c r="D127" s="596" t="s">
        <v>2470</v>
      </c>
      <c r="E127" s="264" t="s">
        <v>4318</v>
      </c>
      <c r="F127" s="603" t="s">
        <v>4319</v>
      </c>
      <c r="G127" s="605"/>
      <c r="H127" s="70"/>
    </row>
    <row r="128" spans="1:8" ht="44.25" customHeight="1" x14ac:dyDescent="0.25">
      <c r="A128" s="338">
        <v>114</v>
      </c>
      <c r="B128" s="607"/>
      <c r="C128" s="597" t="s">
        <v>4330</v>
      </c>
      <c r="D128" s="596" t="s">
        <v>2470</v>
      </c>
      <c r="E128" s="264" t="s">
        <v>4318</v>
      </c>
      <c r="F128" s="603" t="s">
        <v>4319</v>
      </c>
      <c r="G128" s="605"/>
      <c r="H128" s="70"/>
    </row>
    <row r="129" spans="1:8" ht="56.25" customHeight="1" x14ac:dyDescent="0.25">
      <c r="A129" s="338">
        <v>115</v>
      </c>
      <c r="B129" s="607"/>
      <c r="C129" s="597" t="s">
        <v>4331</v>
      </c>
      <c r="D129" s="596" t="s">
        <v>2470</v>
      </c>
      <c r="E129" s="264" t="s">
        <v>4318</v>
      </c>
      <c r="F129" s="603" t="s">
        <v>4319</v>
      </c>
      <c r="G129" s="605"/>
      <c r="H129" s="70"/>
    </row>
    <row r="130" spans="1:8" ht="49.5" customHeight="1" x14ac:dyDescent="0.25">
      <c r="A130" s="338">
        <v>116</v>
      </c>
      <c r="B130" s="607"/>
      <c r="C130" s="597" t="s">
        <v>4332</v>
      </c>
      <c r="D130" s="596" t="s">
        <v>2470</v>
      </c>
      <c r="E130" s="264" t="s">
        <v>4318</v>
      </c>
      <c r="F130" s="603" t="s">
        <v>4319</v>
      </c>
      <c r="G130" s="605"/>
      <c r="H130" s="70"/>
    </row>
    <row r="131" spans="1:8" ht="52.5" customHeight="1" x14ac:dyDescent="0.25">
      <c r="A131" s="338">
        <v>117</v>
      </c>
      <c r="B131" s="607"/>
      <c r="C131" s="597" t="s">
        <v>4333</v>
      </c>
      <c r="D131" s="596" t="s">
        <v>2470</v>
      </c>
      <c r="E131" s="264" t="s">
        <v>4318</v>
      </c>
      <c r="F131" s="603" t="s">
        <v>4319</v>
      </c>
      <c r="G131" s="605"/>
      <c r="H131" s="70"/>
    </row>
    <row r="132" spans="1:8" ht="52.5" customHeight="1" x14ac:dyDescent="0.25">
      <c r="A132" s="338">
        <v>118</v>
      </c>
      <c r="B132" s="608"/>
      <c r="C132" s="597" t="s">
        <v>4334</v>
      </c>
      <c r="D132" s="596" t="s">
        <v>2470</v>
      </c>
      <c r="E132" s="264" t="s">
        <v>4318</v>
      </c>
      <c r="F132" s="603" t="s">
        <v>4319</v>
      </c>
      <c r="G132" s="605"/>
      <c r="H132" s="70"/>
    </row>
    <row r="133" spans="1:8" ht="15" customHeight="1" x14ac:dyDescent="0.25">
      <c r="A133" s="338">
        <v>119</v>
      </c>
      <c r="B133" s="606" t="s">
        <v>4335</v>
      </c>
      <c r="C133" s="264" t="s">
        <v>4336</v>
      </c>
      <c r="D133" s="596" t="s">
        <v>2470</v>
      </c>
      <c r="E133" s="596" t="s">
        <v>4305</v>
      </c>
      <c r="F133" s="602"/>
      <c r="G133" s="605"/>
      <c r="H133" s="70"/>
    </row>
    <row r="134" spans="1:8" ht="15" customHeight="1" x14ac:dyDescent="0.25">
      <c r="A134" s="338">
        <v>120</v>
      </c>
      <c r="B134" s="608"/>
      <c r="C134" s="264" t="s">
        <v>4337</v>
      </c>
      <c r="D134" s="596" t="s">
        <v>2470</v>
      </c>
      <c r="E134" s="596" t="s">
        <v>4305</v>
      </c>
      <c r="F134" s="602"/>
      <c r="G134" s="605"/>
      <c r="H134" s="70"/>
    </row>
    <row r="135" spans="1:8" ht="15" customHeight="1" x14ac:dyDescent="0.25">
      <c r="A135" s="338">
        <v>121</v>
      </c>
      <c r="B135" s="606" t="s">
        <v>4338</v>
      </c>
      <c r="C135" s="264" t="s">
        <v>4339</v>
      </c>
      <c r="D135" s="596" t="s">
        <v>2470</v>
      </c>
      <c r="E135" s="596" t="s">
        <v>4305</v>
      </c>
      <c r="F135" s="602"/>
      <c r="G135" s="605"/>
      <c r="H135" s="70"/>
    </row>
    <row r="136" spans="1:8" ht="15" customHeight="1" x14ac:dyDescent="0.25">
      <c r="A136" s="338">
        <v>122</v>
      </c>
      <c r="B136" s="608"/>
      <c r="C136" s="264" t="s">
        <v>4340</v>
      </c>
      <c r="D136" s="596" t="s">
        <v>2470</v>
      </c>
      <c r="E136" s="596" t="s">
        <v>4305</v>
      </c>
      <c r="F136" s="602"/>
      <c r="G136" s="605"/>
      <c r="H136" s="70"/>
    </row>
    <row r="137" spans="1:8" ht="15" customHeight="1" x14ac:dyDescent="0.25">
      <c r="A137" s="338">
        <v>123</v>
      </c>
      <c r="B137" s="606" t="s">
        <v>4341</v>
      </c>
      <c r="C137" s="264" t="s">
        <v>4342</v>
      </c>
      <c r="D137" s="596" t="s">
        <v>2470</v>
      </c>
      <c r="E137" s="596" t="s">
        <v>4305</v>
      </c>
      <c r="F137" s="602"/>
      <c r="G137" s="605"/>
      <c r="H137" s="70"/>
    </row>
    <row r="138" spans="1:8" ht="15" customHeight="1" x14ac:dyDescent="0.25">
      <c r="A138" s="338">
        <v>124</v>
      </c>
      <c r="B138" s="608"/>
      <c r="C138" s="264" t="s">
        <v>4343</v>
      </c>
      <c r="D138" s="596" t="s">
        <v>2470</v>
      </c>
      <c r="E138" s="596" t="s">
        <v>4305</v>
      </c>
      <c r="F138" s="602"/>
      <c r="G138" s="605"/>
      <c r="H138" s="70"/>
    </row>
    <row r="139" spans="1:8" ht="15" customHeight="1" x14ac:dyDescent="0.25">
      <c r="A139" s="338">
        <v>125</v>
      </c>
      <c r="B139" s="606" t="s">
        <v>2905</v>
      </c>
      <c r="C139" s="264" t="s">
        <v>2906</v>
      </c>
      <c r="D139" s="596" t="s">
        <v>2470</v>
      </c>
      <c r="E139" s="596" t="s">
        <v>4302</v>
      </c>
      <c r="F139" s="602"/>
      <c r="G139" s="605"/>
      <c r="H139" s="70"/>
    </row>
    <row r="140" spans="1:8" ht="15" customHeight="1" x14ac:dyDescent="0.25">
      <c r="A140" s="338">
        <v>126</v>
      </c>
      <c r="B140" s="608"/>
      <c r="C140" s="264" t="s">
        <v>2907</v>
      </c>
      <c r="D140" s="596" t="s">
        <v>2470</v>
      </c>
      <c r="E140" s="596" t="s">
        <v>4302</v>
      </c>
      <c r="F140" s="602"/>
      <c r="G140" s="605"/>
      <c r="H140" s="70"/>
    </row>
    <row r="141" spans="1:8" ht="15.75" x14ac:dyDescent="0.25">
      <c r="A141" s="338">
        <v>127</v>
      </c>
      <c r="B141" s="594" t="s">
        <v>4344</v>
      </c>
      <c r="C141" s="264" t="s">
        <v>4345</v>
      </c>
      <c r="D141" s="598" t="s">
        <v>2585</v>
      </c>
      <c r="E141" s="596" t="s">
        <v>4305</v>
      </c>
      <c r="F141" s="602"/>
      <c r="G141" s="605"/>
      <c r="H141" s="70"/>
    </row>
    <row r="142" spans="1:8" ht="15.75" x14ac:dyDescent="0.25">
      <c r="A142" s="338">
        <v>128</v>
      </c>
      <c r="B142" s="606" t="s">
        <v>4346</v>
      </c>
      <c r="C142" s="264" t="s">
        <v>4347</v>
      </c>
      <c r="D142" s="598" t="s">
        <v>2585</v>
      </c>
      <c r="E142" s="596" t="s">
        <v>4305</v>
      </c>
      <c r="F142" s="602"/>
      <c r="G142" s="605"/>
      <c r="H142" s="70"/>
    </row>
    <row r="143" spans="1:8" ht="15.75" x14ac:dyDescent="0.25">
      <c r="A143" s="338">
        <v>129</v>
      </c>
      <c r="B143" s="608"/>
      <c r="C143" s="264" t="s">
        <v>4348</v>
      </c>
      <c r="D143" s="598" t="s">
        <v>2585</v>
      </c>
      <c r="E143" s="596" t="s">
        <v>4305</v>
      </c>
      <c r="F143" s="602"/>
      <c r="G143" s="605"/>
      <c r="H143" s="70"/>
    </row>
    <row r="144" spans="1:8" ht="15.75" x14ac:dyDescent="0.25">
      <c r="A144" s="338">
        <v>130</v>
      </c>
      <c r="B144" s="606" t="s">
        <v>4349</v>
      </c>
      <c r="C144" s="264" t="s">
        <v>4350</v>
      </c>
      <c r="D144" s="598" t="s">
        <v>2585</v>
      </c>
      <c r="E144" s="596" t="s">
        <v>4351</v>
      </c>
      <c r="F144" s="602"/>
      <c r="G144" s="605"/>
      <c r="H144" s="70"/>
    </row>
    <row r="145" spans="1:8" ht="15.75" x14ac:dyDescent="0.25">
      <c r="A145" s="338">
        <v>131</v>
      </c>
      <c r="B145" s="607"/>
      <c r="C145" s="264" t="s">
        <v>4352</v>
      </c>
      <c r="D145" s="598" t="s">
        <v>2585</v>
      </c>
      <c r="E145" s="596" t="s">
        <v>4351</v>
      </c>
      <c r="F145" s="602"/>
      <c r="G145" s="605"/>
      <c r="H145" s="70"/>
    </row>
    <row r="146" spans="1:8" ht="15.75" x14ac:dyDescent="0.25">
      <c r="A146" s="338">
        <v>132</v>
      </c>
      <c r="B146" s="607"/>
      <c r="C146" s="264" t="s">
        <v>4353</v>
      </c>
      <c r="D146" s="598" t="s">
        <v>2585</v>
      </c>
      <c r="E146" s="596" t="s">
        <v>4351</v>
      </c>
      <c r="F146" s="602"/>
      <c r="G146" s="605"/>
      <c r="H146" s="70"/>
    </row>
    <row r="147" spans="1:8" ht="15.75" x14ac:dyDescent="0.25">
      <c r="A147" s="338">
        <v>133</v>
      </c>
      <c r="B147" s="607"/>
      <c r="C147" s="264" t="s">
        <v>4354</v>
      </c>
      <c r="D147" s="598" t="s">
        <v>2585</v>
      </c>
      <c r="E147" s="596" t="s">
        <v>4351</v>
      </c>
      <c r="F147" s="602"/>
      <c r="G147" s="605"/>
      <c r="H147" s="70"/>
    </row>
    <row r="148" spans="1:8" ht="15.75" x14ac:dyDescent="0.25">
      <c r="A148" s="338">
        <v>134</v>
      </c>
      <c r="B148" s="607"/>
      <c r="C148" s="264" t="s">
        <v>4355</v>
      </c>
      <c r="D148" s="598" t="s">
        <v>2585</v>
      </c>
      <c r="E148" s="596" t="s">
        <v>4351</v>
      </c>
      <c r="F148" s="602"/>
      <c r="G148" s="605"/>
      <c r="H148" s="70"/>
    </row>
    <row r="149" spans="1:8" ht="15.75" x14ac:dyDescent="0.25">
      <c r="A149" s="338">
        <v>135</v>
      </c>
      <c r="B149" s="607"/>
      <c r="C149" s="264" t="s">
        <v>4356</v>
      </c>
      <c r="D149" s="598" t="s">
        <v>2585</v>
      </c>
      <c r="E149" s="596" t="s">
        <v>4351</v>
      </c>
      <c r="F149" s="602"/>
      <c r="G149" s="605"/>
      <c r="H149" s="70"/>
    </row>
    <row r="150" spans="1:8" ht="15.75" x14ac:dyDescent="0.25">
      <c r="A150" s="338">
        <v>136</v>
      </c>
      <c r="B150" s="608"/>
      <c r="C150" s="264" t="s">
        <v>4357</v>
      </c>
      <c r="D150" s="598" t="s">
        <v>2585</v>
      </c>
      <c r="E150" s="596" t="s">
        <v>4351</v>
      </c>
      <c r="F150" s="602"/>
      <c r="G150" s="605"/>
      <c r="H150" s="70"/>
    </row>
    <row r="151" spans="1:8" ht="15.75" x14ac:dyDescent="0.25">
      <c r="A151" s="338">
        <v>137</v>
      </c>
      <c r="B151" s="606" t="s">
        <v>4358</v>
      </c>
      <c r="C151" s="264" t="s">
        <v>4359</v>
      </c>
      <c r="D151" s="598" t="s">
        <v>2585</v>
      </c>
      <c r="E151" s="596" t="s">
        <v>4351</v>
      </c>
      <c r="F151" s="602"/>
      <c r="G151" s="605"/>
      <c r="H151" s="70"/>
    </row>
    <row r="152" spans="1:8" ht="15.75" x14ac:dyDescent="0.25">
      <c r="A152" s="338">
        <v>138</v>
      </c>
      <c r="B152" s="607"/>
      <c r="C152" s="264" t="s">
        <v>4360</v>
      </c>
      <c r="D152" s="598" t="s">
        <v>2585</v>
      </c>
      <c r="E152" s="596" t="s">
        <v>4351</v>
      </c>
      <c r="F152" s="602"/>
      <c r="G152" s="605"/>
      <c r="H152" s="70"/>
    </row>
    <row r="153" spans="1:8" ht="15.75" x14ac:dyDescent="0.25">
      <c r="A153" s="338">
        <v>139</v>
      </c>
      <c r="B153" s="607"/>
      <c r="C153" s="264" t="s">
        <v>4361</v>
      </c>
      <c r="D153" s="598" t="s">
        <v>2585</v>
      </c>
      <c r="E153" s="596" t="s">
        <v>4351</v>
      </c>
      <c r="F153" s="602"/>
      <c r="G153" s="605"/>
      <c r="H153" s="70"/>
    </row>
    <row r="154" spans="1:8" ht="15.75" x14ac:dyDescent="0.25">
      <c r="A154" s="338">
        <v>140</v>
      </c>
      <c r="B154" s="607"/>
      <c r="C154" s="264" t="s">
        <v>4362</v>
      </c>
      <c r="D154" s="598" t="s">
        <v>2585</v>
      </c>
      <c r="E154" s="596" t="s">
        <v>4351</v>
      </c>
      <c r="F154" s="602"/>
      <c r="G154" s="605"/>
      <c r="H154" s="70"/>
    </row>
    <row r="155" spans="1:8" ht="15.75" x14ac:dyDescent="0.25">
      <c r="A155" s="338">
        <v>141</v>
      </c>
      <c r="B155" s="608"/>
      <c r="C155" s="264" t="s">
        <v>4363</v>
      </c>
      <c r="D155" s="598" t="s">
        <v>2585</v>
      </c>
      <c r="E155" s="596" t="s">
        <v>4351</v>
      </c>
      <c r="F155" s="602"/>
      <c r="G155" s="605"/>
      <c r="H155" s="70"/>
    </row>
    <row r="156" spans="1:8" ht="15.75" x14ac:dyDescent="0.25">
      <c r="A156" s="338">
        <v>142</v>
      </c>
      <c r="B156" s="606" t="s">
        <v>4364</v>
      </c>
      <c r="C156" s="264" t="s">
        <v>4365</v>
      </c>
      <c r="D156" s="598" t="s">
        <v>2585</v>
      </c>
      <c r="E156" s="596" t="s">
        <v>4351</v>
      </c>
      <c r="F156" s="602"/>
      <c r="G156" s="605"/>
      <c r="H156" s="70"/>
    </row>
    <row r="157" spans="1:8" ht="15.75" x14ac:dyDescent="0.25">
      <c r="A157" s="338">
        <v>143</v>
      </c>
      <c r="B157" s="608"/>
      <c r="C157" s="264" t="s">
        <v>4366</v>
      </c>
      <c r="D157" s="598" t="s">
        <v>2585</v>
      </c>
      <c r="E157" s="596" t="s">
        <v>4351</v>
      </c>
      <c r="F157" s="602"/>
      <c r="G157" s="605"/>
      <c r="H157" s="70"/>
    </row>
    <row r="158" spans="1:8" ht="31.5" x14ac:dyDescent="0.25">
      <c r="A158" s="338">
        <v>144</v>
      </c>
      <c r="B158" s="594" t="s">
        <v>4367</v>
      </c>
      <c r="C158" s="595" t="s">
        <v>4368</v>
      </c>
      <c r="D158" s="598" t="s">
        <v>2585</v>
      </c>
      <c r="E158" s="596" t="s">
        <v>4302</v>
      </c>
      <c r="F158" s="601"/>
      <c r="G158" s="605"/>
      <c r="H158" s="70"/>
    </row>
    <row r="159" spans="1:8" ht="15.75" x14ac:dyDescent="0.25">
      <c r="A159" s="338">
        <v>145</v>
      </c>
      <c r="B159" s="606" t="s">
        <v>4369</v>
      </c>
      <c r="C159" s="264" t="s">
        <v>4370</v>
      </c>
      <c r="D159" s="598" t="s">
        <v>2585</v>
      </c>
      <c r="E159" s="596" t="s">
        <v>4351</v>
      </c>
      <c r="F159" s="602"/>
      <c r="G159" s="605"/>
      <c r="H159" s="70"/>
    </row>
    <row r="160" spans="1:8" ht="15.75" x14ac:dyDescent="0.25">
      <c r="A160" s="338">
        <v>146</v>
      </c>
      <c r="B160" s="607"/>
      <c r="C160" s="264" t="s">
        <v>4371</v>
      </c>
      <c r="D160" s="598" t="s">
        <v>2585</v>
      </c>
      <c r="E160" s="596" t="s">
        <v>4351</v>
      </c>
      <c r="F160" s="602"/>
      <c r="G160" s="605"/>
      <c r="H160" s="70"/>
    </row>
    <row r="161" spans="1:8" ht="31.5" x14ac:dyDescent="0.25">
      <c r="A161" s="338">
        <v>147</v>
      </c>
      <c r="B161" s="608"/>
      <c r="C161" s="595" t="s">
        <v>4372</v>
      </c>
      <c r="D161" s="598" t="s">
        <v>2585</v>
      </c>
      <c r="E161" s="596" t="s">
        <v>4302</v>
      </c>
      <c r="F161" s="601"/>
      <c r="G161" s="605"/>
      <c r="H161" s="70"/>
    </row>
    <row r="162" spans="1:8" ht="15.75" x14ac:dyDescent="0.25">
      <c r="A162" s="338">
        <v>148</v>
      </c>
      <c r="B162" s="606" t="s">
        <v>4373</v>
      </c>
      <c r="C162" s="264" t="s">
        <v>4374</v>
      </c>
      <c r="D162" s="599" t="s">
        <v>2519</v>
      </c>
      <c r="E162" s="593" t="s">
        <v>4375</v>
      </c>
      <c r="F162" s="602"/>
      <c r="G162" s="605"/>
      <c r="H162" s="70"/>
    </row>
    <row r="163" spans="1:8" ht="15.75" x14ac:dyDescent="0.25">
      <c r="A163" s="338">
        <v>149</v>
      </c>
      <c r="B163" s="608"/>
      <c r="C163" s="264" t="s">
        <v>4376</v>
      </c>
      <c r="D163" s="599" t="s">
        <v>2519</v>
      </c>
      <c r="E163" s="593" t="s">
        <v>4375</v>
      </c>
      <c r="F163" s="602"/>
      <c r="G163" s="605"/>
      <c r="H163" s="70"/>
    </row>
    <row r="164" spans="1:8" ht="15.75" x14ac:dyDescent="0.25">
      <c r="A164" s="338">
        <v>150</v>
      </c>
      <c r="B164" s="606" t="s">
        <v>4377</v>
      </c>
      <c r="C164" s="264" t="s">
        <v>2922</v>
      </c>
      <c r="D164" s="599" t="s">
        <v>2519</v>
      </c>
      <c r="E164" s="593" t="s">
        <v>4375</v>
      </c>
      <c r="F164" s="602"/>
      <c r="G164" s="605"/>
      <c r="H164" s="70"/>
    </row>
    <row r="165" spans="1:8" ht="15.75" x14ac:dyDescent="0.25">
      <c r="A165" s="338">
        <v>151</v>
      </c>
      <c r="B165" s="607"/>
      <c r="C165" s="264" t="s">
        <v>2923</v>
      </c>
      <c r="D165" s="599" t="s">
        <v>2519</v>
      </c>
      <c r="E165" s="593" t="s">
        <v>4375</v>
      </c>
      <c r="F165" s="602"/>
      <c r="G165" s="605"/>
      <c r="H165" s="70"/>
    </row>
    <row r="166" spans="1:8" ht="15.75" x14ac:dyDescent="0.25">
      <c r="A166" s="338">
        <v>152</v>
      </c>
      <c r="B166" s="607"/>
      <c r="C166" s="264" t="s">
        <v>2924</v>
      </c>
      <c r="D166" s="599" t="s">
        <v>2519</v>
      </c>
      <c r="E166" s="593" t="s">
        <v>4375</v>
      </c>
      <c r="F166" s="602"/>
      <c r="G166" s="605"/>
      <c r="H166" s="70"/>
    </row>
    <row r="167" spans="1:8" ht="15.75" x14ac:dyDescent="0.25">
      <c r="A167" s="338">
        <v>153</v>
      </c>
      <c r="B167" s="607"/>
      <c r="C167" s="264" t="s">
        <v>2921</v>
      </c>
      <c r="D167" s="599" t="s">
        <v>2519</v>
      </c>
      <c r="E167" s="593" t="s">
        <v>4375</v>
      </c>
      <c r="F167" s="602"/>
      <c r="G167" s="605"/>
      <c r="H167" s="70"/>
    </row>
    <row r="168" spans="1:8" ht="15.75" x14ac:dyDescent="0.25">
      <c r="A168" s="338">
        <v>154</v>
      </c>
      <c r="B168" s="607"/>
      <c r="C168" s="264" t="s">
        <v>2919</v>
      </c>
      <c r="D168" s="599" t="s">
        <v>2519</v>
      </c>
      <c r="E168" s="593" t="s">
        <v>4375</v>
      </c>
      <c r="F168" s="602"/>
      <c r="G168" s="605"/>
      <c r="H168" s="70"/>
    </row>
    <row r="169" spans="1:8" ht="15.75" x14ac:dyDescent="0.25">
      <c r="A169" s="338">
        <v>155</v>
      </c>
      <c r="B169" s="608"/>
      <c r="C169" s="264" t="s">
        <v>2920</v>
      </c>
      <c r="D169" s="599" t="s">
        <v>2519</v>
      </c>
      <c r="E169" s="593" t="s">
        <v>4375</v>
      </c>
      <c r="F169" s="602"/>
      <c r="G169" s="605"/>
      <c r="H169" s="70"/>
    </row>
    <row r="170" spans="1:8" ht="31.5" x14ac:dyDescent="0.25">
      <c r="A170" s="338">
        <v>156</v>
      </c>
      <c r="B170" s="594" t="s">
        <v>4378</v>
      </c>
      <c r="C170" s="595" t="s">
        <v>4379</v>
      </c>
      <c r="D170" s="599" t="s">
        <v>2519</v>
      </c>
      <c r="E170" s="593" t="s">
        <v>4302</v>
      </c>
      <c r="F170" s="601"/>
      <c r="G170" s="605"/>
      <c r="H170" s="70"/>
    </row>
    <row r="171" spans="1:8" ht="15.75" x14ac:dyDescent="0.25">
      <c r="A171" s="338">
        <v>157</v>
      </c>
      <c r="B171" s="606" t="s">
        <v>4380</v>
      </c>
      <c r="C171" s="264" t="s">
        <v>2103</v>
      </c>
      <c r="D171" s="599" t="s">
        <v>2519</v>
      </c>
      <c r="E171" s="593" t="s">
        <v>4305</v>
      </c>
      <c r="F171" s="602"/>
      <c r="G171" s="605"/>
      <c r="H171" s="70"/>
    </row>
    <row r="172" spans="1:8" ht="15.75" x14ac:dyDescent="0.25">
      <c r="A172" s="338">
        <v>158</v>
      </c>
      <c r="B172" s="607"/>
      <c r="C172" s="264" t="s">
        <v>2099</v>
      </c>
      <c r="D172" s="599" t="s">
        <v>2519</v>
      </c>
      <c r="E172" s="593" t="s">
        <v>4305</v>
      </c>
      <c r="F172" s="602"/>
      <c r="G172" s="605"/>
      <c r="H172" s="70"/>
    </row>
    <row r="173" spans="1:8" ht="15.75" x14ac:dyDescent="0.25">
      <c r="A173" s="338">
        <v>159</v>
      </c>
      <c r="B173" s="607"/>
      <c r="C173" s="264" t="s">
        <v>2097</v>
      </c>
      <c r="D173" s="599" t="s">
        <v>2519</v>
      </c>
      <c r="E173" s="593" t="s">
        <v>4305</v>
      </c>
      <c r="F173" s="602"/>
      <c r="G173" s="605"/>
      <c r="H173" s="70"/>
    </row>
    <row r="174" spans="1:8" ht="15.75" x14ac:dyDescent="0.25">
      <c r="A174" s="338">
        <v>160</v>
      </c>
      <c r="B174" s="607"/>
      <c r="C174" s="264" t="s">
        <v>2095</v>
      </c>
      <c r="D174" s="599" t="s">
        <v>2519</v>
      </c>
      <c r="E174" s="593" t="s">
        <v>4305</v>
      </c>
      <c r="F174" s="602"/>
      <c r="G174" s="605"/>
      <c r="H174" s="70"/>
    </row>
    <row r="175" spans="1:8" ht="15.75" x14ac:dyDescent="0.25">
      <c r="A175" s="338">
        <v>161</v>
      </c>
      <c r="B175" s="607"/>
      <c r="C175" s="264" t="s">
        <v>2100</v>
      </c>
      <c r="D175" s="599" t="s">
        <v>2519</v>
      </c>
      <c r="E175" s="593" t="s">
        <v>4305</v>
      </c>
      <c r="F175" s="602"/>
      <c r="G175" s="605"/>
      <c r="H175" s="70"/>
    </row>
    <row r="176" spans="1:8" ht="15.75" x14ac:dyDescent="0.25">
      <c r="A176" s="338">
        <v>162</v>
      </c>
      <c r="B176" s="607"/>
      <c r="C176" s="264" t="s">
        <v>2096</v>
      </c>
      <c r="D176" s="599" t="s">
        <v>2519</v>
      </c>
      <c r="E176" s="593" t="s">
        <v>4305</v>
      </c>
      <c r="F176" s="602"/>
      <c r="G176" s="605"/>
      <c r="H176" s="70"/>
    </row>
    <row r="177" spans="1:8" ht="15.75" x14ac:dyDescent="0.25">
      <c r="A177" s="338">
        <v>163</v>
      </c>
      <c r="B177" s="607"/>
      <c r="C177" s="264" t="s">
        <v>2101</v>
      </c>
      <c r="D177" s="599" t="s">
        <v>2519</v>
      </c>
      <c r="E177" s="593" t="s">
        <v>4305</v>
      </c>
      <c r="F177" s="602"/>
      <c r="G177" s="605"/>
      <c r="H177" s="70"/>
    </row>
    <row r="178" spans="1:8" ht="15.75" x14ac:dyDescent="0.25">
      <c r="A178" s="338">
        <v>164</v>
      </c>
      <c r="B178" s="607"/>
      <c r="C178" s="264" t="s">
        <v>2102</v>
      </c>
      <c r="D178" s="599" t="s">
        <v>2519</v>
      </c>
      <c r="E178" s="593" t="s">
        <v>4305</v>
      </c>
      <c r="F178" s="602"/>
      <c r="G178" s="605"/>
      <c r="H178" s="70"/>
    </row>
    <row r="179" spans="1:8" ht="15.75" x14ac:dyDescent="0.25">
      <c r="A179" s="338">
        <v>165</v>
      </c>
      <c r="B179" s="607"/>
      <c r="C179" s="264" t="s">
        <v>2098</v>
      </c>
      <c r="D179" s="599" t="s">
        <v>2519</v>
      </c>
      <c r="E179" s="593" t="s">
        <v>4305</v>
      </c>
      <c r="F179" s="602"/>
      <c r="G179" s="605"/>
      <c r="H179" s="70"/>
    </row>
    <row r="180" spans="1:8" ht="15.75" x14ac:dyDescent="0.25">
      <c r="A180" s="338">
        <v>166</v>
      </c>
      <c r="B180" s="607"/>
      <c r="C180" s="264" t="s">
        <v>2105</v>
      </c>
      <c r="D180" s="599" t="s">
        <v>2519</v>
      </c>
      <c r="E180" s="593" t="s">
        <v>4305</v>
      </c>
      <c r="F180" s="602"/>
      <c r="G180" s="605"/>
      <c r="H180" s="70"/>
    </row>
    <row r="181" spans="1:8" ht="15.75" x14ac:dyDescent="0.25">
      <c r="A181" s="338">
        <v>167</v>
      </c>
      <c r="B181" s="608"/>
      <c r="C181" s="264" t="s">
        <v>2104</v>
      </c>
      <c r="D181" s="599" t="s">
        <v>2519</v>
      </c>
      <c r="E181" s="593" t="s">
        <v>4305</v>
      </c>
      <c r="F181" s="602"/>
      <c r="G181" s="605"/>
      <c r="H181" s="70"/>
    </row>
    <row r="182" spans="1:8" ht="15.75" x14ac:dyDescent="0.25">
      <c r="A182" s="338">
        <v>168</v>
      </c>
      <c r="B182" s="606" t="s">
        <v>4381</v>
      </c>
      <c r="C182" s="264" t="s">
        <v>4382</v>
      </c>
      <c r="D182" s="599" t="s">
        <v>2519</v>
      </c>
      <c r="E182" s="593" t="s">
        <v>4375</v>
      </c>
      <c r="F182" s="602"/>
      <c r="G182" s="605"/>
      <c r="H182" s="70"/>
    </row>
    <row r="183" spans="1:8" ht="15.75" x14ac:dyDescent="0.25">
      <c r="A183" s="338">
        <v>169</v>
      </c>
      <c r="B183" s="608"/>
      <c r="C183" s="264" t="s">
        <v>4383</v>
      </c>
      <c r="D183" s="599" t="s">
        <v>2519</v>
      </c>
      <c r="E183" s="593" t="s">
        <v>4375</v>
      </c>
      <c r="F183" s="602"/>
      <c r="G183" s="605"/>
      <c r="H183" s="70"/>
    </row>
    <row r="184" spans="1:8" ht="31.5" x14ac:dyDescent="0.25">
      <c r="A184" s="338">
        <v>170</v>
      </c>
      <c r="B184" s="594" t="s">
        <v>4384</v>
      </c>
      <c r="C184" s="595" t="s">
        <v>4385</v>
      </c>
      <c r="D184" s="599" t="s">
        <v>2519</v>
      </c>
      <c r="E184" s="593" t="s">
        <v>4302</v>
      </c>
      <c r="F184" s="601"/>
      <c r="G184" s="605"/>
      <c r="H184" s="70"/>
    </row>
    <row r="185" spans="1:8" ht="15.75" x14ac:dyDescent="0.25">
      <c r="A185" s="338">
        <v>171</v>
      </c>
      <c r="B185" s="606" t="s">
        <v>4386</v>
      </c>
      <c r="C185" s="264" t="s">
        <v>2916</v>
      </c>
      <c r="D185" s="599" t="s">
        <v>2519</v>
      </c>
      <c r="E185" s="593" t="s">
        <v>4375</v>
      </c>
      <c r="F185" s="602"/>
      <c r="G185" s="605"/>
      <c r="H185" s="70"/>
    </row>
    <row r="186" spans="1:8" ht="15.75" x14ac:dyDescent="0.25">
      <c r="A186" s="338">
        <v>172</v>
      </c>
      <c r="B186" s="607"/>
      <c r="C186" s="264" t="s">
        <v>2915</v>
      </c>
      <c r="D186" s="599" t="s">
        <v>2519</v>
      </c>
      <c r="E186" s="593" t="s">
        <v>4375</v>
      </c>
      <c r="F186" s="602"/>
      <c r="G186" s="605"/>
      <c r="H186" s="70"/>
    </row>
    <row r="187" spans="1:8" ht="15.75" x14ac:dyDescent="0.25">
      <c r="A187" s="338">
        <v>173</v>
      </c>
      <c r="B187" s="607"/>
      <c r="C187" s="264" t="s">
        <v>2917</v>
      </c>
      <c r="D187" s="599" t="s">
        <v>2519</v>
      </c>
      <c r="E187" s="593" t="s">
        <v>4375</v>
      </c>
      <c r="F187" s="602"/>
      <c r="G187" s="605"/>
      <c r="H187" s="70"/>
    </row>
    <row r="188" spans="1:8" ht="15.75" x14ac:dyDescent="0.25">
      <c r="A188" s="338">
        <v>174</v>
      </c>
      <c r="B188" s="608"/>
      <c r="C188" s="264" t="s">
        <v>2918</v>
      </c>
      <c r="D188" s="599" t="s">
        <v>2519</v>
      </c>
      <c r="E188" s="593" t="s">
        <v>4375</v>
      </c>
      <c r="F188" s="602"/>
      <c r="G188" s="605"/>
      <c r="H188" s="70"/>
    </row>
    <row r="189" spans="1:8" ht="15.75" x14ac:dyDescent="0.25">
      <c r="A189" s="338">
        <v>175</v>
      </c>
      <c r="B189" s="594" t="s">
        <v>4387</v>
      </c>
      <c r="C189" s="264" t="s">
        <v>4388</v>
      </c>
      <c r="D189" s="599" t="s">
        <v>2519</v>
      </c>
      <c r="E189" s="593" t="s">
        <v>4375</v>
      </c>
      <c r="F189" s="602"/>
      <c r="G189" s="605"/>
      <c r="H189" s="70"/>
    </row>
    <row r="190" spans="1:8" ht="31.5" x14ac:dyDescent="0.25">
      <c r="A190" s="338">
        <v>176</v>
      </c>
      <c r="B190" s="594" t="s">
        <v>4389</v>
      </c>
      <c r="C190" s="595" t="s">
        <v>4390</v>
      </c>
      <c r="D190" s="599" t="s">
        <v>2519</v>
      </c>
      <c r="E190" s="593" t="s">
        <v>4302</v>
      </c>
      <c r="F190" s="601"/>
      <c r="G190" s="605"/>
      <c r="H190" s="70"/>
    </row>
    <row r="191" spans="1:8" ht="15.75" x14ac:dyDescent="0.25">
      <c r="A191" s="338">
        <v>177</v>
      </c>
      <c r="B191" s="606" t="s">
        <v>4391</v>
      </c>
      <c r="C191" s="264" t="s">
        <v>4392</v>
      </c>
      <c r="D191" s="599" t="s">
        <v>2519</v>
      </c>
      <c r="E191" s="593" t="s">
        <v>4375</v>
      </c>
      <c r="F191" s="602"/>
      <c r="G191" s="605"/>
      <c r="H191" s="70"/>
    </row>
    <row r="192" spans="1:8" ht="15.75" x14ac:dyDescent="0.25">
      <c r="A192" s="338">
        <v>178</v>
      </c>
      <c r="B192" s="608"/>
      <c r="C192" s="264" t="s">
        <v>4393</v>
      </c>
      <c r="D192" s="599" t="s">
        <v>2519</v>
      </c>
      <c r="E192" s="593" t="s">
        <v>4375</v>
      </c>
      <c r="F192" s="602"/>
      <c r="G192" s="605"/>
      <c r="H192" s="70"/>
    </row>
    <row r="193" spans="1:8" ht="15.75" x14ac:dyDescent="0.25">
      <c r="A193" s="338">
        <v>179</v>
      </c>
      <c r="B193" s="606" t="s">
        <v>4394</v>
      </c>
      <c r="C193" s="264" t="s">
        <v>4395</v>
      </c>
      <c r="D193" s="599" t="s">
        <v>2519</v>
      </c>
      <c r="E193" s="593" t="s">
        <v>4375</v>
      </c>
      <c r="F193" s="602"/>
      <c r="G193" s="605"/>
      <c r="H193" s="70"/>
    </row>
    <row r="194" spans="1:8" ht="15.75" x14ac:dyDescent="0.25">
      <c r="A194" s="338">
        <v>180</v>
      </c>
      <c r="B194" s="608"/>
      <c r="C194" s="264" t="s">
        <v>4396</v>
      </c>
      <c r="D194" s="599" t="s">
        <v>2519</v>
      </c>
      <c r="E194" s="593" t="s">
        <v>4375</v>
      </c>
      <c r="F194" s="602"/>
      <c r="G194" s="605"/>
      <c r="H194" s="70"/>
    </row>
    <row r="195" spans="1:8" ht="15.75" x14ac:dyDescent="0.25">
      <c r="A195" s="338">
        <v>181</v>
      </c>
      <c r="B195" s="594" t="s">
        <v>4397</v>
      </c>
      <c r="C195" s="264" t="s">
        <v>4398</v>
      </c>
      <c r="D195" s="599" t="s">
        <v>2474</v>
      </c>
      <c r="E195" s="593" t="s">
        <v>4305</v>
      </c>
      <c r="F195" s="602"/>
      <c r="G195" s="605"/>
      <c r="H195" s="70"/>
    </row>
    <row r="196" spans="1:8" ht="15.75" x14ac:dyDescent="0.25">
      <c r="A196" s="338">
        <v>182</v>
      </c>
      <c r="B196" s="606" t="s">
        <v>4399</v>
      </c>
      <c r="C196" s="264" t="s">
        <v>4400</v>
      </c>
      <c r="D196" s="599" t="s">
        <v>2474</v>
      </c>
      <c r="E196" s="593" t="s">
        <v>4305</v>
      </c>
      <c r="F196" s="602"/>
      <c r="G196" s="605"/>
      <c r="H196" s="70"/>
    </row>
    <row r="197" spans="1:8" ht="15.75" x14ac:dyDescent="0.25">
      <c r="A197" s="338">
        <v>183</v>
      </c>
      <c r="B197" s="608"/>
      <c r="C197" s="264" t="s">
        <v>4401</v>
      </c>
      <c r="D197" s="599" t="s">
        <v>2474</v>
      </c>
      <c r="E197" s="593" t="s">
        <v>4305</v>
      </c>
      <c r="F197" s="602"/>
      <c r="G197" s="605"/>
      <c r="H197" s="70"/>
    </row>
    <row r="198" spans="1:8" ht="15.75" x14ac:dyDescent="0.25">
      <c r="A198" s="338">
        <v>184</v>
      </c>
      <c r="B198" s="606" t="s">
        <v>4402</v>
      </c>
      <c r="C198" s="264" t="s">
        <v>4403</v>
      </c>
      <c r="D198" s="599" t="s">
        <v>2474</v>
      </c>
      <c r="E198" s="593" t="s">
        <v>4305</v>
      </c>
      <c r="F198" s="602"/>
      <c r="G198" s="605"/>
      <c r="H198" s="70"/>
    </row>
    <row r="199" spans="1:8" ht="15.75" x14ac:dyDescent="0.25">
      <c r="A199" s="338">
        <v>185</v>
      </c>
      <c r="B199" s="607"/>
      <c r="C199" s="264" t="s">
        <v>4404</v>
      </c>
      <c r="D199" s="599" t="s">
        <v>2474</v>
      </c>
      <c r="E199" s="593" t="s">
        <v>4305</v>
      </c>
      <c r="F199" s="602"/>
      <c r="G199" s="605"/>
      <c r="H199" s="70"/>
    </row>
    <row r="200" spans="1:8" ht="15.75" x14ac:dyDescent="0.25">
      <c r="A200" s="338">
        <v>186</v>
      </c>
      <c r="B200" s="607"/>
      <c r="C200" s="264" t="s">
        <v>4405</v>
      </c>
      <c r="D200" s="599" t="s">
        <v>2474</v>
      </c>
      <c r="E200" s="593" t="s">
        <v>4305</v>
      </c>
      <c r="F200" s="602"/>
      <c r="G200" s="605"/>
      <c r="H200" s="70"/>
    </row>
    <row r="201" spans="1:8" ht="15.75" x14ac:dyDescent="0.25">
      <c r="A201" s="338">
        <v>187</v>
      </c>
      <c r="B201" s="608"/>
      <c r="C201" s="264" t="s">
        <v>4406</v>
      </c>
      <c r="D201" s="599" t="s">
        <v>2474</v>
      </c>
      <c r="E201" s="593" t="s">
        <v>4305</v>
      </c>
      <c r="F201" s="602"/>
      <c r="G201" s="605"/>
      <c r="H201" s="70"/>
    </row>
    <row r="202" spans="1:8" ht="15.75" x14ac:dyDescent="0.25">
      <c r="A202" s="338">
        <v>188</v>
      </c>
      <c r="B202" s="594" t="s">
        <v>4407</v>
      </c>
      <c r="C202" s="264" t="s">
        <v>4408</v>
      </c>
      <c r="D202" s="599" t="s">
        <v>2474</v>
      </c>
      <c r="E202" s="593" t="s">
        <v>4305</v>
      </c>
      <c r="F202" s="602"/>
      <c r="G202" s="605"/>
      <c r="H202" s="70"/>
    </row>
    <row r="203" spans="1:8" ht="15.75" x14ac:dyDescent="0.25">
      <c r="A203" s="338">
        <v>189</v>
      </c>
      <c r="B203" s="606" t="s">
        <v>4409</v>
      </c>
      <c r="C203" s="264" t="s">
        <v>4410</v>
      </c>
      <c r="D203" s="599" t="s">
        <v>2474</v>
      </c>
      <c r="E203" s="593" t="s">
        <v>4305</v>
      </c>
      <c r="F203" s="602"/>
      <c r="G203" s="605"/>
      <c r="H203" s="70"/>
    </row>
    <row r="204" spans="1:8" ht="15.75" x14ac:dyDescent="0.25">
      <c r="A204" s="338">
        <v>190</v>
      </c>
      <c r="B204" s="608"/>
      <c r="C204" s="264" t="s">
        <v>4411</v>
      </c>
      <c r="D204" s="599" t="s">
        <v>2474</v>
      </c>
      <c r="E204" s="593" t="s">
        <v>4305</v>
      </c>
      <c r="F204" s="602"/>
      <c r="G204" s="605"/>
      <c r="H204" s="70"/>
    </row>
    <row r="205" spans="1:8" ht="15.75" x14ac:dyDescent="0.25">
      <c r="A205" s="338">
        <v>191</v>
      </c>
      <c r="B205" s="606" t="s">
        <v>4412</v>
      </c>
      <c r="C205" s="264" t="s">
        <v>4413</v>
      </c>
      <c r="D205" s="599" t="s">
        <v>2474</v>
      </c>
      <c r="E205" s="593" t="s">
        <v>4305</v>
      </c>
      <c r="F205" s="602"/>
      <c r="G205" s="605"/>
      <c r="H205" s="70"/>
    </row>
    <row r="206" spans="1:8" ht="15.75" x14ac:dyDescent="0.25">
      <c r="A206" s="338">
        <v>192</v>
      </c>
      <c r="B206" s="607"/>
      <c r="C206" s="264" t="s">
        <v>4414</v>
      </c>
      <c r="D206" s="599" t="s">
        <v>2474</v>
      </c>
      <c r="E206" s="593" t="s">
        <v>4305</v>
      </c>
      <c r="F206" s="602"/>
      <c r="G206" s="605"/>
      <c r="H206" s="70"/>
    </row>
    <row r="207" spans="1:8" ht="15.75" x14ac:dyDescent="0.25">
      <c r="A207" s="338">
        <v>193</v>
      </c>
      <c r="B207" s="608"/>
      <c r="C207" s="264" t="s">
        <v>4415</v>
      </c>
      <c r="D207" s="599" t="s">
        <v>2474</v>
      </c>
      <c r="E207" s="593" t="s">
        <v>4305</v>
      </c>
      <c r="F207" s="602"/>
      <c r="G207" s="605"/>
      <c r="H207" s="70"/>
    </row>
    <row r="208" spans="1:8" ht="15.75" x14ac:dyDescent="0.25">
      <c r="A208" s="338">
        <v>194</v>
      </c>
      <c r="B208" s="606" t="s">
        <v>4416</v>
      </c>
      <c r="C208" s="264" t="s">
        <v>4417</v>
      </c>
      <c r="D208" s="599" t="s">
        <v>2474</v>
      </c>
      <c r="E208" s="593" t="s">
        <v>4305</v>
      </c>
      <c r="F208" s="602"/>
      <c r="G208" s="605"/>
      <c r="H208" s="70"/>
    </row>
    <row r="209" spans="1:8" ht="15.75" x14ac:dyDescent="0.25">
      <c r="A209" s="338">
        <v>195</v>
      </c>
      <c r="B209" s="608"/>
      <c r="C209" s="264" t="s">
        <v>4418</v>
      </c>
      <c r="D209" s="599" t="s">
        <v>2474</v>
      </c>
      <c r="E209" s="593" t="s">
        <v>4305</v>
      </c>
      <c r="F209" s="602"/>
      <c r="G209" s="605"/>
      <c r="H209" s="70"/>
    </row>
    <row r="210" spans="1:8" ht="15.75" x14ac:dyDescent="0.25">
      <c r="A210" s="338">
        <v>196</v>
      </c>
      <c r="B210" s="594" t="s">
        <v>4419</v>
      </c>
      <c r="C210" s="264" t="s">
        <v>4420</v>
      </c>
      <c r="D210" s="599" t="s">
        <v>2474</v>
      </c>
      <c r="E210" s="593" t="s">
        <v>4305</v>
      </c>
      <c r="F210" s="602"/>
      <c r="G210" s="605"/>
      <c r="H210" s="70"/>
    </row>
    <row r="211" spans="1:8" ht="15.75" x14ac:dyDescent="0.25">
      <c r="A211" s="338">
        <v>197</v>
      </c>
      <c r="B211" s="594" t="s">
        <v>4421</v>
      </c>
      <c r="C211" s="264" t="s">
        <v>4422</v>
      </c>
      <c r="D211" s="599" t="s">
        <v>2474</v>
      </c>
      <c r="E211" s="593" t="s">
        <v>4305</v>
      </c>
      <c r="F211" s="602"/>
      <c r="G211" s="605"/>
      <c r="H211" s="70"/>
    </row>
    <row r="212" spans="1:8" ht="15.75" x14ac:dyDescent="0.25">
      <c r="A212" s="338">
        <v>198</v>
      </c>
      <c r="B212" s="606" t="s">
        <v>4423</v>
      </c>
      <c r="C212" s="264" t="s">
        <v>2111</v>
      </c>
      <c r="D212" s="599" t="s">
        <v>2474</v>
      </c>
      <c r="E212" s="593" t="s">
        <v>4424</v>
      </c>
      <c r="F212" s="602"/>
      <c r="G212" s="605"/>
      <c r="H212" s="70"/>
    </row>
    <row r="213" spans="1:8" ht="15.75" x14ac:dyDescent="0.25">
      <c r="A213" s="338">
        <v>199</v>
      </c>
      <c r="B213" s="607"/>
      <c r="C213" s="264" t="s">
        <v>2123</v>
      </c>
      <c r="D213" s="599" t="s">
        <v>2474</v>
      </c>
      <c r="E213" s="593" t="s">
        <v>4424</v>
      </c>
      <c r="F213" s="602"/>
      <c r="G213" s="605"/>
      <c r="H213" s="70"/>
    </row>
    <row r="214" spans="1:8" ht="15.75" x14ac:dyDescent="0.25">
      <c r="A214" s="338">
        <v>200</v>
      </c>
      <c r="B214" s="608"/>
      <c r="C214" s="264" t="s">
        <v>2124</v>
      </c>
      <c r="D214" s="599" t="s">
        <v>2474</v>
      </c>
      <c r="E214" s="593" t="s">
        <v>4424</v>
      </c>
      <c r="F214" s="602"/>
      <c r="G214" s="605"/>
      <c r="H214" s="70"/>
    </row>
    <row r="215" spans="1:8" ht="15.75" x14ac:dyDescent="0.25">
      <c r="A215" s="338">
        <v>201</v>
      </c>
      <c r="B215" s="606" t="s">
        <v>4425</v>
      </c>
      <c r="C215" s="264" t="s">
        <v>4426</v>
      </c>
      <c r="D215" s="599" t="s">
        <v>2474</v>
      </c>
      <c r="E215" s="593" t="s">
        <v>4305</v>
      </c>
      <c r="F215" s="602"/>
      <c r="G215" s="605"/>
      <c r="H215" s="70"/>
    </row>
    <row r="216" spans="1:8" ht="15.75" x14ac:dyDescent="0.25">
      <c r="A216" s="338">
        <v>202</v>
      </c>
      <c r="B216" s="607"/>
      <c r="C216" s="264" t="s">
        <v>4427</v>
      </c>
      <c r="D216" s="599" t="s">
        <v>2474</v>
      </c>
      <c r="E216" s="593" t="s">
        <v>4305</v>
      </c>
      <c r="F216" s="602"/>
      <c r="G216" s="605"/>
      <c r="H216" s="70"/>
    </row>
    <row r="217" spans="1:8" ht="15.75" x14ac:dyDescent="0.25">
      <c r="A217" s="338">
        <v>203</v>
      </c>
      <c r="B217" s="608"/>
      <c r="C217" s="264" t="s">
        <v>4428</v>
      </c>
      <c r="D217" s="599" t="s">
        <v>2474</v>
      </c>
      <c r="E217" s="593" t="s">
        <v>4305</v>
      </c>
      <c r="F217" s="602"/>
      <c r="G217" s="605"/>
      <c r="H217" s="70"/>
    </row>
    <row r="218" spans="1:8" ht="15.75" x14ac:dyDescent="0.25">
      <c r="A218" s="338">
        <v>204</v>
      </c>
      <c r="B218" s="606" t="s">
        <v>4429</v>
      </c>
      <c r="C218" s="264" t="s">
        <v>4430</v>
      </c>
      <c r="D218" s="599" t="s">
        <v>2474</v>
      </c>
      <c r="E218" s="593" t="s">
        <v>4305</v>
      </c>
      <c r="F218" s="602"/>
      <c r="G218" s="605"/>
      <c r="H218" s="70"/>
    </row>
    <row r="219" spans="1:8" ht="15.75" x14ac:dyDescent="0.25">
      <c r="A219" s="338">
        <v>205</v>
      </c>
      <c r="B219" s="608"/>
      <c r="C219" s="264" t="s">
        <v>4431</v>
      </c>
      <c r="D219" s="599" t="s">
        <v>2474</v>
      </c>
      <c r="E219" s="593" t="s">
        <v>4305</v>
      </c>
      <c r="F219" s="602"/>
      <c r="G219" s="605"/>
      <c r="H219" s="70"/>
    </row>
    <row r="220" spans="1:8" ht="45" customHeight="1" x14ac:dyDescent="0.25">
      <c r="A220" s="338">
        <v>206</v>
      </c>
      <c r="B220" s="609" t="s">
        <v>4432</v>
      </c>
      <c r="C220" s="597" t="s">
        <v>4433</v>
      </c>
      <c r="D220" s="598" t="s">
        <v>4434</v>
      </c>
      <c r="E220" s="596" t="s">
        <v>4318</v>
      </c>
      <c r="F220" s="603" t="s">
        <v>4435</v>
      </c>
      <c r="G220" s="605"/>
      <c r="H220" s="70"/>
    </row>
    <row r="221" spans="1:8" ht="46.5" customHeight="1" x14ac:dyDescent="0.25">
      <c r="A221" s="338">
        <v>207</v>
      </c>
      <c r="B221" s="610"/>
      <c r="C221" s="597" t="s">
        <v>4436</v>
      </c>
      <c r="D221" s="598" t="s">
        <v>4434</v>
      </c>
      <c r="E221" s="596" t="s">
        <v>4318</v>
      </c>
      <c r="F221" s="603" t="s">
        <v>4435</v>
      </c>
      <c r="G221" s="605"/>
      <c r="H221" s="70"/>
    </row>
    <row r="222" spans="1:8" ht="42" customHeight="1" x14ac:dyDescent="0.25">
      <c r="A222" s="338">
        <v>208</v>
      </c>
      <c r="B222" s="610"/>
      <c r="C222" s="597" t="s">
        <v>4437</v>
      </c>
      <c r="D222" s="598" t="s">
        <v>4434</v>
      </c>
      <c r="E222" s="596" t="s">
        <v>4318</v>
      </c>
      <c r="F222" s="603" t="s">
        <v>4435</v>
      </c>
      <c r="G222" s="605"/>
      <c r="H222" s="70"/>
    </row>
    <row r="223" spans="1:8" ht="45.75" customHeight="1" x14ac:dyDescent="0.25">
      <c r="A223" s="338">
        <v>209</v>
      </c>
      <c r="B223" s="610"/>
      <c r="C223" s="597" t="s">
        <v>4438</v>
      </c>
      <c r="D223" s="598" t="s">
        <v>4434</v>
      </c>
      <c r="E223" s="596" t="s">
        <v>4318</v>
      </c>
      <c r="F223" s="603" t="s">
        <v>4435</v>
      </c>
      <c r="G223" s="605"/>
      <c r="H223" s="70"/>
    </row>
    <row r="224" spans="1:8" ht="42" customHeight="1" x14ac:dyDescent="0.25">
      <c r="A224" s="338">
        <v>210</v>
      </c>
      <c r="B224" s="610"/>
      <c r="C224" s="597" t="s">
        <v>4439</v>
      </c>
      <c r="D224" s="598" t="s">
        <v>4434</v>
      </c>
      <c r="E224" s="596" t="s">
        <v>4318</v>
      </c>
      <c r="F224" s="603" t="s">
        <v>4435</v>
      </c>
      <c r="G224" s="605"/>
      <c r="H224" s="70"/>
    </row>
    <row r="225" spans="1:8" ht="46.5" customHeight="1" x14ac:dyDescent="0.25">
      <c r="A225" s="338">
        <v>211</v>
      </c>
      <c r="B225" s="610"/>
      <c r="C225" s="597" t="s">
        <v>4440</v>
      </c>
      <c r="D225" s="598" t="s">
        <v>4434</v>
      </c>
      <c r="E225" s="596" t="s">
        <v>4318</v>
      </c>
      <c r="F225" s="603" t="s">
        <v>4435</v>
      </c>
      <c r="G225" s="605"/>
      <c r="H225" s="70"/>
    </row>
    <row r="226" spans="1:8" ht="46.5" customHeight="1" x14ac:dyDescent="0.25">
      <c r="A226" s="338">
        <v>212</v>
      </c>
      <c r="B226" s="610"/>
      <c r="C226" s="597" t="s">
        <v>4441</v>
      </c>
      <c r="D226" s="598" t="s">
        <v>4434</v>
      </c>
      <c r="E226" s="596" t="s">
        <v>4318</v>
      </c>
      <c r="F226" s="603" t="s">
        <v>4435</v>
      </c>
      <c r="G226" s="605"/>
      <c r="H226" s="70"/>
    </row>
    <row r="227" spans="1:8" ht="43.5" customHeight="1" x14ac:dyDescent="0.25">
      <c r="A227" s="338">
        <v>213</v>
      </c>
      <c r="B227" s="610"/>
      <c r="C227" s="597" t="s">
        <v>4442</v>
      </c>
      <c r="D227" s="598" t="s">
        <v>4434</v>
      </c>
      <c r="E227" s="596" t="s">
        <v>4318</v>
      </c>
      <c r="F227" s="603" t="s">
        <v>4435</v>
      </c>
      <c r="G227" s="605"/>
      <c r="H227" s="70"/>
    </row>
    <row r="228" spans="1:8" ht="47.25" customHeight="1" x14ac:dyDescent="0.25">
      <c r="A228" s="338">
        <v>214</v>
      </c>
      <c r="B228" s="610"/>
      <c r="C228" s="597" t="s">
        <v>4443</v>
      </c>
      <c r="D228" s="598" t="s">
        <v>4434</v>
      </c>
      <c r="E228" s="596" t="s">
        <v>4318</v>
      </c>
      <c r="F228" s="603" t="s">
        <v>4435</v>
      </c>
      <c r="G228" s="605"/>
      <c r="H228" s="70"/>
    </row>
    <row r="229" spans="1:8" ht="53.25" customHeight="1" x14ac:dyDescent="0.25">
      <c r="A229" s="338">
        <v>215</v>
      </c>
      <c r="B229" s="610"/>
      <c r="C229" s="597" t="s">
        <v>4444</v>
      </c>
      <c r="D229" s="598" t="s">
        <v>4434</v>
      </c>
      <c r="E229" s="596" t="s">
        <v>4318</v>
      </c>
      <c r="F229" s="603" t="s">
        <v>4435</v>
      </c>
      <c r="G229" s="605"/>
      <c r="H229" s="70"/>
    </row>
    <row r="230" spans="1:8" ht="48.75" customHeight="1" x14ac:dyDescent="0.25">
      <c r="A230" s="338">
        <v>216</v>
      </c>
      <c r="B230" s="610"/>
      <c r="C230" s="597" t="s">
        <v>4445</v>
      </c>
      <c r="D230" s="598" t="s">
        <v>4434</v>
      </c>
      <c r="E230" s="596" t="s">
        <v>4318</v>
      </c>
      <c r="F230" s="603" t="s">
        <v>4435</v>
      </c>
      <c r="G230" s="605"/>
      <c r="H230" s="70"/>
    </row>
    <row r="231" spans="1:8" ht="52.5" customHeight="1" x14ac:dyDescent="0.25">
      <c r="A231" s="338">
        <v>217</v>
      </c>
      <c r="B231" s="610"/>
      <c r="C231" s="597" t="s">
        <v>4446</v>
      </c>
      <c r="D231" s="598" t="s">
        <v>4434</v>
      </c>
      <c r="E231" s="596" t="s">
        <v>4318</v>
      </c>
      <c r="F231" s="603" t="s">
        <v>4435</v>
      </c>
      <c r="G231" s="605"/>
      <c r="H231" s="70"/>
    </row>
    <row r="232" spans="1:8" ht="47.25" customHeight="1" x14ac:dyDescent="0.25">
      <c r="A232" s="338">
        <v>218</v>
      </c>
      <c r="B232" s="610"/>
      <c r="C232" s="597" t="s">
        <v>4447</v>
      </c>
      <c r="D232" s="598" t="s">
        <v>4434</v>
      </c>
      <c r="E232" s="596" t="s">
        <v>4318</v>
      </c>
      <c r="F232" s="603" t="s">
        <v>4435</v>
      </c>
      <c r="G232" s="605"/>
      <c r="H232" s="70"/>
    </row>
    <row r="233" spans="1:8" ht="41.25" customHeight="1" x14ac:dyDescent="0.25">
      <c r="A233" s="338">
        <v>219</v>
      </c>
      <c r="B233" s="610"/>
      <c r="C233" s="597" t="s">
        <v>4448</v>
      </c>
      <c r="D233" s="598" t="s">
        <v>4434</v>
      </c>
      <c r="E233" s="596" t="s">
        <v>4318</v>
      </c>
      <c r="F233" s="603" t="s">
        <v>4435</v>
      </c>
      <c r="G233" s="605"/>
      <c r="H233" s="70"/>
    </row>
    <row r="234" spans="1:8" ht="38.25" customHeight="1" x14ac:dyDescent="0.25">
      <c r="A234" s="338">
        <v>220</v>
      </c>
      <c r="B234" s="610"/>
      <c r="C234" s="597" t="s">
        <v>4449</v>
      </c>
      <c r="D234" s="598" t="s">
        <v>4434</v>
      </c>
      <c r="E234" s="596" t="s">
        <v>4318</v>
      </c>
      <c r="F234" s="603" t="s">
        <v>4435</v>
      </c>
      <c r="G234" s="605"/>
      <c r="H234" s="70"/>
    </row>
    <row r="235" spans="1:8" ht="51" customHeight="1" x14ac:dyDescent="0.25">
      <c r="A235" s="338">
        <v>221</v>
      </c>
      <c r="B235" s="610"/>
      <c r="C235" s="597" t="s">
        <v>4450</v>
      </c>
      <c r="D235" s="598" t="s">
        <v>4434</v>
      </c>
      <c r="E235" s="596" t="s">
        <v>4318</v>
      </c>
      <c r="F235" s="603" t="s">
        <v>4435</v>
      </c>
      <c r="G235" s="605"/>
      <c r="H235" s="70"/>
    </row>
    <row r="236" spans="1:8" ht="39" customHeight="1" x14ac:dyDescent="0.25">
      <c r="A236" s="338">
        <v>222</v>
      </c>
      <c r="B236" s="610"/>
      <c r="C236" s="597" t="s">
        <v>4441</v>
      </c>
      <c r="D236" s="598" t="s">
        <v>4434</v>
      </c>
      <c r="E236" s="596" t="s">
        <v>4318</v>
      </c>
      <c r="F236" s="603" t="s">
        <v>4435</v>
      </c>
      <c r="G236" s="605"/>
      <c r="H236" s="70"/>
    </row>
    <row r="237" spans="1:8" ht="41.25" customHeight="1" x14ac:dyDescent="0.25">
      <c r="A237" s="338">
        <v>223</v>
      </c>
      <c r="B237" s="610"/>
      <c r="C237" s="597" t="s">
        <v>4433</v>
      </c>
      <c r="D237" s="598" t="s">
        <v>4434</v>
      </c>
      <c r="E237" s="596" t="s">
        <v>4318</v>
      </c>
      <c r="F237" s="603" t="s">
        <v>4435</v>
      </c>
      <c r="G237" s="605"/>
      <c r="H237" s="70"/>
    </row>
    <row r="238" spans="1:8" ht="52.5" customHeight="1" x14ac:dyDescent="0.25">
      <c r="A238" s="338">
        <v>224</v>
      </c>
      <c r="B238" s="611"/>
      <c r="C238" s="597" t="s">
        <v>4436</v>
      </c>
      <c r="D238" s="598" t="s">
        <v>4434</v>
      </c>
      <c r="E238" s="596" t="s">
        <v>4318</v>
      </c>
      <c r="F238" s="603" t="s">
        <v>4435</v>
      </c>
      <c r="G238" s="605"/>
      <c r="H238" s="70"/>
    </row>
    <row r="239" spans="1:8" ht="15.75" x14ac:dyDescent="0.25">
      <c r="A239" s="338">
        <v>225</v>
      </c>
      <c r="B239" s="606" t="s">
        <v>4451</v>
      </c>
      <c r="C239" s="264" t="s">
        <v>4452</v>
      </c>
      <c r="D239" s="598" t="s">
        <v>4434</v>
      </c>
      <c r="E239" s="596" t="s">
        <v>4305</v>
      </c>
      <c r="F239" s="602"/>
      <c r="G239" s="605"/>
      <c r="H239" s="70"/>
    </row>
    <row r="240" spans="1:8" ht="15.75" x14ac:dyDescent="0.25">
      <c r="A240" s="338">
        <v>226</v>
      </c>
      <c r="B240" s="608"/>
      <c r="C240" s="264" t="s">
        <v>4453</v>
      </c>
      <c r="D240" s="598" t="s">
        <v>4434</v>
      </c>
      <c r="E240" s="596" t="s">
        <v>4305</v>
      </c>
      <c r="F240" s="602"/>
      <c r="G240" s="605"/>
      <c r="H240" s="70"/>
    </row>
    <row r="241" spans="1:8" ht="31.5" x14ac:dyDescent="0.25">
      <c r="A241" s="338">
        <v>227</v>
      </c>
      <c r="B241" s="594" t="s">
        <v>4454</v>
      </c>
      <c r="C241" s="597" t="s">
        <v>4455</v>
      </c>
      <c r="D241" s="598" t="s">
        <v>4434</v>
      </c>
      <c r="E241" s="596" t="s">
        <v>4456</v>
      </c>
      <c r="F241" s="602"/>
      <c r="G241" s="605"/>
      <c r="H241" s="70"/>
    </row>
    <row r="242" spans="1:8" ht="15.75" x14ac:dyDescent="0.25">
      <c r="A242" s="338">
        <v>228</v>
      </c>
      <c r="B242" s="606" t="s">
        <v>4457</v>
      </c>
      <c r="C242" s="264" t="s">
        <v>2125</v>
      </c>
      <c r="D242" s="598" t="s">
        <v>4434</v>
      </c>
      <c r="E242" s="596" t="s">
        <v>4458</v>
      </c>
      <c r="F242" s="602"/>
      <c r="G242" s="605"/>
      <c r="H242" s="70"/>
    </row>
    <row r="243" spans="1:8" ht="15.75" x14ac:dyDescent="0.25">
      <c r="A243" s="338">
        <v>229</v>
      </c>
      <c r="B243" s="607"/>
      <c r="C243" s="264" t="s">
        <v>2126</v>
      </c>
      <c r="D243" s="598" t="s">
        <v>4434</v>
      </c>
      <c r="E243" s="596" t="s">
        <v>4458</v>
      </c>
      <c r="F243" s="602"/>
      <c r="G243" s="605"/>
      <c r="H243" s="70"/>
    </row>
    <row r="244" spans="1:8" ht="15.75" x14ac:dyDescent="0.25">
      <c r="A244" s="338">
        <v>230</v>
      </c>
      <c r="B244" s="608"/>
      <c r="C244" s="264" t="s">
        <v>2127</v>
      </c>
      <c r="D244" s="598" t="s">
        <v>4434</v>
      </c>
      <c r="E244" s="596" t="s">
        <v>4458</v>
      </c>
      <c r="F244" s="602"/>
      <c r="G244" s="605"/>
      <c r="H244" s="70"/>
    </row>
    <row r="245" spans="1:8" ht="15.75" x14ac:dyDescent="0.25">
      <c r="A245" s="338">
        <v>231</v>
      </c>
      <c r="B245" s="606" t="s">
        <v>4459</v>
      </c>
      <c r="C245" s="264" t="s">
        <v>2128</v>
      </c>
      <c r="D245" s="598" t="s">
        <v>4434</v>
      </c>
      <c r="E245" s="596" t="s">
        <v>4302</v>
      </c>
      <c r="F245" s="602"/>
      <c r="G245" s="605"/>
      <c r="H245" s="70"/>
    </row>
    <row r="246" spans="1:8" ht="15.75" x14ac:dyDescent="0.25">
      <c r="A246" s="338">
        <v>232</v>
      </c>
      <c r="B246" s="607"/>
      <c r="C246" s="264" t="s">
        <v>2129</v>
      </c>
      <c r="D246" s="598" t="s">
        <v>4434</v>
      </c>
      <c r="E246" s="596" t="s">
        <v>4302</v>
      </c>
      <c r="F246" s="602"/>
      <c r="G246" s="605"/>
      <c r="H246" s="70"/>
    </row>
    <row r="247" spans="1:8" ht="15.75" x14ac:dyDescent="0.25">
      <c r="A247" s="338">
        <v>233</v>
      </c>
      <c r="B247" s="608"/>
      <c r="C247" s="264" t="s">
        <v>2130</v>
      </c>
      <c r="D247" s="598" t="s">
        <v>4434</v>
      </c>
      <c r="E247" s="596" t="s">
        <v>4302</v>
      </c>
      <c r="F247" s="602"/>
      <c r="G247" s="605"/>
      <c r="H247" s="70"/>
    </row>
    <row r="248" spans="1:8" ht="15.75" x14ac:dyDescent="0.25">
      <c r="A248" s="338">
        <v>234</v>
      </c>
      <c r="B248" s="606" t="s">
        <v>4460</v>
      </c>
      <c r="C248" s="264" t="s">
        <v>4461</v>
      </c>
      <c r="D248" s="598" t="s">
        <v>4434</v>
      </c>
      <c r="E248" s="596" t="s">
        <v>4305</v>
      </c>
      <c r="F248" s="602"/>
      <c r="G248" s="605"/>
      <c r="H248" s="70"/>
    </row>
    <row r="249" spans="1:8" ht="15.75" x14ac:dyDescent="0.25">
      <c r="A249" s="338">
        <v>235</v>
      </c>
      <c r="B249" s="607"/>
      <c r="C249" s="264" t="s">
        <v>4462</v>
      </c>
      <c r="D249" s="598" t="s">
        <v>4434</v>
      </c>
      <c r="E249" s="596" t="s">
        <v>4305</v>
      </c>
      <c r="F249" s="602"/>
      <c r="G249" s="605"/>
      <c r="H249" s="70"/>
    </row>
    <row r="250" spans="1:8" ht="15.75" x14ac:dyDescent="0.25">
      <c r="A250" s="338">
        <v>236</v>
      </c>
      <c r="B250" s="607"/>
      <c r="C250" s="264" t="s">
        <v>4463</v>
      </c>
      <c r="D250" s="598" t="s">
        <v>4434</v>
      </c>
      <c r="E250" s="596" t="s">
        <v>4305</v>
      </c>
      <c r="F250" s="602"/>
      <c r="G250" s="605"/>
      <c r="H250" s="70"/>
    </row>
    <row r="251" spans="1:8" ht="15.75" x14ac:dyDescent="0.25">
      <c r="A251" s="338">
        <v>237</v>
      </c>
      <c r="B251" s="608"/>
      <c r="C251" s="264" t="s">
        <v>4464</v>
      </c>
      <c r="D251" s="598" t="s">
        <v>4434</v>
      </c>
      <c r="E251" s="596" t="s">
        <v>4305</v>
      </c>
      <c r="F251" s="602"/>
      <c r="G251" s="605"/>
      <c r="H251" s="70"/>
    </row>
    <row r="252" spans="1:8" ht="15.75" x14ac:dyDescent="0.25">
      <c r="A252" s="338">
        <v>238</v>
      </c>
      <c r="B252" s="606" t="s">
        <v>4465</v>
      </c>
      <c r="C252" s="264" t="s">
        <v>4466</v>
      </c>
      <c r="D252" s="598" t="s">
        <v>4434</v>
      </c>
      <c r="E252" s="596" t="s">
        <v>4305</v>
      </c>
      <c r="F252" s="602"/>
      <c r="G252" s="605"/>
      <c r="H252" s="70"/>
    </row>
    <row r="253" spans="1:8" ht="15.75" x14ac:dyDescent="0.25">
      <c r="A253" s="338">
        <v>239</v>
      </c>
      <c r="B253" s="608"/>
      <c r="C253" s="264" t="s">
        <v>4467</v>
      </c>
      <c r="D253" s="598" t="s">
        <v>4434</v>
      </c>
      <c r="E253" s="596" t="s">
        <v>4305</v>
      </c>
      <c r="F253" s="602"/>
      <c r="G253" s="605"/>
      <c r="H253" s="70"/>
    </row>
    <row r="254" spans="1:8" ht="15.75" x14ac:dyDescent="0.25">
      <c r="A254" s="338">
        <v>240</v>
      </c>
      <c r="B254" s="594" t="s">
        <v>4468</v>
      </c>
      <c r="C254" s="264" t="s">
        <v>4469</v>
      </c>
      <c r="D254" s="598" t="s">
        <v>4434</v>
      </c>
      <c r="E254" s="596" t="s">
        <v>4305</v>
      </c>
      <c r="F254" s="602"/>
      <c r="G254" s="605"/>
      <c r="H254" s="70"/>
    </row>
    <row r="255" spans="1:8" ht="15.75" x14ac:dyDescent="0.25">
      <c r="A255" s="338">
        <v>241</v>
      </c>
      <c r="B255" s="606" t="s">
        <v>4470</v>
      </c>
      <c r="C255" s="264" t="s">
        <v>4471</v>
      </c>
      <c r="D255" s="598" t="s">
        <v>4434</v>
      </c>
      <c r="E255" s="596" t="s">
        <v>4302</v>
      </c>
      <c r="F255" s="602"/>
      <c r="G255" s="605"/>
      <c r="H255" s="70"/>
    </row>
    <row r="256" spans="1:8" ht="15.75" x14ac:dyDescent="0.25">
      <c r="A256" s="338">
        <v>242</v>
      </c>
      <c r="B256" s="608"/>
      <c r="C256" s="264" t="s">
        <v>2121</v>
      </c>
      <c r="D256" s="598" t="s">
        <v>4434</v>
      </c>
      <c r="E256" s="596" t="s">
        <v>4302</v>
      </c>
      <c r="F256" s="602"/>
      <c r="G256" s="605"/>
      <c r="H256" s="70"/>
    </row>
    <row r="257" spans="1:8" ht="15.75" x14ac:dyDescent="0.25">
      <c r="A257" s="338">
        <v>243</v>
      </c>
      <c r="B257" s="606" t="s">
        <v>4472</v>
      </c>
      <c r="C257" s="264" t="s">
        <v>4473</v>
      </c>
      <c r="D257" s="598" t="s">
        <v>4434</v>
      </c>
      <c r="E257" s="596" t="s">
        <v>4305</v>
      </c>
      <c r="F257" s="602"/>
      <c r="G257" s="605"/>
      <c r="H257" s="70"/>
    </row>
    <row r="258" spans="1:8" ht="15.75" x14ac:dyDescent="0.25">
      <c r="A258" s="338">
        <v>244</v>
      </c>
      <c r="B258" s="607"/>
      <c r="C258" s="264" t="s">
        <v>4474</v>
      </c>
      <c r="D258" s="598" t="s">
        <v>4434</v>
      </c>
      <c r="E258" s="596" t="s">
        <v>4305</v>
      </c>
      <c r="F258" s="602"/>
      <c r="G258" s="605"/>
      <c r="H258" s="70"/>
    </row>
    <row r="259" spans="1:8" ht="31.5" x14ac:dyDescent="0.25">
      <c r="A259" s="338">
        <v>245</v>
      </c>
      <c r="B259" s="608"/>
      <c r="C259" s="597" t="s">
        <v>4475</v>
      </c>
      <c r="D259" s="598" t="s">
        <v>4434</v>
      </c>
      <c r="E259" s="596" t="s">
        <v>4456</v>
      </c>
      <c r="F259" s="602"/>
      <c r="G259" s="605"/>
      <c r="H259" s="70"/>
    </row>
    <row r="260" spans="1:8" ht="65.25" customHeight="1" x14ac:dyDescent="0.25">
      <c r="A260" s="338">
        <v>246</v>
      </c>
      <c r="B260" s="609" t="s">
        <v>4476</v>
      </c>
      <c r="C260" s="597" t="s">
        <v>4477</v>
      </c>
      <c r="D260" s="598" t="s">
        <v>4434</v>
      </c>
      <c r="E260" s="596" t="s">
        <v>4318</v>
      </c>
      <c r="F260" s="603" t="s">
        <v>4478</v>
      </c>
      <c r="G260" s="605"/>
      <c r="H260" s="70"/>
    </row>
    <row r="261" spans="1:8" ht="75.75" customHeight="1" x14ac:dyDescent="0.25">
      <c r="A261" s="338">
        <v>247</v>
      </c>
      <c r="B261" s="610"/>
      <c r="C261" s="597" t="s">
        <v>4479</v>
      </c>
      <c r="D261" s="598" t="s">
        <v>4434</v>
      </c>
      <c r="E261" s="596" t="s">
        <v>4318</v>
      </c>
      <c r="F261" s="603" t="s">
        <v>4478</v>
      </c>
      <c r="G261" s="605"/>
      <c r="H261" s="70"/>
    </row>
    <row r="262" spans="1:8" ht="62.25" customHeight="1" x14ac:dyDescent="0.25">
      <c r="A262" s="338">
        <v>248</v>
      </c>
      <c r="B262" s="610"/>
      <c r="C262" s="597" t="s">
        <v>4480</v>
      </c>
      <c r="D262" s="598" t="s">
        <v>4434</v>
      </c>
      <c r="E262" s="596" t="s">
        <v>4318</v>
      </c>
      <c r="F262" s="603" t="s">
        <v>4478</v>
      </c>
      <c r="G262" s="605"/>
      <c r="H262" s="70"/>
    </row>
    <row r="263" spans="1:8" ht="76.5" customHeight="1" x14ac:dyDescent="0.25">
      <c r="A263" s="338">
        <v>249</v>
      </c>
      <c r="B263" s="610"/>
      <c r="C263" s="597" t="s">
        <v>4481</v>
      </c>
      <c r="D263" s="598" t="s">
        <v>4434</v>
      </c>
      <c r="E263" s="596" t="s">
        <v>4318</v>
      </c>
      <c r="F263" s="603" t="s">
        <v>4478</v>
      </c>
      <c r="G263" s="605"/>
      <c r="H263" s="70"/>
    </row>
    <row r="264" spans="1:8" ht="64.5" customHeight="1" x14ac:dyDescent="0.25">
      <c r="A264" s="338">
        <v>250</v>
      </c>
      <c r="B264" s="610"/>
      <c r="C264" s="597" t="s">
        <v>4482</v>
      </c>
      <c r="D264" s="598" t="s">
        <v>4434</v>
      </c>
      <c r="E264" s="596" t="s">
        <v>4318</v>
      </c>
      <c r="F264" s="603" t="s">
        <v>4478</v>
      </c>
      <c r="G264" s="605"/>
      <c r="H264" s="70"/>
    </row>
    <row r="265" spans="1:8" ht="61.5" customHeight="1" x14ac:dyDescent="0.25">
      <c r="A265" s="338">
        <v>251</v>
      </c>
      <c r="B265" s="610"/>
      <c r="C265" s="597" t="s">
        <v>4483</v>
      </c>
      <c r="D265" s="598" t="s">
        <v>4434</v>
      </c>
      <c r="E265" s="596" t="s">
        <v>4318</v>
      </c>
      <c r="F265" s="603" t="s">
        <v>4478</v>
      </c>
      <c r="G265" s="605"/>
      <c r="H265" s="70"/>
    </row>
    <row r="266" spans="1:8" ht="71.25" customHeight="1" x14ac:dyDescent="0.25">
      <c r="A266" s="338">
        <v>252</v>
      </c>
      <c r="B266" s="610"/>
      <c r="C266" s="597" t="s">
        <v>4484</v>
      </c>
      <c r="D266" s="598" t="s">
        <v>4434</v>
      </c>
      <c r="E266" s="596" t="s">
        <v>4318</v>
      </c>
      <c r="F266" s="603" t="s">
        <v>4478</v>
      </c>
      <c r="G266" s="605"/>
      <c r="H266" s="70"/>
    </row>
    <row r="267" spans="1:8" ht="72" customHeight="1" x14ac:dyDescent="0.25">
      <c r="A267" s="338">
        <v>253</v>
      </c>
      <c r="B267" s="610"/>
      <c r="C267" s="597" t="s">
        <v>4485</v>
      </c>
      <c r="D267" s="598" t="s">
        <v>4434</v>
      </c>
      <c r="E267" s="596" t="s">
        <v>4318</v>
      </c>
      <c r="F267" s="603" t="s">
        <v>4478</v>
      </c>
      <c r="G267" s="605"/>
      <c r="H267" s="70"/>
    </row>
    <row r="268" spans="1:8" ht="62.25" customHeight="1" x14ac:dyDescent="0.25">
      <c r="A268" s="338">
        <v>254</v>
      </c>
      <c r="B268" s="610"/>
      <c r="C268" s="597" t="s">
        <v>4486</v>
      </c>
      <c r="D268" s="598" t="s">
        <v>4434</v>
      </c>
      <c r="E268" s="596" t="s">
        <v>4318</v>
      </c>
      <c r="F268" s="603" t="s">
        <v>4478</v>
      </c>
      <c r="G268" s="605"/>
      <c r="H268" s="70"/>
    </row>
    <row r="269" spans="1:8" ht="70.5" customHeight="1" x14ac:dyDescent="0.25">
      <c r="A269" s="338">
        <v>255</v>
      </c>
      <c r="B269" s="611"/>
      <c r="C269" s="597" t="s">
        <v>4487</v>
      </c>
      <c r="D269" s="598" t="s">
        <v>4434</v>
      </c>
      <c r="E269" s="596" t="s">
        <v>4318</v>
      </c>
      <c r="F269" s="603" t="s">
        <v>4478</v>
      </c>
      <c r="G269" s="605"/>
      <c r="H269" s="70"/>
    </row>
    <row r="270" spans="1:8" ht="31.5" x14ac:dyDescent="0.25">
      <c r="A270" s="338">
        <v>256</v>
      </c>
      <c r="B270" s="600" t="s">
        <v>4488</v>
      </c>
      <c r="C270" s="595" t="s">
        <v>4489</v>
      </c>
      <c r="D270" s="264" t="s">
        <v>52</v>
      </c>
      <c r="E270" s="264" t="s">
        <v>4424</v>
      </c>
      <c r="F270" s="601"/>
      <c r="G270" s="605"/>
      <c r="H270" s="70"/>
    </row>
    <row r="271" spans="1:8" ht="31.5" x14ac:dyDescent="0.25">
      <c r="A271" s="338">
        <v>257</v>
      </c>
      <c r="B271" s="600" t="s">
        <v>4490</v>
      </c>
      <c r="C271" s="595" t="s">
        <v>4491</v>
      </c>
      <c r="D271" s="264" t="s">
        <v>52</v>
      </c>
      <c r="E271" s="264" t="s">
        <v>4302</v>
      </c>
      <c r="F271" s="601"/>
      <c r="G271" s="605"/>
      <c r="H271" s="70"/>
    </row>
    <row r="272" spans="1:8" x14ac:dyDescent="0.25">
      <c r="G272" s="357"/>
      <c r="H272" s="70"/>
    </row>
    <row r="273" spans="7:8" x14ac:dyDescent="0.25">
      <c r="G273" s="357"/>
      <c r="H273" s="70"/>
    </row>
    <row r="274" spans="7:8" x14ac:dyDescent="0.25">
      <c r="G274" s="357"/>
      <c r="H274" s="70"/>
    </row>
    <row r="275" spans="7:8" x14ac:dyDescent="0.25">
      <c r="G275" s="357"/>
      <c r="H275" s="70"/>
    </row>
  </sheetData>
  <mergeCells count="13">
    <mergeCell ref="C8:F8"/>
    <mergeCell ref="C10:F10"/>
    <mergeCell ref="C2:F2"/>
    <mergeCell ref="C3:F3"/>
    <mergeCell ref="C4:F4"/>
    <mergeCell ref="C5:F5"/>
    <mergeCell ref="C6:F6"/>
    <mergeCell ref="C7:F7"/>
    <mergeCell ref="A92:A93"/>
    <mergeCell ref="A94:A95"/>
    <mergeCell ref="A96:A97"/>
    <mergeCell ref="A36:A37"/>
    <mergeCell ref="A38:A39"/>
  </mergeCells>
  <pageMargins left="0.7" right="0.7" top="0.75" bottom="0.75" header="0.3" footer="0.3"/>
  <pageSetup paperSize="9" scale="76" orientation="portrait" r:id="rId1"/>
  <headerFooter>
    <oddHeader>&amp;CCod: TEL – 07.50 Ed. I, rev. 0</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
  <sheetViews>
    <sheetView workbookViewId="0">
      <selection activeCell="K10" sqref="K10"/>
    </sheetView>
  </sheetViews>
  <sheetFormatPr defaultRowHeight="15" x14ac:dyDescent="0.25"/>
  <cols>
    <col min="1" max="1" width="7.42578125" customWidth="1"/>
    <col min="2" max="2" width="33" customWidth="1"/>
    <col min="3" max="3" width="16.7109375" customWidth="1"/>
    <col min="4" max="4" width="11.7109375" customWidth="1"/>
    <col min="5" max="5" width="16.140625" customWidth="1"/>
    <col min="6" max="6" width="14" customWidth="1"/>
    <col min="7" max="7" width="16.140625" customWidth="1"/>
    <col min="8" max="8" width="22.28515625" customWidth="1"/>
    <col min="9" max="9" width="14.28515625" customWidth="1"/>
    <col min="10" max="10" width="17.5703125" customWidth="1"/>
    <col min="11" max="11" width="13.42578125" customWidth="1"/>
    <col min="13" max="14" width="10.140625" bestFit="1" customWidth="1"/>
    <col min="17" max="17" width="9.42578125" customWidth="1"/>
  </cols>
  <sheetData>
    <row r="1" spans="1:23" ht="15.75" thickBot="1" x14ac:dyDescent="0.3"/>
    <row r="2" spans="1:23" x14ac:dyDescent="0.25">
      <c r="B2" s="23" t="s">
        <v>794</v>
      </c>
      <c r="C2" s="626">
        <v>45636</v>
      </c>
      <c r="D2" s="627"/>
      <c r="E2" s="627"/>
      <c r="F2" s="628"/>
      <c r="G2" s="24"/>
      <c r="J2" s="95"/>
      <c r="K2" s="64"/>
      <c r="L2" s="95"/>
      <c r="M2" s="64"/>
    </row>
    <row r="3" spans="1:23" ht="23.25" customHeight="1" thickBot="1" x14ac:dyDescent="0.3">
      <c r="B3" s="25" t="s">
        <v>795</v>
      </c>
      <c r="C3" s="629" t="s">
        <v>796</v>
      </c>
      <c r="D3" s="629"/>
      <c r="E3" s="629"/>
      <c r="F3" s="630"/>
      <c r="G3" s="26"/>
      <c r="J3" s="95"/>
      <c r="K3" s="64"/>
      <c r="L3" s="95"/>
      <c r="M3" s="64"/>
    </row>
    <row r="4" spans="1:23" ht="15.75" x14ac:dyDescent="0.25">
      <c r="B4" s="27"/>
      <c r="C4" s="631" t="s">
        <v>797</v>
      </c>
      <c r="D4" s="631"/>
      <c r="E4" s="631"/>
      <c r="F4" s="632"/>
      <c r="G4" s="26"/>
      <c r="J4" s="95"/>
      <c r="K4" s="64"/>
      <c r="L4" s="95"/>
      <c r="M4" s="64"/>
    </row>
    <row r="5" spans="1:23" ht="15.75" thickBot="1" x14ac:dyDescent="0.3">
      <c r="B5" s="35"/>
      <c r="C5" s="637" t="s">
        <v>801</v>
      </c>
      <c r="D5" s="638"/>
      <c r="E5" s="638"/>
      <c r="F5" s="639"/>
      <c r="G5" t="s">
        <v>4918</v>
      </c>
      <c r="J5" s="95"/>
      <c r="K5" s="64"/>
      <c r="L5" s="95"/>
      <c r="M5" s="64"/>
    </row>
    <row r="6" spans="1:23" x14ac:dyDescent="0.25">
      <c r="B6" s="33"/>
      <c r="C6" s="640" t="s">
        <v>802</v>
      </c>
      <c r="D6" s="641"/>
      <c r="E6" s="641"/>
      <c r="F6" s="642"/>
      <c r="G6" t="s">
        <v>4918</v>
      </c>
      <c r="J6" s="95"/>
      <c r="K6" s="64"/>
      <c r="L6" s="95"/>
      <c r="M6" s="64"/>
    </row>
    <row r="7" spans="1:23" x14ac:dyDescent="0.25">
      <c r="B7" s="34"/>
      <c r="C7" s="643" t="s">
        <v>803</v>
      </c>
      <c r="D7" s="644"/>
      <c r="E7" s="644"/>
      <c r="F7" s="645"/>
      <c r="G7" t="s">
        <v>4918</v>
      </c>
      <c r="J7" s="95"/>
      <c r="K7" s="64"/>
      <c r="L7" s="95"/>
      <c r="M7" s="64"/>
    </row>
    <row r="8" spans="1:23" x14ac:dyDescent="0.25">
      <c r="B8" s="28"/>
      <c r="C8" s="633" t="s">
        <v>800</v>
      </c>
      <c r="D8" s="633"/>
      <c r="E8" s="633"/>
      <c r="F8" s="634"/>
      <c r="G8" s="26"/>
      <c r="J8" s="95"/>
      <c r="K8" s="64"/>
      <c r="L8" s="95"/>
      <c r="M8" s="64"/>
    </row>
    <row r="9" spans="1:23" x14ac:dyDescent="0.25">
      <c r="B9" s="32"/>
      <c r="C9" s="39" t="s">
        <v>799</v>
      </c>
      <c r="D9" s="40"/>
      <c r="E9" s="40"/>
      <c r="F9" s="41"/>
      <c r="J9" s="95"/>
      <c r="K9" s="64"/>
      <c r="L9" s="95"/>
      <c r="M9" s="64"/>
    </row>
    <row r="10" spans="1:23" x14ac:dyDescent="0.25">
      <c r="B10" s="29"/>
      <c r="C10" s="635" t="s">
        <v>804</v>
      </c>
      <c r="D10" s="635"/>
      <c r="E10" s="635"/>
      <c r="F10" s="636"/>
      <c r="G10" s="26" t="s">
        <v>798</v>
      </c>
      <c r="J10" s="95"/>
      <c r="K10" s="64"/>
      <c r="L10" s="95"/>
      <c r="M10" s="64"/>
    </row>
    <row r="11" spans="1:23" x14ac:dyDescent="0.25">
      <c r="B11" s="30"/>
      <c r="C11" s="42" t="s">
        <v>805</v>
      </c>
      <c r="D11" s="42"/>
      <c r="E11" s="42"/>
      <c r="F11" s="43"/>
      <c r="G11" s="26" t="s">
        <v>798</v>
      </c>
      <c r="J11" s="95"/>
      <c r="K11" s="64"/>
      <c r="L11" s="95"/>
      <c r="M11" s="64"/>
    </row>
    <row r="12" spans="1:23" x14ac:dyDescent="0.25">
      <c r="B12" s="31"/>
      <c r="C12" s="36" t="s">
        <v>806</v>
      </c>
      <c r="D12" s="37"/>
      <c r="E12" s="37"/>
      <c r="F12" s="38"/>
      <c r="G12" s="26" t="s">
        <v>798</v>
      </c>
      <c r="J12" s="95"/>
      <c r="K12" s="64"/>
      <c r="L12" s="95"/>
      <c r="M12" s="64"/>
    </row>
    <row r="13" spans="1:23" ht="15.75" thickBot="1" x14ac:dyDescent="0.3">
      <c r="J13" s="95"/>
      <c r="K13" s="64"/>
      <c r="L13" s="95"/>
      <c r="M13" s="64"/>
    </row>
    <row r="14" spans="1:23" ht="62.25" customHeight="1" thickBot="1" x14ac:dyDescent="0.3">
      <c r="A14" s="1" t="s">
        <v>28</v>
      </c>
      <c r="B14" s="4" t="s">
        <v>4</v>
      </c>
      <c r="C14" s="2" t="s">
        <v>8</v>
      </c>
      <c r="D14" s="2" t="s">
        <v>1357</v>
      </c>
      <c r="E14" s="2" t="s">
        <v>29</v>
      </c>
      <c r="F14" s="2" t="s">
        <v>23</v>
      </c>
      <c r="G14" s="2" t="s">
        <v>4916</v>
      </c>
      <c r="H14" s="2" t="s">
        <v>0</v>
      </c>
      <c r="I14" s="2" t="s">
        <v>11</v>
      </c>
      <c r="J14" s="189" t="s">
        <v>12</v>
      </c>
      <c r="K14" s="65" t="s">
        <v>13</v>
      </c>
      <c r="L14" s="208" t="s">
        <v>14</v>
      </c>
      <c r="M14" s="67" t="s">
        <v>24</v>
      </c>
      <c r="N14" s="7" t="s">
        <v>15</v>
      </c>
      <c r="O14" s="2" t="s">
        <v>16</v>
      </c>
      <c r="P14" s="2" t="s">
        <v>17</v>
      </c>
      <c r="Q14" s="2" t="s">
        <v>18</v>
      </c>
      <c r="R14" s="6" t="s">
        <v>19</v>
      </c>
      <c r="S14" s="6" t="s">
        <v>20</v>
      </c>
      <c r="T14" s="6" t="s">
        <v>21</v>
      </c>
      <c r="U14" s="6" t="s">
        <v>22</v>
      </c>
      <c r="V14" s="8" t="s">
        <v>26</v>
      </c>
      <c r="W14" s="3" t="s">
        <v>27</v>
      </c>
    </row>
    <row r="15" spans="1:23" ht="101.25" customHeight="1" x14ac:dyDescent="0.25">
      <c r="A15" s="173">
        <v>1</v>
      </c>
      <c r="B15" s="173" t="s">
        <v>4914</v>
      </c>
      <c r="C15" s="173" t="s">
        <v>4913</v>
      </c>
      <c r="D15" s="173" t="s">
        <v>4608</v>
      </c>
      <c r="E15" s="173">
        <v>50</v>
      </c>
      <c r="F15" s="173">
        <v>400</v>
      </c>
      <c r="G15" s="173" t="s">
        <v>4925</v>
      </c>
      <c r="H15" s="173" t="s">
        <v>4915</v>
      </c>
      <c r="I15" s="173" t="s">
        <v>91</v>
      </c>
      <c r="J15" s="670" t="s">
        <v>4917</v>
      </c>
      <c r="K15" s="723">
        <v>45433</v>
      </c>
      <c r="L15" s="723"/>
      <c r="M15" s="723"/>
      <c r="N15" s="723">
        <v>46752</v>
      </c>
      <c r="O15" s="723"/>
      <c r="P15" s="723"/>
      <c r="Q15" s="723"/>
      <c r="R15" s="723"/>
      <c r="S15" s="723"/>
      <c r="T15" s="723"/>
      <c r="U15" s="723"/>
      <c r="V15" s="723"/>
      <c r="W15" s="723"/>
    </row>
    <row r="16" spans="1:23" ht="52.5" customHeight="1" x14ac:dyDescent="0.25">
      <c r="A16" s="248">
        <v>2</v>
      </c>
      <c r="B16" s="248" t="s">
        <v>5218</v>
      </c>
      <c r="C16" s="248" t="s">
        <v>5217</v>
      </c>
      <c r="D16" s="248" t="s">
        <v>112</v>
      </c>
      <c r="E16" s="248">
        <v>702</v>
      </c>
      <c r="F16" s="248">
        <v>400</v>
      </c>
      <c r="G16" s="248" t="s">
        <v>5219</v>
      </c>
      <c r="H16" s="248" t="s">
        <v>5219</v>
      </c>
      <c r="I16" s="248" t="s">
        <v>91</v>
      </c>
      <c r="J16" s="248" t="s">
        <v>5220</v>
      </c>
      <c r="K16" s="671">
        <v>45475</v>
      </c>
      <c r="L16" s="671"/>
      <c r="M16" s="671"/>
      <c r="N16" s="671">
        <v>46022</v>
      </c>
      <c r="O16" s="671"/>
      <c r="P16" s="671"/>
      <c r="Q16" s="671"/>
      <c r="R16" s="671"/>
      <c r="S16" s="671"/>
      <c r="T16" s="671"/>
      <c r="U16" s="671"/>
      <c r="V16" s="671"/>
      <c r="W16" s="671"/>
    </row>
    <row r="17" spans="1:28" ht="39.75" customHeight="1" x14ac:dyDescent="0.25">
      <c r="A17" s="248">
        <v>3</v>
      </c>
      <c r="B17" s="248" t="s">
        <v>5540</v>
      </c>
      <c r="C17" s="248" t="s">
        <v>5541</v>
      </c>
      <c r="D17" s="248" t="s">
        <v>5542</v>
      </c>
      <c r="E17" s="248">
        <v>100</v>
      </c>
      <c r="F17" s="248">
        <v>220</v>
      </c>
      <c r="G17" s="248" t="s">
        <v>5543</v>
      </c>
      <c r="H17" s="248" t="s">
        <v>5544</v>
      </c>
      <c r="I17" s="248" t="s">
        <v>91</v>
      </c>
      <c r="J17" s="248" t="s">
        <v>5539</v>
      </c>
      <c r="K17" s="671">
        <v>45488</v>
      </c>
      <c r="L17" s="671"/>
      <c r="M17" s="671"/>
      <c r="N17" s="671">
        <v>46387</v>
      </c>
      <c r="O17" s="671"/>
      <c r="P17" s="671"/>
      <c r="Q17" s="671"/>
      <c r="R17" s="671"/>
      <c r="S17" s="671"/>
      <c r="T17" s="671"/>
      <c r="U17" s="671"/>
      <c r="V17" s="671"/>
      <c r="W17" s="671"/>
    </row>
    <row r="18" spans="1:28" ht="39.75" customHeight="1" x14ac:dyDescent="0.25">
      <c r="A18" s="248">
        <v>4</v>
      </c>
      <c r="B18" s="248" t="s">
        <v>5559</v>
      </c>
      <c r="C18" s="248" t="s">
        <v>5557</v>
      </c>
      <c r="D18" s="248" t="s">
        <v>41</v>
      </c>
      <c r="E18" s="248">
        <v>98.521000000000001</v>
      </c>
      <c r="F18" s="248">
        <v>220</v>
      </c>
      <c r="G18" s="248" t="s">
        <v>5558</v>
      </c>
      <c r="H18" s="248" t="s">
        <v>5560</v>
      </c>
      <c r="I18" s="248" t="s">
        <v>91</v>
      </c>
      <c r="J18" s="248" t="s">
        <v>5561</v>
      </c>
      <c r="K18" s="671">
        <v>45516</v>
      </c>
      <c r="L18" s="671"/>
      <c r="M18" s="671"/>
      <c r="N18" s="671">
        <v>46387</v>
      </c>
      <c r="O18" s="671"/>
      <c r="P18" s="671"/>
      <c r="Q18" s="671"/>
      <c r="R18" s="671"/>
      <c r="S18" s="671"/>
      <c r="T18" s="671"/>
      <c r="U18" s="671"/>
      <c r="V18" s="671"/>
      <c r="W18" s="671"/>
    </row>
    <row r="19" spans="1:28" s="264" customFormat="1" ht="40.5" customHeight="1" x14ac:dyDescent="0.25">
      <c r="A19" s="173">
        <v>5</v>
      </c>
      <c r="B19" s="799" t="s">
        <v>4662</v>
      </c>
      <c r="C19" s="800" t="s">
        <v>5564</v>
      </c>
      <c r="D19" s="296" t="s">
        <v>256</v>
      </c>
      <c r="E19" s="296">
        <v>74</v>
      </c>
      <c r="F19" s="296">
        <v>400</v>
      </c>
      <c r="G19" s="296" t="s">
        <v>4665</v>
      </c>
      <c r="H19" s="296" t="s">
        <v>4663</v>
      </c>
      <c r="I19" s="173" t="s">
        <v>91</v>
      </c>
      <c r="J19" s="801" t="s">
        <v>4661</v>
      </c>
      <c r="K19" s="307">
        <v>45344</v>
      </c>
      <c r="L19" s="296"/>
      <c r="M19" s="296"/>
      <c r="N19" s="307">
        <v>46022</v>
      </c>
      <c r="O19" s="296"/>
      <c r="P19" s="296"/>
      <c r="Q19" s="296"/>
      <c r="R19" s="296"/>
      <c r="S19" s="296"/>
      <c r="T19" s="296"/>
      <c r="U19" s="296"/>
      <c r="V19" s="296"/>
      <c r="W19" s="524"/>
      <c r="AB19" s="396"/>
    </row>
    <row r="20" spans="1:28" s="70" customFormat="1" ht="40.5" customHeight="1" x14ac:dyDescent="0.25">
      <c r="A20" s="173">
        <v>6</v>
      </c>
      <c r="B20" s="799" t="s">
        <v>5682</v>
      </c>
      <c r="C20" s="800" t="s">
        <v>5681</v>
      </c>
      <c r="D20" s="296" t="s">
        <v>5683</v>
      </c>
      <c r="E20" s="296">
        <v>98.617000000000004</v>
      </c>
      <c r="F20" s="296">
        <v>110</v>
      </c>
      <c r="G20" s="296" t="s">
        <v>5684</v>
      </c>
      <c r="H20" s="296" t="s">
        <v>5685</v>
      </c>
      <c r="I20" s="173" t="s">
        <v>91</v>
      </c>
      <c r="J20" s="801" t="s">
        <v>5686</v>
      </c>
      <c r="K20" s="307">
        <v>45558</v>
      </c>
      <c r="L20" s="296"/>
      <c r="M20" s="296"/>
      <c r="N20" s="307">
        <v>46387</v>
      </c>
      <c r="O20" s="296"/>
      <c r="P20" s="296"/>
      <c r="Q20" s="296"/>
      <c r="R20" s="296"/>
      <c r="S20" s="296"/>
      <c r="T20" s="296"/>
      <c r="U20" s="296"/>
      <c r="V20" s="296"/>
      <c r="W20" s="524"/>
      <c r="AB20" s="102"/>
    </row>
    <row r="21" spans="1:28" s="264" customFormat="1" ht="40.5" customHeight="1" x14ac:dyDescent="0.25">
      <c r="A21" s="248">
        <v>7</v>
      </c>
      <c r="B21" s="283" t="s">
        <v>6160</v>
      </c>
      <c r="C21" s="894" t="s">
        <v>6159</v>
      </c>
      <c r="D21" s="270" t="s">
        <v>836</v>
      </c>
      <c r="E21" s="270">
        <v>98.941000000000003</v>
      </c>
      <c r="F21" s="270">
        <v>400</v>
      </c>
      <c r="G21" s="270" t="s">
        <v>6161</v>
      </c>
      <c r="H21" s="270" t="s">
        <v>6162</v>
      </c>
      <c r="I21" s="248" t="s">
        <v>91</v>
      </c>
      <c r="J21" s="582" t="s">
        <v>6163</v>
      </c>
      <c r="K21" s="275">
        <v>45609</v>
      </c>
      <c r="L21" s="270"/>
      <c r="M21" s="270"/>
      <c r="N21" s="275">
        <v>46386</v>
      </c>
      <c r="O21" s="270"/>
      <c r="P21" s="270"/>
      <c r="Q21" s="270"/>
      <c r="R21" s="270"/>
      <c r="S21" s="270"/>
      <c r="T21" s="270"/>
      <c r="U21" s="270"/>
      <c r="V21" s="270"/>
      <c r="W21" s="523"/>
      <c r="AB21" s="396"/>
    </row>
    <row r="22" spans="1:28" s="264" customFormat="1" ht="40.5" customHeight="1" x14ac:dyDescent="0.25">
      <c r="A22" s="248">
        <v>8</v>
      </c>
      <c r="B22" s="283" t="s">
        <v>6165</v>
      </c>
      <c r="C22" s="894" t="s">
        <v>6166</v>
      </c>
      <c r="D22" s="270" t="s">
        <v>6167</v>
      </c>
      <c r="E22" s="270">
        <v>252.25</v>
      </c>
      <c r="F22" s="270">
        <v>110</v>
      </c>
      <c r="G22" s="270" t="s">
        <v>6168</v>
      </c>
      <c r="H22" s="270" t="s">
        <v>6168</v>
      </c>
      <c r="I22" s="248" t="s">
        <v>91</v>
      </c>
      <c r="J22" s="582" t="s">
        <v>6164</v>
      </c>
      <c r="K22" s="275">
        <v>45596</v>
      </c>
      <c r="L22" s="270"/>
      <c r="M22" s="270"/>
      <c r="N22" s="275">
        <v>47088</v>
      </c>
      <c r="O22" s="270"/>
      <c r="P22" s="270"/>
      <c r="Q22" s="270"/>
      <c r="R22" s="270"/>
      <c r="S22" s="270"/>
      <c r="T22" s="270"/>
      <c r="U22" s="270"/>
      <c r="V22" s="270"/>
      <c r="W22" s="523"/>
      <c r="AB22" s="396"/>
    </row>
    <row r="23" spans="1:28" s="264" customFormat="1" ht="40.5" customHeight="1" x14ac:dyDescent="0.25">
      <c r="A23" s="248">
        <v>9</v>
      </c>
      <c r="B23" s="897" t="s">
        <v>5907</v>
      </c>
      <c r="C23" s="894" t="s">
        <v>6175</v>
      </c>
      <c r="D23" s="270" t="s">
        <v>6176</v>
      </c>
      <c r="E23" s="270">
        <v>34.270000000000003</v>
      </c>
      <c r="F23" s="270">
        <v>110</v>
      </c>
      <c r="G23" s="270" t="s">
        <v>6177</v>
      </c>
      <c r="H23" s="270" t="s">
        <v>6177</v>
      </c>
      <c r="I23" s="248" t="s">
        <v>91</v>
      </c>
      <c r="J23" s="582" t="s">
        <v>6178</v>
      </c>
      <c r="K23" s="275">
        <v>45562</v>
      </c>
      <c r="L23" s="270"/>
      <c r="M23" s="270"/>
      <c r="N23" s="275">
        <v>46022</v>
      </c>
      <c r="O23" s="270"/>
      <c r="P23" s="270"/>
      <c r="Q23" s="270"/>
      <c r="R23" s="270"/>
      <c r="S23" s="270"/>
      <c r="T23" s="270"/>
      <c r="U23" s="270"/>
      <c r="V23" s="270"/>
      <c r="W23" s="523"/>
      <c r="AB23" s="396"/>
    </row>
    <row r="24" spans="1:28" s="102" customFormat="1" ht="40.5" customHeight="1" x14ac:dyDescent="0.25">
      <c r="A24" s="769"/>
      <c r="B24" s="770"/>
      <c r="C24" s="771"/>
      <c r="D24" s="274"/>
      <c r="E24" s="274"/>
      <c r="F24" s="274"/>
      <c r="G24" s="274"/>
      <c r="H24" s="274"/>
      <c r="I24" s="769"/>
      <c r="J24" s="772"/>
      <c r="K24" s="773"/>
      <c r="L24" s="274"/>
      <c r="M24" s="274"/>
      <c r="N24" s="773"/>
      <c r="O24" s="274"/>
      <c r="P24" s="274"/>
      <c r="Q24" s="274"/>
      <c r="R24" s="274"/>
      <c r="S24" s="274"/>
      <c r="T24" s="274"/>
      <c r="U24" s="274"/>
      <c r="V24" s="274"/>
      <c r="W24" s="774"/>
    </row>
    <row r="25" spans="1:28" s="264" customFormat="1" x14ac:dyDescent="0.25">
      <c r="A25" s="136">
        <v>1</v>
      </c>
      <c r="B25" s="136" t="s">
        <v>4626</v>
      </c>
      <c r="C25" s="136" t="s">
        <v>2832</v>
      </c>
      <c r="D25" s="136" t="s">
        <v>900</v>
      </c>
      <c r="E25" s="136">
        <v>30</v>
      </c>
      <c r="F25" s="136">
        <v>110</v>
      </c>
      <c r="G25" s="136" t="s">
        <v>5268</v>
      </c>
      <c r="H25" s="136" t="s">
        <v>963</v>
      </c>
      <c r="I25" s="136" t="s">
        <v>2411</v>
      </c>
      <c r="J25" s="308">
        <v>3060220510135</v>
      </c>
      <c r="K25" s="187">
        <v>45478</v>
      </c>
      <c r="L25" s="136" t="s">
        <v>5269</v>
      </c>
      <c r="M25" s="187">
        <v>45502</v>
      </c>
      <c r="N25" s="136"/>
      <c r="O25" s="136"/>
      <c r="P25" s="136"/>
      <c r="Q25" s="136"/>
      <c r="R25" s="136"/>
      <c r="S25" s="136"/>
      <c r="T25" s="136"/>
      <c r="U25" s="136"/>
      <c r="V25" s="136"/>
      <c r="W25" s="136"/>
    </row>
    <row r="26" spans="1:28" s="70" customFormat="1" x14ac:dyDescent="0.25">
      <c r="A26" s="136">
        <v>2</v>
      </c>
      <c r="B26" s="136" t="s">
        <v>5582</v>
      </c>
      <c r="C26" s="136" t="s">
        <v>3248</v>
      </c>
      <c r="D26" s="136" t="s">
        <v>917</v>
      </c>
      <c r="E26" s="215">
        <v>49.25</v>
      </c>
      <c r="F26" s="136">
        <v>110</v>
      </c>
      <c r="G26" s="136" t="s">
        <v>5583</v>
      </c>
      <c r="H26" s="136" t="s">
        <v>963</v>
      </c>
      <c r="I26" s="136" t="s">
        <v>2411</v>
      </c>
      <c r="J26" s="308">
        <v>3060230719944</v>
      </c>
      <c r="K26" s="187">
        <v>45496</v>
      </c>
      <c r="L26" s="136"/>
      <c r="M26" s="136"/>
      <c r="N26" s="136"/>
      <c r="O26" s="136"/>
      <c r="P26" s="136"/>
      <c r="Q26" s="136"/>
      <c r="R26" s="136"/>
      <c r="S26" s="136"/>
      <c r="T26" s="136"/>
      <c r="U26" s="136"/>
      <c r="V26" s="136"/>
      <c r="W26" s="136"/>
    </row>
    <row r="28" spans="1:28" x14ac:dyDescent="0.25">
      <c r="A28" s="30">
        <v>1</v>
      </c>
      <c r="B28" s="30" t="s">
        <v>2416</v>
      </c>
      <c r="C28" s="30" t="s">
        <v>5307</v>
      </c>
      <c r="D28" s="30" t="s">
        <v>1024</v>
      </c>
      <c r="E28" s="30">
        <v>4.9800000000000004</v>
      </c>
      <c r="F28" s="30">
        <v>20</v>
      </c>
      <c r="G28" s="30" t="s">
        <v>2418</v>
      </c>
      <c r="H28" s="30" t="s">
        <v>963</v>
      </c>
      <c r="I28" s="30" t="s">
        <v>1026</v>
      </c>
      <c r="J28" s="83">
        <v>6060230107607</v>
      </c>
      <c r="K28" s="89">
        <v>44988</v>
      </c>
      <c r="L28" s="30" t="s">
        <v>5308</v>
      </c>
      <c r="M28" s="89">
        <v>45330</v>
      </c>
      <c r="N28" s="30"/>
      <c r="O28" s="30" t="s">
        <v>25</v>
      </c>
      <c r="P28" s="30" t="s">
        <v>25</v>
      </c>
      <c r="Q28" s="30" t="s">
        <v>25</v>
      </c>
      <c r="R28" s="30"/>
      <c r="S28" s="30"/>
      <c r="T28" s="30"/>
      <c r="U28" s="30"/>
      <c r="V28" s="30"/>
      <c r="W28" s="30"/>
    </row>
    <row r="29" spans="1:28" x14ac:dyDescent="0.25">
      <c r="A29" s="74">
        <v>2</v>
      </c>
      <c r="B29" s="30" t="s">
        <v>5709</v>
      </c>
      <c r="C29" s="74" t="s">
        <v>5307</v>
      </c>
      <c r="D29" s="74" t="s">
        <v>5705</v>
      </c>
      <c r="E29" s="74">
        <v>60</v>
      </c>
      <c r="F29" s="74">
        <v>110</v>
      </c>
      <c r="G29" s="74" t="s">
        <v>5710</v>
      </c>
      <c r="H29" s="74" t="s">
        <v>963</v>
      </c>
      <c r="I29" s="74" t="s">
        <v>1026</v>
      </c>
      <c r="J29" s="75">
        <v>6010240812135</v>
      </c>
      <c r="K29" s="181">
        <v>45538</v>
      </c>
      <c r="L29" s="74"/>
      <c r="M29" s="74"/>
      <c r="N29" s="74"/>
      <c r="O29" s="74"/>
      <c r="P29" s="74"/>
      <c r="Q29" s="74"/>
      <c r="R29" s="74"/>
      <c r="S29" s="74"/>
      <c r="T29" s="74"/>
      <c r="U29" s="74"/>
      <c r="V29" s="74"/>
      <c r="W29" s="74"/>
    </row>
    <row r="31" spans="1:28" x14ac:dyDescent="0.25">
      <c r="A31" s="31">
        <v>1</v>
      </c>
      <c r="B31" s="31" t="s">
        <v>2022</v>
      </c>
      <c r="C31" s="31" t="s">
        <v>2023</v>
      </c>
      <c r="D31" s="31" t="s">
        <v>1080</v>
      </c>
      <c r="E31" s="31">
        <v>10</v>
      </c>
      <c r="F31" s="31">
        <v>20</v>
      </c>
      <c r="G31" s="31" t="s">
        <v>2024</v>
      </c>
      <c r="H31" s="31" t="s">
        <v>5333</v>
      </c>
      <c r="I31" s="31" t="s">
        <v>1075</v>
      </c>
      <c r="J31" s="81">
        <v>7040220308864</v>
      </c>
      <c r="K31" s="82">
        <v>44882</v>
      </c>
      <c r="L31" s="31" t="s">
        <v>4069</v>
      </c>
      <c r="M31" s="82">
        <v>45230</v>
      </c>
      <c r="N31" s="31"/>
      <c r="O31" s="31" t="s">
        <v>25</v>
      </c>
      <c r="P31" s="31" t="s">
        <v>25</v>
      </c>
      <c r="Q31" s="31" t="s">
        <v>25</v>
      </c>
      <c r="R31" s="31"/>
      <c r="S31" s="31"/>
      <c r="T31" s="31"/>
      <c r="U31" s="31"/>
      <c r="V31" s="31">
        <v>10</v>
      </c>
      <c r="W31" s="31"/>
    </row>
    <row r="32" spans="1:28" x14ac:dyDescent="0.25">
      <c r="A32" s="31">
        <v>2</v>
      </c>
      <c r="B32" s="31" t="s">
        <v>4633</v>
      </c>
      <c r="C32" s="31" t="s">
        <v>4634</v>
      </c>
      <c r="D32" s="31" t="s">
        <v>1080</v>
      </c>
      <c r="E32" s="31">
        <v>2.5</v>
      </c>
      <c r="F32" s="31">
        <v>20</v>
      </c>
      <c r="G32" s="31" t="s">
        <v>4635</v>
      </c>
      <c r="H32" s="31" t="s">
        <v>963</v>
      </c>
      <c r="I32" s="31" t="s">
        <v>1075</v>
      </c>
      <c r="J32" s="81">
        <v>7040230517718</v>
      </c>
      <c r="K32" s="82">
        <v>45306</v>
      </c>
      <c r="L32" s="31"/>
      <c r="M32" s="31"/>
      <c r="N32" s="31"/>
      <c r="O32" s="31"/>
      <c r="P32" s="31"/>
      <c r="Q32" s="31"/>
      <c r="R32" s="31"/>
      <c r="S32" s="31"/>
      <c r="T32" s="31"/>
      <c r="U32" s="31"/>
      <c r="V32" s="31"/>
      <c r="W32" s="31"/>
    </row>
    <row r="33" spans="1:23" x14ac:dyDescent="0.25">
      <c r="A33" s="281">
        <v>3</v>
      </c>
      <c r="B33" s="31" t="s">
        <v>5882</v>
      </c>
      <c r="C33" s="281" t="s">
        <v>2853</v>
      </c>
      <c r="D33" s="281" t="s">
        <v>3440</v>
      </c>
      <c r="E33" s="281">
        <v>85</v>
      </c>
      <c r="F33" s="281">
        <v>110</v>
      </c>
      <c r="G33" s="281" t="s">
        <v>5883</v>
      </c>
      <c r="H33" s="281" t="s">
        <v>963</v>
      </c>
      <c r="I33" s="281" t="s">
        <v>1075</v>
      </c>
      <c r="J33" s="302">
        <v>7030240807348</v>
      </c>
      <c r="K33" s="282">
        <v>45547</v>
      </c>
      <c r="L33" s="281"/>
      <c r="M33" s="281"/>
      <c r="N33" s="281"/>
      <c r="O33" s="281"/>
      <c r="P33" s="281"/>
      <c r="Q33" s="281"/>
      <c r="R33" s="281"/>
      <c r="S33" s="281"/>
      <c r="T33" s="281"/>
      <c r="U33" s="281"/>
      <c r="V33" s="281"/>
      <c r="W33" s="281"/>
    </row>
    <row r="34" spans="1:23" x14ac:dyDescent="0.25">
      <c r="A34" s="281">
        <v>4</v>
      </c>
      <c r="B34" s="31" t="s">
        <v>5884</v>
      </c>
      <c r="C34" s="281" t="s">
        <v>1342</v>
      </c>
      <c r="D34" s="281" t="s">
        <v>1085</v>
      </c>
      <c r="E34" s="281">
        <v>48</v>
      </c>
      <c r="F34" s="281">
        <v>110</v>
      </c>
      <c r="G34" s="281" t="s">
        <v>5885</v>
      </c>
      <c r="H34" s="281" t="s">
        <v>963</v>
      </c>
      <c r="I34" s="281" t="s">
        <v>1075</v>
      </c>
      <c r="J34" s="302">
        <v>7030240302460</v>
      </c>
      <c r="K34" s="282">
        <v>45586</v>
      </c>
      <c r="L34" s="281"/>
      <c r="M34" s="281"/>
      <c r="N34" s="281"/>
      <c r="O34" s="281"/>
      <c r="P34" s="281"/>
      <c r="Q34" s="281"/>
      <c r="R34" s="281"/>
      <c r="S34" s="281"/>
      <c r="T34" s="281"/>
      <c r="U34" s="281"/>
      <c r="V34" s="281"/>
      <c r="W34" s="281"/>
    </row>
    <row r="35" spans="1:23" x14ac:dyDescent="0.25">
      <c r="A35" s="281">
        <v>5</v>
      </c>
      <c r="B35" s="31" t="s">
        <v>5886</v>
      </c>
      <c r="C35" s="281" t="s">
        <v>5875</v>
      </c>
      <c r="D35" s="281" t="s">
        <v>1100</v>
      </c>
      <c r="E35" s="281">
        <v>36.36</v>
      </c>
      <c r="F35" s="281">
        <v>110</v>
      </c>
      <c r="G35" s="281" t="s">
        <v>5887</v>
      </c>
      <c r="H35" s="281" t="s">
        <v>3166</v>
      </c>
      <c r="I35" s="281" t="s">
        <v>1075</v>
      </c>
      <c r="J35" s="302">
        <v>7050230813115</v>
      </c>
      <c r="K35" s="282">
        <v>45560</v>
      </c>
      <c r="L35" s="281"/>
      <c r="M35" s="281"/>
      <c r="N35" s="281"/>
      <c r="O35" s="281"/>
      <c r="P35" s="281"/>
      <c r="Q35" s="281"/>
      <c r="R35" s="281"/>
      <c r="S35" s="281"/>
      <c r="T35" s="281"/>
      <c r="U35" s="281"/>
      <c r="V35" s="281"/>
      <c r="W35" s="281"/>
    </row>
    <row r="36" spans="1:23" x14ac:dyDescent="0.25">
      <c r="A36" s="281">
        <v>6</v>
      </c>
      <c r="B36" s="745" t="s">
        <v>5996</v>
      </c>
      <c r="C36" s="281" t="s">
        <v>5997</v>
      </c>
      <c r="D36" s="281" t="s">
        <v>1080</v>
      </c>
      <c r="E36" s="281">
        <v>48</v>
      </c>
      <c r="F36" s="281">
        <v>110</v>
      </c>
      <c r="G36" s="281" t="s">
        <v>2024</v>
      </c>
      <c r="H36" s="281" t="s">
        <v>5998</v>
      </c>
      <c r="I36" s="281" t="s">
        <v>1075</v>
      </c>
      <c r="J36" s="302">
        <v>7040240301201</v>
      </c>
      <c r="K36" s="282">
        <v>45597</v>
      </c>
      <c r="L36" s="281"/>
      <c r="M36" s="281"/>
      <c r="N36" s="281"/>
      <c r="O36" s="281"/>
      <c r="P36" s="281"/>
      <c r="Q36" s="281"/>
      <c r="R36" s="281"/>
      <c r="S36" s="281"/>
      <c r="T36" s="281"/>
      <c r="U36" s="281"/>
      <c r="V36" s="281"/>
      <c r="W36" s="281"/>
    </row>
    <row r="37" spans="1:23" x14ac:dyDescent="0.25">
      <c r="A37" s="281">
        <v>7</v>
      </c>
      <c r="B37" s="745" t="s">
        <v>5999</v>
      </c>
      <c r="C37" s="281" t="s">
        <v>6000</v>
      </c>
      <c r="D37" s="281" t="s">
        <v>5613</v>
      </c>
      <c r="E37" s="281">
        <v>10.35</v>
      </c>
      <c r="F37" s="281">
        <v>20</v>
      </c>
      <c r="G37" s="281" t="s">
        <v>6001</v>
      </c>
      <c r="H37" s="281" t="s">
        <v>6002</v>
      </c>
      <c r="I37" s="281" t="s">
        <v>1075</v>
      </c>
      <c r="J37" s="302">
        <v>7050240401283</v>
      </c>
      <c r="K37" s="282">
        <v>45604</v>
      </c>
      <c r="L37" s="281"/>
      <c r="M37" s="281"/>
      <c r="N37" s="281"/>
      <c r="O37" s="281"/>
      <c r="P37" s="281"/>
      <c r="Q37" s="281"/>
      <c r="R37" s="281"/>
      <c r="S37" s="281"/>
      <c r="T37" s="281"/>
      <c r="U37" s="281"/>
      <c r="V37" s="281"/>
      <c r="W37" s="281"/>
    </row>
    <row r="39" spans="1:23" ht="60" x14ac:dyDescent="0.25">
      <c r="A39" s="833">
        <v>1</v>
      </c>
      <c r="B39" s="833" t="s">
        <v>5830</v>
      </c>
      <c r="C39" s="833" t="s">
        <v>5831</v>
      </c>
      <c r="D39" s="814" t="s">
        <v>41</v>
      </c>
      <c r="E39" s="814">
        <v>54</v>
      </c>
      <c r="F39" s="814">
        <v>110</v>
      </c>
      <c r="G39" s="833" t="s">
        <v>5832</v>
      </c>
      <c r="H39" s="833"/>
      <c r="I39" s="814" t="s">
        <v>426</v>
      </c>
      <c r="J39" s="814">
        <v>1500038415</v>
      </c>
      <c r="K39" s="834">
        <v>45579</v>
      </c>
      <c r="L39" s="814">
        <v>3200096174</v>
      </c>
      <c r="M39" s="834">
        <v>45450</v>
      </c>
      <c r="N39" s="834">
        <v>45815</v>
      </c>
      <c r="O39" s="814" t="s">
        <v>25</v>
      </c>
      <c r="P39" s="814" t="s">
        <v>25</v>
      </c>
      <c r="Q39" s="814" t="s">
        <v>25</v>
      </c>
      <c r="R39" s="814"/>
      <c r="S39" s="814"/>
      <c r="T39" s="814"/>
      <c r="U39" s="814"/>
      <c r="V39" s="814"/>
      <c r="W39" s="814">
        <v>54</v>
      </c>
    </row>
    <row r="40" spans="1:23" ht="63.75" x14ac:dyDescent="0.25">
      <c r="A40" s="833">
        <f>A39+1</f>
        <v>2</v>
      </c>
      <c r="B40" s="833" t="s">
        <v>5833</v>
      </c>
      <c r="C40" s="836" t="s">
        <v>5834</v>
      </c>
      <c r="D40" s="814" t="s">
        <v>84</v>
      </c>
      <c r="E40" s="814">
        <v>2.1949999999999998</v>
      </c>
      <c r="F40" s="814">
        <v>20</v>
      </c>
      <c r="G40" s="836" t="s">
        <v>5835</v>
      </c>
      <c r="H40" s="833"/>
      <c r="I40" s="814" t="s">
        <v>426</v>
      </c>
      <c r="J40" s="814">
        <v>1500038803</v>
      </c>
      <c r="K40" s="834">
        <v>45587</v>
      </c>
      <c r="L40" s="814"/>
      <c r="M40" s="814"/>
      <c r="N40" s="814"/>
      <c r="O40" s="814" t="s">
        <v>25</v>
      </c>
      <c r="P40" s="814" t="s">
        <v>25</v>
      </c>
      <c r="Q40" s="814" t="s">
        <v>25</v>
      </c>
      <c r="R40" s="814"/>
      <c r="S40" s="814"/>
      <c r="T40" s="814"/>
      <c r="U40" s="814"/>
      <c r="V40" s="814"/>
      <c r="W40" s="814">
        <v>2.1949999999999998</v>
      </c>
    </row>
    <row r="41" spans="1:23" ht="76.5" x14ac:dyDescent="0.25">
      <c r="A41" s="833">
        <f>A40+1</f>
        <v>3</v>
      </c>
      <c r="B41" s="833" t="s">
        <v>5836</v>
      </c>
      <c r="C41" s="835" t="s">
        <v>5837</v>
      </c>
      <c r="D41" s="814" t="s">
        <v>84</v>
      </c>
      <c r="E41" s="814">
        <v>1.962</v>
      </c>
      <c r="F41" s="814">
        <v>20</v>
      </c>
      <c r="G41" s="836" t="s">
        <v>5838</v>
      </c>
      <c r="H41" s="833"/>
      <c r="I41" s="814" t="s">
        <v>426</v>
      </c>
      <c r="J41" s="835">
        <v>1500038974</v>
      </c>
      <c r="K41" s="837">
        <v>45589</v>
      </c>
      <c r="L41" s="814"/>
      <c r="M41" s="814"/>
      <c r="N41" s="814"/>
      <c r="O41" s="814" t="s">
        <v>25</v>
      </c>
      <c r="P41" s="814" t="s">
        <v>25</v>
      </c>
      <c r="Q41" s="814" t="s">
        <v>25</v>
      </c>
      <c r="R41" s="814"/>
      <c r="S41" s="814"/>
      <c r="T41" s="814"/>
      <c r="U41" s="814"/>
      <c r="V41" s="814"/>
      <c r="W41" s="814">
        <v>1.962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
  <sheetViews>
    <sheetView workbookViewId="0">
      <selection activeCell="K4" sqref="K4"/>
    </sheetView>
  </sheetViews>
  <sheetFormatPr defaultRowHeight="15" x14ac:dyDescent="0.25"/>
  <cols>
    <col min="2" max="2" width="29.85546875" customWidth="1"/>
    <col min="3" max="3" width="21.85546875" customWidth="1"/>
    <col min="4" max="4" width="11.28515625" customWidth="1"/>
    <col min="8" max="8" width="13" customWidth="1"/>
    <col min="10" max="10" width="17.140625" style="76" customWidth="1"/>
    <col min="11" max="11" width="11.28515625" style="64" customWidth="1"/>
    <col min="12" max="12" width="12.7109375" customWidth="1"/>
    <col min="13" max="13" width="11.42578125" style="64" customWidth="1"/>
    <col min="14" max="14" width="14.5703125" customWidth="1"/>
    <col min="15" max="15" width="13.42578125" customWidth="1"/>
    <col min="16" max="16" width="12.7109375" customWidth="1"/>
    <col min="17" max="17" width="12.42578125" customWidth="1"/>
    <col min="18" max="18" width="13.28515625" customWidth="1"/>
    <col min="19" max="19" width="13.85546875" customWidth="1"/>
    <col min="20" max="20" width="16.140625" customWidth="1"/>
    <col min="21" max="21" width="13" customWidth="1"/>
    <col min="22" max="22" width="12.5703125" customWidth="1"/>
    <col min="23" max="23" width="14.5703125" customWidth="1"/>
  </cols>
  <sheetData>
    <row r="1" spans="1:23" x14ac:dyDescent="0.25">
      <c r="B1" s="23" t="s">
        <v>794</v>
      </c>
      <c r="C1" s="650">
        <v>45636</v>
      </c>
      <c r="D1" s="651"/>
      <c r="E1" s="651"/>
      <c r="F1" s="652"/>
      <c r="G1" s="24"/>
    </row>
    <row r="2" spans="1:23" ht="26.25" thickBot="1" x14ac:dyDescent="0.3">
      <c r="B2" s="25" t="s">
        <v>795</v>
      </c>
      <c r="C2" s="653" t="s">
        <v>796</v>
      </c>
      <c r="D2" s="653"/>
      <c r="E2" s="653"/>
      <c r="F2" s="654"/>
      <c r="G2" s="26"/>
    </row>
    <row r="3" spans="1:23" ht="15.75" x14ac:dyDescent="0.25">
      <c r="B3" s="27"/>
      <c r="C3" s="655" t="s">
        <v>797</v>
      </c>
      <c r="D3" s="655"/>
      <c r="E3" s="655"/>
      <c r="F3" s="656"/>
      <c r="G3" s="26"/>
    </row>
    <row r="4" spans="1:23" ht="15.75" thickBot="1" x14ac:dyDescent="0.3">
      <c r="B4" s="35"/>
      <c r="C4" s="661" t="s">
        <v>801</v>
      </c>
      <c r="D4" s="662"/>
      <c r="E4" s="662"/>
      <c r="F4" s="663"/>
      <c r="G4" t="s">
        <v>4918</v>
      </c>
    </row>
    <row r="5" spans="1:23" x14ac:dyDescent="0.25">
      <c r="B5" s="33"/>
      <c r="C5" s="664" t="s">
        <v>802</v>
      </c>
      <c r="D5" s="665"/>
      <c r="E5" s="665"/>
      <c r="F5" s="666"/>
      <c r="G5" t="s">
        <v>4918</v>
      </c>
    </row>
    <row r="6" spans="1:23" x14ac:dyDescent="0.25">
      <c r="B6" s="34"/>
      <c r="C6" s="667" t="s">
        <v>803</v>
      </c>
      <c r="D6" s="668"/>
      <c r="E6" s="668"/>
      <c r="F6" s="669"/>
      <c r="G6" t="s">
        <v>4918</v>
      </c>
    </row>
    <row r="7" spans="1:23" x14ac:dyDescent="0.25">
      <c r="B7" s="28"/>
      <c r="C7" s="657" t="s">
        <v>800</v>
      </c>
      <c r="D7" s="657"/>
      <c r="E7" s="657"/>
      <c r="F7" s="658"/>
      <c r="G7" s="26"/>
    </row>
    <row r="8" spans="1:23" x14ac:dyDescent="0.25">
      <c r="B8" s="32"/>
      <c r="C8" s="39" t="s">
        <v>799</v>
      </c>
      <c r="D8" s="40"/>
      <c r="E8" s="40"/>
      <c r="F8" s="41"/>
    </row>
    <row r="9" spans="1:23" x14ac:dyDescent="0.25">
      <c r="B9" s="29"/>
      <c r="C9" s="659" t="s">
        <v>804</v>
      </c>
      <c r="D9" s="659"/>
      <c r="E9" s="659"/>
      <c r="F9" s="660"/>
      <c r="G9" s="26" t="s">
        <v>798</v>
      </c>
    </row>
    <row r="10" spans="1:23" x14ac:dyDescent="0.25">
      <c r="B10" s="30"/>
      <c r="C10" s="42" t="s">
        <v>805</v>
      </c>
      <c r="D10" s="42"/>
      <c r="E10" s="42"/>
      <c r="F10" s="43"/>
      <c r="G10" s="26" t="s">
        <v>798</v>
      </c>
    </row>
    <row r="11" spans="1:23" x14ac:dyDescent="0.25">
      <c r="B11" s="31"/>
      <c r="C11" s="36" t="s">
        <v>806</v>
      </c>
      <c r="D11" s="37"/>
      <c r="E11" s="37"/>
      <c r="F11" s="38"/>
      <c r="G11" s="26" t="s">
        <v>798</v>
      </c>
    </row>
    <row r="12" spans="1:23" ht="15.75" thickBot="1" x14ac:dyDescent="0.3"/>
    <row r="13" spans="1:23" ht="86.25" customHeight="1" x14ac:dyDescent="0.25">
      <c r="A13" s="734" t="s">
        <v>28</v>
      </c>
      <c r="B13" s="734" t="s">
        <v>4</v>
      </c>
      <c r="C13" s="734" t="s">
        <v>5</v>
      </c>
      <c r="D13" s="735" t="s">
        <v>9</v>
      </c>
      <c r="E13" s="736" t="s">
        <v>2</v>
      </c>
      <c r="F13" s="736" t="s">
        <v>23</v>
      </c>
      <c r="G13" s="736" t="s">
        <v>10</v>
      </c>
      <c r="H13" s="736" t="s">
        <v>0</v>
      </c>
      <c r="I13" s="736" t="s">
        <v>11</v>
      </c>
      <c r="J13" s="757" t="s">
        <v>12</v>
      </c>
      <c r="K13" s="756" t="s">
        <v>13</v>
      </c>
      <c r="L13" s="736" t="s">
        <v>14</v>
      </c>
      <c r="M13" s="759" t="s">
        <v>24</v>
      </c>
      <c r="N13" s="738" t="s">
        <v>15</v>
      </c>
      <c r="O13" s="736" t="s">
        <v>16</v>
      </c>
      <c r="P13" s="736" t="s">
        <v>17</v>
      </c>
      <c r="Q13" s="736" t="s">
        <v>18</v>
      </c>
      <c r="R13" s="737" t="s">
        <v>19</v>
      </c>
      <c r="S13" s="737" t="s">
        <v>20</v>
      </c>
      <c r="T13" s="737" t="s">
        <v>21</v>
      </c>
      <c r="U13" s="737" t="s">
        <v>22</v>
      </c>
      <c r="V13" s="739" t="s">
        <v>26</v>
      </c>
      <c r="W13" s="734" t="s">
        <v>27</v>
      </c>
    </row>
    <row r="14" spans="1:23" s="742" customFormat="1" ht="43.5" customHeight="1" x14ac:dyDescent="0.25">
      <c r="A14" s="740">
        <v>1</v>
      </c>
      <c r="B14" s="740" t="s">
        <v>2584</v>
      </c>
      <c r="C14" s="741" t="s">
        <v>5234</v>
      </c>
      <c r="D14" s="740" t="s">
        <v>296</v>
      </c>
      <c r="E14" s="740">
        <v>3.3660000000000001</v>
      </c>
      <c r="F14" s="740">
        <v>20</v>
      </c>
      <c r="G14" s="740" t="s">
        <v>2586</v>
      </c>
      <c r="H14" s="740" t="s">
        <v>1887</v>
      </c>
      <c r="I14" s="741" t="s">
        <v>287</v>
      </c>
      <c r="J14" s="758">
        <v>1005711683</v>
      </c>
      <c r="K14" s="743">
        <v>45492</v>
      </c>
      <c r="L14" s="740">
        <v>1005638902</v>
      </c>
      <c r="M14" s="743">
        <v>45399</v>
      </c>
      <c r="N14" s="743">
        <v>45657</v>
      </c>
      <c r="O14" s="740" t="s">
        <v>25</v>
      </c>
      <c r="P14" s="740" t="s">
        <v>25</v>
      </c>
      <c r="Q14" s="740" t="s">
        <v>25</v>
      </c>
      <c r="R14" s="740"/>
      <c r="S14" s="740"/>
      <c r="T14" s="740"/>
      <c r="U14" s="740"/>
      <c r="V14" s="740"/>
      <c r="W14" s="740">
        <v>3.3660000000000001</v>
      </c>
    </row>
    <row r="15" spans="1:23" s="742" customFormat="1" ht="43.5" customHeight="1" x14ac:dyDescent="0.25">
      <c r="A15" s="802">
        <v>2</v>
      </c>
      <c r="B15" s="806" t="s">
        <v>5814</v>
      </c>
      <c r="C15" s="803" t="s">
        <v>5815</v>
      </c>
      <c r="D15" s="802" t="s">
        <v>372</v>
      </c>
      <c r="E15" s="804">
        <v>2</v>
      </c>
      <c r="F15" s="802">
        <v>20</v>
      </c>
      <c r="G15" s="802" t="s">
        <v>3826</v>
      </c>
      <c r="H15" s="802" t="s">
        <v>1887</v>
      </c>
      <c r="I15" s="803" t="s">
        <v>287</v>
      </c>
      <c r="J15" s="802" t="s">
        <v>5811</v>
      </c>
      <c r="K15" s="805"/>
      <c r="L15" s="802"/>
      <c r="M15" s="805"/>
      <c r="N15" s="805">
        <v>46022</v>
      </c>
      <c r="O15" s="802" t="s">
        <v>25</v>
      </c>
      <c r="P15" s="802" t="s">
        <v>25</v>
      </c>
      <c r="Q15" s="802" t="s">
        <v>25</v>
      </c>
      <c r="R15" s="802"/>
      <c r="S15" s="805"/>
      <c r="T15" s="802"/>
      <c r="U15" s="802"/>
      <c r="V15" s="802"/>
      <c r="W15" s="802">
        <f>E15</f>
        <v>2</v>
      </c>
    </row>
    <row r="17" spans="1:23" s="461" customFormat="1" x14ac:dyDescent="0.25">
      <c r="A17" s="760">
        <v>1</v>
      </c>
      <c r="B17" s="760" t="s">
        <v>934</v>
      </c>
      <c r="C17" s="760" t="s">
        <v>5270</v>
      </c>
      <c r="D17" s="760" t="s">
        <v>874</v>
      </c>
      <c r="E17" s="760">
        <v>42.777000000000001</v>
      </c>
      <c r="F17" s="760">
        <v>110</v>
      </c>
      <c r="G17" s="760" t="s">
        <v>936</v>
      </c>
      <c r="H17" s="760" t="s">
        <v>935</v>
      </c>
      <c r="I17" s="760" t="s">
        <v>2411</v>
      </c>
      <c r="J17" s="761">
        <v>3050211107205</v>
      </c>
      <c r="K17" s="762">
        <v>44505</v>
      </c>
      <c r="L17" s="760" t="s">
        <v>3631</v>
      </c>
      <c r="M17" s="762">
        <v>44859</v>
      </c>
      <c r="N17" s="760"/>
      <c r="O17" s="760"/>
      <c r="P17" s="760"/>
      <c r="Q17" s="760"/>
      <c r="R17" s="760"/>
      <c r="S17" s="760"/>
      <c r="T17" s="760"/>
      <c r="U17" s="760"/>
      <c r="V17" s="760"/>
      <c r="W17" s="760"/>
    </row>
    <row r="18" spans="1:23" s="461" customFormat="1" x14ac:dyDescent="0.25">
      <c r="A18" s="760">
        <v>2</v>
      </c>
      <c r="B18" s="760" t="s">
        <v>919</v>
      </c>
      <c r="C18" s="760" t="s">
        <v>920</v>
      </c>
      <c r="D18" s="760" t="s">
        <v>921</v>
      </c>
      <c r="E18" s="760">
        <v>49.5</v>
      </c>
      <c r="F18" s="760">
        <v>110</v>
      </c>
      <c r="G18" s="760" t="s">
        <v>922</v>
      </c>
      <c r="H18" s="760" t="s">
        <v>5271</v>
      </c>
      <c r="I18" s="760" t="s">
        <v>921</v>
      </c>
      <c r="J18" s="761">
        <v>3010211008048</v>
      </c>
      <c r="K18" s="762" t="s">
        <v>923</v>
      </c>
      <c r="L18" s="760" t="s">
        <v>3628</v>
      </c>
      <c r="M18" s="762" t="s">
        <v>523</v>
      </c>
      <c r="N18" s="760"/>
      <c r="O18" s="760" t="s">
        <v>25</v>
      </c>
      <c r="P18" s="760" t="s">
        <v>25</v>
      </c>
      <c r="Q18" s="760" t="s">
        <v>25</v>
      </c>
      <c r="R18" s="760"/>
      <c r="S18" s="760"/>
      <c r="T18" s="760"/>
      <c r="U18" s="760"/>
      <c r="V18" s="760"/>
      <c r="W18" s="760"/>
    </row>
    <row r="19" spans="1:23" s="461" customFormat="1" x14ac:dyDescent="0.25">
      <c r="A19" s="760">
        <v>3</v>
      </c>
      <c r="B19" s="760" t="s">
        <v>1314</v>
      </c>
      <c r="C19" s="760" t="s">
        <v>920</v>
      </c>
      <c r="D19" s="760" t="s">
        <v>921</v>
      </c>
      <c r="E19" s="760">
        <v>15.5</v>
      </c>
      <c r="F19" s="760">
        <v>110</v>
      </c>
      <c r="G19" s="760" t="s">
        <v>1315</v>
      </c>
      <c r="H19" s="760" t="s">
        <v>1316</v>
      </c>
      <c r="I19" s="760" t="s">
        <v>921</v>
      </c>
      <c r="J19" s="761">
        <v>3010211008059</v>
      </c>
      <c r="K19" s="762" t="s">
        <v>1069</v>
      </c>
      <c r="L19" s="760" t="s">
        <v>1317</v>
      </c>
      <c r="M19" s="762" t="s">
        <v>523</v>
      </c>
      <c r="N19" s="760"/>
      <c r="O19" s="760" t="s">
        <v>25</v>
      </c>
      <c r="P19" s="760" t="s">
        <v>25</v>
      </c>
      <c r="Q19" s="760" t="s">
        <v>25</v>
      </c>
      <c r="R19" s="760"/>
      <c r="S19" s="760"/>
      <c r="T19" s="760"/>
      <c r="U19" s="760"/>
      <c r="V19" s="760"/>
      <c r="W19" s="760"/>
    </row>
    <row r="20" spans="1:23" s="461" customFormat="1" x14ac:dyDescent="0.25">
      <c r="A20" s="760">
        <v>4</v>
      </c>
      <c r="B20" s="760" t="s">
        <v>1318</v>
      </c>
      <c r="C20" s="760" t="s">
        <v>4695</v>
      </c>
      <c r="D20" s="760" t="s">
        <v>900</v>
      </c>
      <c r="E20" s="760">
        <v>35.700000000000003</v>
      </c>
      <c r="F20" s="760" t="s">
        <v>5284</v>
      </c>
      <c r="G20" s="760" t="s">
        <v>1319</v>
      </c>
      <c r="H20" s="760" t="s">
        <v>5272</v>
      </c>
      <c r="I20" s="760" t="s">
        <v>2411</v>
      </c>
      <c r="J20" s="761">
        <v>3060211106386</v>
      </c>
      <c r="K20" s="762">
        <v>44705</v>
      </c>
      <c r="L20" s="760" t="s">
        <v>5273</v>
      </c>
      <c r="M20" s="762">
        <v>44838</v>
      </c>
      <c r="N20" s="760"/>
      <c r="O20" s="760"/>
      <c r="P20" s="760"/>
      <c r="Q20" s="760"/>
      <c r="R20" s="760"/>
      <c r="S20" s="760"/>
      <c r="T20" s="760"/>
      <c r="U20" s="760"/>
      <c r="V20" s="760"/>
      <c r="W20" s="760"/>
    </row>
    <row r="21" spans="1:23" s="461" customFormat="1" x14ac:dyDescent="0.25">
      <c r="A21" s="760">
        <v>5</v>
      </c>
      <c r="B21" s="760" t="s">
        <v>3247</v>
      </c>
      <c r="C21" s="760" t="s">
        <v>3248</v>
      </c>
      <c r="D21" s="760" t="s">
        <v>917</v>
      </c>
      <c r="E21" s="760">
        <v>6.71</v>
      </c>
      <c r="F21" s="760" t="s">
        <v>5284</v>
      </c>
      <c r="G21" s="760" t="s">
        <v>3249</v>
      </c>
      <c r="H21" s="760" t="s">
        <v>5274</v>
      </c>
      <c r="I21" s="760" t="s">
        <v>2411</v>
      </c>
      <c r="J21" s="761">
        <v>3060220912332</v>
      </c>
      <c r="K21" s="762">
        <v>45135</v>
      </c>
      <c r="L21" s="760" t="s">
        <v>5275</v>
      </c>
      <c r="M21" s="762">
        <v>45483</v>
      </c>
      <c r="N21" s="760"/>
      <c r="O21" s="760"/>
      <c r="P21" s="760"/>
      <c r="Q21" s="760"/>
      <c r="R21" s="760"/>
      <c r="S21" s="760"/>
      <c r="T21" s="760"/>
      <c r="U21" s="760"/>
      <c r="V21" s="760"/>
      <c r="W21" s="760"/>
    </row>
    <row r="22" spans="1:23" s="461" customFormat="1" x14ac:dyDescent="0.25">
      <c r="A22" s="760">
        <v>6</v>
      </c>
      <c r="B22" s="760" t="s">
        <v>3260</v>
      </c>
      <c r="C22" s="760" t="s">
        <v>3261</v>
      </c>
      <c r="D22" s="760" t="s">
        <v>2460</v>
      </c>
      <c r="E22" s="760">
        <v>2.8</v>
      </c>
      <c r="F22" s="760">
        <v>20</v>
      </c>
      <c r="G22" s="760" t="s">
        <v>3262</v>
      </c>
      <c r="H22" s="760" t="s">
        <v>5276</v>
      </c>
      <c r="I22" s="760" t="s">
        <v>2411</v>
      </c>
      <c r="J22" s="761">
        <v>3020230109584</v>
      </c>
      <c r="K22" s="762">
        <v>45133</v>
      </c>
      <c r="L22" s="760" t="s">
        <v>5277</v>
      </c>
      <c r="M22" s="762">
        <v>45484</v>
      </c>
      <c r="N22" s="760"/>
      <c r="O22" s="760"/>
      <c r="P22" s="760"/>
      <c r="Q22" s="760"/>
      <c r="R22" s="760"/>
      <c r="S22" s="760"/>
      <c r="T22" s="760"/>
      <c r="U22" s="760"/>
      <c r="V22" s="760"/>
      <c r="W22" s="760"/>
    </row>
    <row r="23" spans="1:23" s="461" customFormat="1" x14ac:dyDescent="0.25">
      <c r="A23" s="760">
        <v>7</v>
      </c>
      <c r="B23" s="760" t="s">
        <v>5278</v>
      </c>
      <c r="C23" s="760" t="s">
        <v>5279</v>
      </c>
      <c r="D23" s="760" t="s">
        <v>886</v>
      </c>
      <c r="E23" s="760">
        <v>4.9000000000000004</v>
      </c>
      <c r="F23" s="760">
        <v>20</v>
      </c>
      <c r="G23" s="760" t="s">
        <v>5280</v>
      </c>
      <c r="H23" s="760" t="s">
        <v>5281</v>
      </c>
      <c r="I23" s="760" t="s">
        <v>2411</v>
      </c>
      <c r="J23" s="761">
        <v>3030230313055</v>
      </c>
      <c r="K23" s="762">
        <v>45289</v>
      </c>
      <c r="L23" s="760" t="s">
        <v>116</v>
      </c>
      <c r="M23" s="762" t="s">
        <v>116</v>
      </c>
      <c r="N23" s="760"/>
      <c r="O23" s="760"/>
      <c r="P23" s="760"/>
      <c r="Q23" s="760"/>
      <c r="R23" s="760"/>
      <c r="S23" s="760"/>
      <c r="T23" s="760"/>
      <c r="U23" s="760"/>
      <c r="V23" s="760"/>
      <c r="W23" s="760"/>
    </row>
    <row r="24" spans="1:23" s="461" customFormat="1" x14ac:dyDescent="0.25">
      <c r="A24" s="760">
        <v>8</v>
      </c>
      <c r="B24" s="760" t="s">
        <v>4590</v>
      </c>
      <c r="C24" s="760" t="s">
        <v>874</v>
      </c>
      <c r="D24" s="760" t="s">
        <v>874</v>
      </c>
      <c r="E24" s="760">
        <v>1.98</v>
      </c>
      <c r="F24" s="760">
        <v>20</v>
      </c>
      <c r="G24" s="760" t="s">
        <v>4591</v>
      </c>
      <c r="H24" s="760" t="s">
        <v>5282</v>
      </c>
      <c r="I24" s="760" t="s">
        <v>2411</v>
      </c>
      <c r="J24" s="761">
        <v>3050230619226</v>
      </c>
      <c r="K24" s="762">
        <v>45321</v>
      </c>
      <c r="L24" s="760" t="s">
        <v>116</v>
      </c>
      <c r="M24" s="762" t="s">
        <v>116</v>
      </c>
      <c r="N24" s="760"/>
      <c r="O24" s="760"/>
      <c r="P24" s="760"/>
      <c r="Q24" s="760"/>
      <c r="R24" s="760"/>
      <c r="S24" s="760"/>
      <c r="T24" s="760"/>
      <c r="U24" s="760"/>
      <c r="V24" s="760"/>
      <c r="W24" s="760"/>
    </row>
    <row r="25" spans="1:23" s="461" customFormat="1" x14ac:dyDescent="0.25">
      <c r="A25" s="760">
        <v>9</v>
      </c>
      <c r="B25" s="760" t="s">
        <v>3896</v>
      </c>
      <c r="C25" s="760" t="s">
        <v>2829</v>
      </c>
      <c r="D25" s="760" t="s">
        <v>917</v>
      </c>
      <c r="E25" s="760">
        <v>24.684200000000001</v>
      </c>
      <c r="F25" s="760">
        <v>110</v>
      </c>
      <c r="G25" s="760" t="s">
        <v>3897</v>
      </c>
      <c r="H25" s="760" t="s">
        <v>5283</v>
      </c>
      <c r="I25" s="760" t="s">
        <v>2411</v>
      </c>
      <c r="J25" s="761">
        <v>3060231022131</v>
      </c>
      <c r="K25" s="762">
        <v>45243</v>
      </c>
      <c r="L25" s="760" t="s">
        <v>3898</v>
      </c>
      <c r="M25" s="762">
        <v>45253</v>
      </c>
      <c r="N25" s="760"/>
      <c r="O25" s="760"/>
      <c r="P25" s="760"/>
      <c r="Q25" s="760"/>
      <c r="R25" s="760"/>
      <c r="S25" s="760"/>
      <c r="T25" s="760"/>
      <c r="U25" s="760"/>
      <c r="V25" s="760"/>
      <c r="W25" s="760"/>
    </row>
    <row r="26" spans="1:23" s="461" customFormat="1" x14ac:dyDescent="0.25">
      <c r="A26" s="760">
        <v>10</v>
      </c>
      <c r="B26" s="760" t="s">
        <v>5584</v>
      </c>
      <c r="C26" s="760" t="s">
        <v>2409</v>
      </c>
      <c r="D26" s="760" t="s">
        <v>859</v>
      </c>
      <c r="E26" s="778">
        <v>15</v>
      </c>
      <c r="F26" s="760">
        <v>20</v>
      </c>
      <c r="G26" s="760" t="s">
        <v>5585</v>
      </c>
      <c r="H26" s="760" t="s">
        <v>963</v>
      </c>
      <c r="I26" s="760" t="s">
        <v>2411</v>
      </c>
      <c r="J26" s="761">
        <v>3020231113563</v>
      </c>
      <c r="K26" s="762">
        <v>45512</v>
      </c>
      <c r="L26" s="762"/>
      <c r="M26" s="760"/>
      <c r="N26" s="760"/>
      <c r="O26" s="760"/>
      <c r="P26" s="760"/>
      <c r="Q26" s="760"/>
      <c r="R26" s="760"/>
      <c r="S26" s="760"/>
      <c r="T26" s="760"/>
      <c r="U26" s="760"/>
      <c r="V26" s="760"/>
      <c r="W26" s="760"/>
    </row>
    <row r="27" spans="1:23" s="461" customFormat="1" x14ac:dyDescent="0.25">
      <c r="A27" s="760">
        <v>11</v>
      </c>
      <c r="B27" s="760" t="s">
        <v>4576</v>
      </c>
      <c r="C27" s="760" t="s">
        <v>4577</v>
      </c>
      <c r="D27" s="760" t="s">
        <v>2546</v>
      </c>
      <c r="E27" s="778">
        <v>49</v>
      </c>
      <c r="F27" s="760">
        <v>110</v>
      </c>
      <c r="G27" s="760" t="s">
        <v>5861</v>
      </c>
      <c r="H27" s="760" t="s">
        <v>963</v>
      </c>
      <c r="I27" s="760" t="s">
        <v>2411</v>
      </c>
      <c r="J27" s="761">
        <v>3010240605961</v>
      </c>
      <c r="K27" s="762">
        <v>45566</v>
      </c>
      <c r="L27" s="760"/>
      <c r="M27" s="760"/>
      <c r="N27" s="760"/>
      <c r="O27" s="760"/>
      <c r="P27" s="760"/>
      <c r="Q27" s="760"/>
      <c r="R27" s="760"/>
      <c r="S27" s="760"/>
      <c r="T27" s="760"/>
      <c r="U27" s="760"/>
      <c r="V27" s="760"/>
      <c r="W27" s="760"/>
    </row>
    <row r="28" spans="1:23" s="461" customFormat="1" x14ac:dyDescent="0.25">
      <c r="A28" s="760">
        <v>12</v>
      </c>
      <c r="B28" s="760" t="s">
        <v>934</v>
      </c>
      <c r="C28" s="760" t="s">
        <v>5270</v>
      </c>
      <c r="D28" s="760" t="s">
        <v>2837</v>
      </c>
      <c r="E28" s="778">
        <v>38.4</v>
      </c>
      <c r="F28" s="760">
        <v>110</v>
      </c>
      <c r="G28" s="760" t="s">
        <v>936</v>
      </c>
      <c r="H28" s="760" t="s">
        <v>5862</v>
      </c>
      <c r="I28" s="760" t="s">
        <v>2411</v>
      </c>
      <c r="J28" s="761">
        <v>3050240704100</v>
      </c>
      <c r="K28" s="762">
        <v>45548</v>
      </c>
      <c r="L28" s="760"/>
      <c r="M28" s="760"/>
      <c r="N28" s="760"/>
      <c r="O28" s="760"/>
      <c r="P28" s="760"/>
      <c r="Q28" s="760"/>
      <c r="R28" s="760"/>
      <c r="S28" s="760"/>
      <c r="T28" s="760"/>
      <c r="U28" s="760"/>
      <c r="V28" s="760"/>
      <c r="W28" s="760"/>
    </row>
    <row r="29" spans="1:23" s="461" customFormat="1" x14ac:dyDescent="0.25">
      <c r="A29" s="760">
        <v>13</v>
      </c>
      <c r="B29" s="806" t="s">
        <v>5931</v>
      </c>
      <c r="C29" s="760" t="s">
        <v>4973</v>
      </c>
      <c r="D29" s="760" t="s">
        <v>2837</v>
      </c>
      <c r="E29" s="778">
        <v>50</v>
      </c>
      <c r="F29" s="760">
        <v>110</v>
      </c>
      <c r="G29" s="760" t="s">
        <v>5932</v>
      </c>
      <c r="H29" s="760" t="s">
        <v>5933</v>
      </c>
      <c r="I29" s="760" t="s">
        <v>2411</v>
      </c>
      <c r="J29" s="761">
        <v>3050240906005</v>
      </c>
      <c r="K29" s="762">
        <v>45567</v>
      </c>
      <c r="L29" s="760"/>
      <c r="M29" s="760"/>
      <c r="N29" s="760"/>
      <c r="O29" s="760"/>
      <c r="P29" s="760"/>
      <c r="Q29" s="760"/>
      <c r="R29" s="760"/>
      <c r="S29" s="760"/>
      <c r="T29" s="760"/>
      <c r="U29" s="760"/>
      <c r="V29" s="760"/>
      <c r="W29" s="760"/>
    </row>
    <row r="31" spans="1:23" x14ac:dyDescent="0.25">
      <c r="A31" s="30">
        <v>1</v>
      </c>
      <c r="B31" s="30" t="s">
        <v>3595</v>
      </c>
      <c r="C31" s="30" t="s">
        <v>3596</v>
      </c>
      <c r="D31" s="30" t="s">
        <v>1045</v>
      </c>
      <c r="E31" s="30">
        <v>9</v>
      </c>
      <c r="F31" s="30">
        <v>20</v>
      </c>
      <c r="G31" s="30" t="s">
        <v>3597</v>
      </c>
      <c r="H31" s="30" t="s">
        <v>963</v>
      </c>
      <c r="I31" s="30" t="s">
        <v>1026</v>
      </c>
      <c r="J31" s="83">
        <v>6020220315016</v>
      </c>
      <c r="K31" s="89">
        <v>44972</v>
      </c>
      <c r="L31" s="30" t="s">
        <v>5309</v>
      </c>
      <c r="M31" s="89">
        <v>45309</v>
      </c>
      <c r="N31" s="30"/>
      <c r="O31" s="30" t="s">
        <v>25</v>
      </c>
      <c r="P31" s="30" t="s">
        <v>25</v>
      </c>
      <c r="Q31" s="30" t="s">
        <v>25</v>
      </c>
      <c r="R31" s="30"/>
      <c r="S31" s="30"/>
      <c r="T31" s="30"/>
      <c r="U31" s="30"/>
      <c r="V31" s="30"/>
      <c r="W31" s="30"/>
    </row>
    <row r="32" spans="1:23" x14ac:dyDescent="0.25">
      <c r="A32" s="30">
        <v>2</v>
      </c>
      <c r="B32" s="30" t="s">
        <v>3922</v>
      </c>
      <c r="C32" s="30" t="s">
        <v>951</v>
      </c>
      <c r="D32" s="30" t="s">
        <v>1039</v>
      </c>
      <c r="E32" s="30">
        <v>4.5</v>
      </c>
      <c r="F32" s="30">
        <v>20</v>
      </c>
      <c r="G32" s="30" t="s">
        <v>3923</v>
      </c>
      <c r="H32" s="30" t="s">
        <v>963</v>
      </c>
      <c r="I32" s="30" t="s">
        <v>1026</v>
      </c>
      <c r="J32" s="83">
        <v>6010220728019</v>
      </c>
      <c r="K32" s="89">
        <v>45245</v>
      </c>
      <c r="L32" s="30"/>
      <c r="M32" s="89"/>
      <c r="N32" s="30"/>
      <c r="O32" s="30"/>
      <c r="P32" s="30"/>
      <c r="Q32" s="30"/>
      <c r="R32" s="30"/>
      <c r="S32" s="30"/>
      <c r="T32" s="30"/>
      <c r="U32" s="30"/>
      <c r="V32" s="30"/>
      <c r="W32" s="30"/>
    </row>
    <row r="33" spans="1:23" x14ac:dyDescent="0.25">
      <c r="A33" s="30">
        <v>3</v>
      </c>
      <c r="B33" s="30" t="s">
        <v>3914</v>
      </c>
      <c r="C33" s="30" t="s">
        <v>951</v>
      </c>
      <c r="D33" s="30" t="s">
        <v>1029</v>
      </c>
      <c r="E33" s="30">
        <v>38.045999999999999</v>
      </c>
      <c r="F33" s="30">
        <v>110</v>
      </c>
      <c r="G33" s="30" t="s">
        <v>3915</v>
      </c>
      <c r="H33" s="30" t="s">
        <v>963</v>
      </c>
      <c r="I33" s="30" t="s">
        <v>1026</v>
      </c>
      <c r="J33" s="83">
        <v>6040230416563</v>
      </c>
      <c r="K33" s="89">
        <v>45218</v>
      </c>
      <c r="L33" s="30"/>
      <c r="M33" s="89"/>
      <c r="N33" s="30"/>
      <c r="O33" s="30" t="s">
        <v>25</v>
      </c>
      <c r="P33" s="30" t="s">
        <v>25</v>
      </c>
      <c r="Q33" s="30" t="s">
        <v>25</v>
      </c>
      <c r="R33" s="30"/>
      <c r="S33" s="30"/>
      <c r="T33" s="30"/>
      <c r="U33" s="30"/>
      <c r="V33" s="30"/>
      <c r="W33" s="30"/>
    </row>
    <row r="34" spans="1:23" x14ac:dyDescent="0.25">
      <c r="A34" s="30">
        <v>4</v>
      </c>
      <c r="B34" s="30" t="s">
        <v>4617</v>
      </c>
      <c r="C34" s="30" t="s">
        <v>951</v>
      </c>
      <c r="D34" s="30" t="s">
        <v>1045</v>
      </c>
      <c r="E34" s="30">
        <v>3</v>
      </c>
      <c r="F34" s="30">
        <v>20</v>
      </c>
      <c r="G34" s="30" t="s">
        <v>4618</v>
      </c>
      <c r="H34" s="30" t="s">
        <v>963</v>
      </c>
      <c r="I34" s="30" t="s">
        <v>1026</v>
      </c>
      <c r="J34" s="83">
        <v>6020230528712</v>
      </c>
      <c r="K34" s="89">
        <v>45328</v>
      </c>
      <c r="L34" s="30"/>
      <c r="M34" s="89"/>
      <c r="N34" s="30"/>
      <c r="O34" s="30"/>
      <c r="P34" s="30"/>
      <c r="Q34" s="30"/>
      <c r="R34" s="30"/>
      <c r="S34" s="30"/>
      <c r="T34" s="30"/>
      <c r="U34" s="30"/>
      <c r="V34" s="30"/>
      <c r="W34" s="30"/>
    </row>
    <row r="35" spans="1:23" x14ac:dyDescent="0.25">
      <c r="A35" s="30">
        <v>5</v>
      </c>
      <c r="B35" s="30" t="s">
        <v>4884</v>
      </c>
      <c r="C35" s="30" t="s">
        <v>951</v>
      </c>
      <c r="D35" s="30" t="s">
        <v>1045</v>
      </c>
      <c r="E35" s="30">
        <v>48.118000000000002</v>
      </c>
      <c r="F35" s="30">
        <v>110</v>
      </c>
      <c r="G35" s="30" t="s">
        <v>4885</v>
      </c>
      <c r="H35" s="30"/>
      <c r="I35" s="30" t="s">
        <v>1026</v>
      </c>
      <c r="J35" s="83">
        <v>6020230224981</v>
      </c>
      <c r="K35" s="89">
        <v>45377</v>
      </c>
      <c r="L35" s="30"/>
      <c r="M35" s="89"/>
      <c r="N35" s="30"/>
      <c r="O35" s="30"/>
      <c r="P35" s="30"/>
      <c r="Q35" s="30"/>
      <c r="R35" s="30"/>
      <c r="S35" s="30"/>
      <c r="T35" s="30"/>
      <c r="U35" s="30"/>
      <c r="V35" s="30"/>
      <c r="W35" s="30"/>
    </row>
    <row r="36" spans="1:23" x14ac:dyDescent="0.25">
      <c r="A36" s="30">
        <v>6</v>
      </c>
      <c r="B36" s="30" t="s">
        <v>1699</v>
      </c>
      <c r="C36" s="30" t="s">
        <v>5290</v>
      </c>
      <c r="D36" s="30" t="s">
        <v>1045</v>
      </c>
      <c r="E36" s="30">
        <v>49</v>
      </c>
      <c r="F36" s="30">
        <v>110</v>
      </c>
      <c r="G36" s="30" t="s">
        <v>1046</v>
      </c>
      <c r="H36" s="30" t="s">
        <v>963</v>
      </c>
      <c r="I36" s="30" t="s">
        <v>1026</v>
      </c>
      <c r="J36" s="83">
        <v>6020220516403</v>
      </c>
      <c r="K36" s="89">
        <v>45470</v>
      </c>
      <c r="L36" s="30"/>
      <c r="M36" s="89"/>
      <c r="N36" s="30"/>
      <c r="O36" s="30" t="s">
        <v>25</v>
      </c>
      <c r="P36" s="30" t="s">
        <v>25</v>
      </c>
      <c r="Q36" s="30" t="s">
        <v>25</v>
      </c>
      <c r="R36" s="30"/>
      <c r="S36" s="30"/>
      <c r="T36" s="30"/>
      <c r="U36" s="30" t="s">
        <v>5310</v>
      </c>
      <c r="V36" s="30"/>
      <c r="W36" s="30"/>
    </row>
    <row r="37" spans="1:23" x14ac:dyDescent="0.25">
      <c r="A37" s="30">
        <v>7</v>
      </c>
      <c r="B37" s="30" t="s">
        <v>5311</v>
      </c>
      <c r="C37" s="30" t="s">
        <v>2558</v>
      </c>
      <c r="D37" s="30" t="s">
        <v>1045</v>
      </c>
      <c r="E37" s="30">
        <v>149.85</v>
      </c>
      <c r="F37" s="30">
        <v>110</v>
      </c>
      <c r="G37" s="30" t="s">
        <v>5312</v>
      </c>
      <c r="H37" s="30" t="s">
        <v>5313</v>
      </c>
      <c r="I37" s="30" t="s">
        <v>1026</v>
      </c>
      <c r="J37" s="83">
        <v>6020230326205</v>
      </c>
      <c r="K37" s="89">
        <v>45380</v>
      </c>
      <c r="L37" s="30"/>
      <c r="M37" s="89"/>
      <c r="N37" s="30"/>
      <c r="O37" s="30"/>
      <c r="P37" s="30"/>
      <c r="Q37" s="30"/>
      <c r="R37" s="30"/>
      <c r="S37" s="30"/>
      <c r="T37" s="30"/>
      <c r="U37" s="30"/>
      <c r="V37" s="30"/>
      <c r="W37" s="30"/>
    </row>
    <row r="38" spans="1:23" x14ac:dyDescent="0.25">
      <c r="A38" s="74">
        <v>8</v>
      </c>
      <c r="B38" s="30" t="s">
        <v>4626</v>
      </c>
      <c r="C38" s="74" t="s">
        <v>1039</v>
      </c>
      <c r="D38" s="74" t="s">
        <v>5869</v>
      </c>
      <c r="E38" s="196">
        <v>97.7</v>
      </c>
      <c r="F38" s="74">
        <v>110</v>
      </c>
      <c r="G38" s="74" t="s">
        <v>5870</v>
      </c>
      <c r="H38" s="74" t="s">
        <v>964</v>
      </c>
      <c r="I38" s="74" t="s">
        <v>1026</v>
      </c>
      <c r="J38" s="75">
        <v>6010240405371</v>
      </c>
      <c r="K38" s="181">
        <v>45574</v>
      </c>
      <c r="L38" s="74"/>
      <c r="M38" s="74"/>
      <c r="N38" s="74"/>
      <c r="O38" s="74"/>
      <c r="P38" s="74"/>
      <c r="Q38" s="74"/>
      <c r="R38" s="74"/>
      <c r="S38" s="74"/>
      <c r="T38" s="74"/>
      <c r="U38" s="74"/>
      <c r="V38" s="74"/>
      <c r="W38" s="74"/>
    </row>
    <row r="39" spans="1:23" x14ac:dyDescent="0.25">
      <c r="A39" s="74">
        <v>9</v>
      </c>
      <c r="B39" s="745" t="s">
        <v>5972</v>
      </c>
      <c r="C39" s="74" t="s">
        <v>5973</v>
      </c>
      <c r="D39" s="74" t="s">
        <v>5705</v>
      </c>
      <c r="E39" s="196">
        <v>1.4</v>
      </c>
      <c r="F39" s="74">
        <v>20</v>
      </c>
      <c r="G39" s="74" t="s">
        <v>5974</v>
      </c>
      <c r="H39" s="74" t="s">
        <v>964</v>
      </c>
      <c r="I39" s="74" t="s">
        <v>1026</v>
      </c>
      <c r="J39" s="75">
        <v>6010241014619</v>
      </c>
      <c r="K39" s="181">
        <v>45593</v>
      </c>
      <c r="L39" s="74"/>
      <c r="M39" s="74"/>
      <c r="N39" s="74"/>
      <c r="O39" s="74"/>
      <c r="P39" s="74"/>
      <c r="Q39" s="74"/>
      <c r="R39" s="74"/>
      <c r="S39" s="74"/>
      <c r="T39" s="74"/>
      <c r="U39" s="74"/>
      <c r="V39" s="74"/>
      <c r="W39" s="74"/>
    </row>
    <row r="41" spans="1:23" x14ac:dyDescent="0.25">
      <c r="A41" s="31">
        <v>1</v>
      </c>
      <c r="B41" s="31" t="s">
        <v>5334</v>
      </c>
      <c r="C41" s="31" t="s">
        <v>1072</v>
      </c>
      <c r="D41" s="31" t="s">
        <v>1072</v>
      </c>
      <c r="E41" s="31">
        <v>15.48</v>
      </c>
      <c r="F41" s="31">
        <v>20</v>
      </c>
      <c r="G41" s="31" t="s">
        <v>5335</v>
      </c>
      <c r="H41" s="31" t="s">
        <v>5336</v>
      </c>
      <c r="I41" s="31" t="s">
        <v>1075</v>
      </c>
      <c r="J41" s="81">
        <v>7020221217172</v>
      </c>
      <c r="K41" s="82">
        <v>44952</v>
      </c>
      <c r="L41" s="31"/>
      <c r="M41" s="82"/>
      <c r="N41" s="31"/>
      <c r="O41" s="31"/>
      <c r="P41" s="31"/>
      <c r="Q41" s="31"/>
      <c r="R41" s="31"/>
      <c r="S41" s="31"/>
      <c r="T41" s="31"/>
      <c r="U41" s="31"/>
      <c r="V41" s="31"/>
      <c r="W41" s="31"/>
    </row>
    <row r="42" spans="1:23" x14ac:dyDescent="0.25">
      <c r="A42" s="31">
        <v>2</v>
      </c>
      <c r="B42" s="31" t="s">
        <v>1099</v>
      </c>
      <c r="C42" s="31" t="s">
        <v>279</v>
      </c>
      <c r="D42" s="31" t="s">
        <v>1090</v>
      </c>
      <c r="E42" s="31">
        <v>4.9000000000000004</v>
      </c>
      <c r="F42" s="31">
        <v>20</v>
      </c>
      <c r="G42" s="31" t="s">
        <v>4644</v>
      </c>
      <c r="H42" s="31" t="s">
        <v>5337</v>
      </c>
      <c r="I42" s="31" t="s">
        <v>1075</v>
      </c>
      <c r="J42" s="81">
        <v>7010221228192</v>
      </c>
      <c r="K42" s="82">
        <v>45327</v>
      </c>
      <c r="L42" s="31"/>
      <c r="M42" s="82"/>
      <c r="N42" s="31"/>
      <c r="O42" s="31"/>
      <c r="P42" s="31"/>
      <c r="Q42" s="31"/>
      <c r="R42" s="31"/>
      <c r="S42" s="31"/>
      <c r="T42" s="31"/>
      <c r="U42" s="31" t="s">
        <v>4645</v>
      </c>
      <c r="V42" s="31"/>
      <c r="W42" s="31"/>
    </row>
    <row r="43" spans="1:23" x14ac:dyDescent="0.25">
      <c r="A43" s="31">
        <v>3</v>
      </c>
      <c r="B43" s="31" t="s">
        <v>5338</v>
      </c>
      <c r="C43" s="31" t="s">
        <v>5339</v>
      </c>
      <c r="D43" s="31" t="s">
        <v>2870</v>
      </c>
      <c r="E43" s="31">
        <v>2.5</v>
      </c>
      <c r="F43" s="31">
        <v>20</v>
      </c>
      <c r="G43" s="31" t="s">
        <v>5340</v>
      </c>
      <c r="H43" s="31" t="s">
        <v>5341</v>
      </c>
      <c r="I43" s="31" t="s">
        <v>1075</v>
      </c>
      <c r="J43" s="81">
        <v>7060240400878</v>
      </c>
      <c r="K43" s="82">
        <v>45481</v>
      </c>
      <c r="L43" s="31"/>
      <c r="M43" s="82"/>
      <c r="N43" s="31"/>
      <c r="O43" s="31"/>
      <c r="P43" s="31"/>
      <c r="Q43" s="31"/>
      <c r="R43" s="31"/>
      <c r="S43" s="31"/>
      <c r="T43" s="31"/>
      <c r="U43" s="31"/>
      <c r="V43" s="31"/>
      <c r="W43" s="31"/>
    </row>
    <row r="44" spans="1:23" x14ac:dyDescent="0.25">
      <c r="A44" s="281">
        <v>4</v>
      </c>
      <c r="B44" s="31" t="s">
        <v>1353</v>
      </c>
      <c r="C44" s="281" t="s">
        <v>1150</v>
      </c>
      <c r="D44" s="281" t="s">
        <v>1085</v>
      </c>
      <c r="E44" s="293">
        <v>5.35</v>
      </c>
      <c r="F44" s="302">
        <v>20</v>
      </c>
      <c r="G44" s="281" t="s">
        <v>1354</v>
      </c>
      <c r="H44" s="281" t="s">
        <v>5607</v>
      </c>
      <c r="I44" s="281" t="s">
        <v>1075</v>
      </c>
      <c r="J44" s="302">
        <v>7030240403840</v>
      </c>
      <c r="K44" s="282">
        <v>45484</v>
      </c>
      <c r="L44" s="281"/>
      <c r="M44" s="281"/>
      <c r="N44" s="281"/>
      <c r="O44" s="281"/>
      <c r="P44" s="281"/>
      <c r="Q44" s="281"/>
      <c r="R44" s="281"/>
      <c r="S44" s="281"/>
      <c r="T44" s="281"/>
      <c r="U44" s="281"/>
      <c r="V44" s="281"/>
      <c r="W44" s="281"/>
    </row>
    <row r="45" spans="1:23" x14ac:dyDescent="0.25">
      <c r="A45" s="281">
        <v>5</v>
      </c>
      <c r="B45" s="31" t="s">
        <v>1355</v>
      </c>
      <c r="C45" s="281" t="s">
        <v>1150</v>
      </c>
      <c r="D45" s="281" t="s">
        <v>3440</v>
      </c>
      <c r="E45" s="293">
        <v>4.45</v>
      </c>
      <c r="F45" s="302">
        <v>20</v>
      </c>
      <c r="G45" s="281" t="s">
        <v>1356</v>
      </c>
      <c r="H45" s="281" t="s">
        <v>5608</v>
      </c>
      <c r="I45" s="281" t="s">
        <v>1075</v>
      </c>
      <c r="J45" s="302">
        <v>7030240403841</v>
      </c>
      <c r="K45" s="282">
        <v>45484</v>
      </c>
      <c r="L45" s="281"/>
      <c r="M45" s="281"/>
      <c r="N45" s="281"/>
      <c r="O45" s="281"/>
      <c r="P45" s="281"/>
      <c r="Q45" s="281"/>
      <c r="R45" s="281"/>
      <c r="S45" s="281"/>
      <c r="T45" s="281"/>
      <c r="U45" s="281"/>
      <c r="V45" s="281"/>
      <c r="W45" s="281"/>
    </row>
    <row r="46" spans="1:23" x14ac:dyDescent="0.25">
      <c r="A46" s="281">
        <v>6</v>
      </c>
      <c r="B46" s="31" t="s">
        <v>5609</v>
      </c>
      <c r="C46" s="281" t="s">
        <v>4891</v>
      </c>
      <c r="D46" s="281" t="s">
        <v>1090</v>
      </c>
      <c r="E46" s="293">
        <v>1.65</v>
      </c>
      <c r="F46" s="281">
        <v>20</v>
      </c>
      <c r="G46" s="281" t="s">
        <v>5610</v>
      </c>
      <c r="H46" s="281" t="s">
        <v>5611</v>
      </c>
      <c r="I46" s="281" t="s">
        <v>1075</v>
      </c>
      <c r="J46" s="302">
        <v>7010240506360</v>
      </c>
      <c r="K46" s="282">
        <v>45503</v>
      </c>
      <c r="L46" s="281"/>
      <c r="M46" s="281"/>
      <c r="N46" s="281"/>
      <c r="O46" s="281"/>
      <c r="P46" s="281"/>
      <c r="Q46" s="281"/>
      <c r="R46" s="281"/>
      <c r="S46" s="281"/>
      <c r="T46" s="281"/>
      <c r="U46" s="281"/>
      <c r="V46" s="281"/>
      <c r="W46" s="281"/>
    </row>
    <row r="47" spans="1:23" x14ac:dyDescent="0.25">
      <c r="A47" s="281">
        <v>7</v>
      </c>
      <c r="B47" s="31" t="s">
        <v>5888</v>
      </c>
      <c r="C47" s="281" t="s">
        <v>1090</v>
      </c>
      <c r="D47" s="281" t="s">
        <v>1090</v>
      </c>
      <c r="E47" s="281">
        <v>53.75</v>
      </c>
      <c r="F47" s="281">
        <v>110</v>
      </c>
      <c r="G47" s="281" t="s">
        <v>5889</v>
      </c>
      <c r="H47" s="281" t="s">
        <v>5890</v>
      </c>
      <c r="I47" s="281" t="s">
        <v>1075</v>
      </c>
      <c r="J47" s="302">
        <v>7010240404032</v>
      </c>
      <c r="K47" s="282">
        <v>45575</v>
      </c>
      <c r="L47" s="281"/>
      <c r="M47" s="281"/>
      <c r="N47" s="281"/>
      <c r="O47" s="281"/>
      <c r="P47" s="281"/>
      <c r="Q47" s="281"/>
      <c r="R47" s="281"/>
      <c r="S47" s="281"/>
      <c r="T47" s="281"/>
      <c r="U47" s="281"/>
      <c r="V47" s="281"/>
      <c r="W47" s="281"/>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tabSelected="1" workbookViewId="0">
      <selection activeCell="J6" sqref="J6"/>
    </sheetView>
  </sheetViews>
  <sheetFormatPr defaultRowHeight="15" x14ac:dyDescent="0.25"/>
  <cols>
    <col min="2" max="2" width="24.85546875" customWidth="1"/>
    <col min="3" max="3" width="20.28515625" customWidth="1"/>
    <col min="5" max="5" width="17" customWidth="1"/>
    <col min="7" max="7" width="15.140625" customWidth="1"/>
    <col min="8" max="8" width="14.42578125" customWidth="1"/>
    <col min="10" max="10" width="16.42578125" customWidth="1"/>
    <col min="11" max="11" width="11" customWidth="1"/>
    <col min="12" max="12" width="10.42578125" customWidth="1"/>
    <col min="15" max="15" width="20.42578125" customWidth="1"/>
    <col min="16" max="16" width="21.28515625" customWidth="1"/>
    <col min="17" max="17" width="13.5703125" customWidth="1"/>
    <col min="18" max="18" width="13.28515625" customWidth="1"/>
    <col min="19" max="19" width="13.85546875" customWidth="1"/>
    <col min="20" max="20" width="15.140625" customWidth="1"/>
    <col min="21" max="21" width="13.85546875" customWidth="1"/>
    <col min="22" max="22" width="15.42578125" customWidth="1"/>
    <col min="23" max="23" width="20.28515625" customWidth="1"/>
  </cols>
  <sheetData>
    <row r="1" spans="1:23" x14ac:dyDescent="0.25">
      <c r="B1" s="23" t="s">
        <v>794</v>
      </c>
      <c r="C1" s="650">
        <v>45636</v>
      </c>
      <c r="D1" s="651"/>
      <c r="E1" s="651"/>
      <c r="F1" s="652"/>
      <c r="G1" s="24"/>
      <c r="J1" s="95"/>
      <c r="K1" s="64"/>
      <c r="L1" s="95"/>
      <c r="M1" s="64"/>
    </row>
    <row r="2" spans="1:23" ht="26.25" thickBot="1" x14ac:dyDescent="0.3">
      <c r="B2" s="25" t="s">
        <v>795</v>
      </c>
      <c r="C2" s="653" t="s">
        <v>796</v>
      </c>
      <c r="D2" s="653"/>
      <c r="E2" s="653"/>
      <c r="F2" s="654"/>
      <c r="G2" s="26"/>
      <c r="J2" s="95"/>
      <c r="K2" s="64"/>
      <c r="L2" s="95"/>
      <c r="M2" s="64"/>
    </row>
    <row r="3" spans="1:23" ht="15.75" x14ac:dyDescent="0.25">
      <c r="B3" s="27"/>
      <c r="C3" s="655" t="s">
        <v>797</v>
      </c>
      <c r="D3" s="655"/>
      <c r="E3" s="655"/>
      <c r="F3" s="656"/>
      <c r="G3" s="26"/>
      <c r="J3" s="95"/>
      <c r="K3" s="64"/>
      <c r="L3" s="95"/>
      <c r="M3" s="64"/>
    </row>
    <row r="4" spans="1:23" ht="15.75" thickBot="1" x14ac:dyDescent="0.3">
      <c r="B4" s="35"/>
      <c r="C4" s="661" t="s">
        <v>801</v>
      </c>
      <c r="D4" s="662"/>
      <c r="E4" s="662"/>
      <c r="F4" s="663"/>
      <c r="G4" t="s">
        <v>4918</v>
      </c>
      <c r="J4" s="95"/>
      <c r="K4" s="64"/>
      <c r="L4" s="95"/>
      <c r="M4" s="64"/>
    </row>
    <row r="5" spans="1:23" x14ac:dyDescent="0.25">
      <c r="B5" s="33"/>
      <c r="C5" s="664" t="s">
        <v>802</v>
      </c>
      <c r="D5" s="665"/>
      <c r="E5" s="665"/>
      <c r="F5" s="666"/>
      <c r="G5" t="s">
        <v>4918</v>
      </c>
      <c r="J5" s="95"/>
      <c r="K5" s="64"/>
      <c r="L5" s="95"/>
      <c r="M5" s="64"/>
    </row>
    <row r="6" spans="1:23" x14ac:dyDescent="0.25">
      <c r="B6" s="34"/>
      <c r="C6" s="667" t="s">
        <v>803</v>
      </c>
      <c r="D6" s="668"/>
      <c r="E6" s="668"/>
      <c r="F6" s="669"/>
      <c r="G6" t="s">
        <v>4918</v>
      </c>
      <c r="J6" s="95"/>
      <c r="K6" s="64"/>
      <c r="L6" s="95"/>
      <c r="M6" s="64"/>
    </row>
    <row r="7" spans="1:23" x14ac:dyDescent="0.25">
      <c r="B7" s="28"/>
      <c r="C7" s="657" t="s">
        <v>800</v>
      </c>
      <c r="D7" s="657"/>
      <c r="E7" s="657"/>
      <c r="F7" s="658"/>
      <c r="G7" s="26"/>
      <c r="J7" s="95"/>
      <c r="K7" s="64"/>
      <c r="L7" s="95"/>
      <c r="M7" s="64"/>
    </row>
    <row r="8" spans="1:23" x14ac:dyDescent="0.25">
      <c r="B8" s="32"/>
      <c r="C8" s="39" t="s">
        <v>799</v>
      </c>
      <c r="D8" s="40"/>
      <c r="E8" s="40"/>
      <c r="F8" s="41"/>
      <c r="J8" s="95"/>
      <c r="K8" s="64"/>
      <c r="L8" s="95"/>
      <c r="M8" s="64"/>
    </row>
    <row r="9" spans="1:23" x14ac:dyDescent="0.25">
      <c r="B9" s="29"/>
      <c r="C9" s="659" t="s">
        <v>804</v>
      </c>
      <c r="D9" s="659"/>
      <c r="E9" s="659"/>
      <c r="F9" s="660"/>
      <c r="G9" s="26" t="s">
        <v>798</v>
      </c>
      <c r="J9" s="95"/>
      <c r="K9" s="64"/>
      <c r="L9" s="95"/>
      <c r="M9" s="64"/>
    </row>
    <row r="10" spans="1:23" x14ac:dyDescent="0.25">
      <c r="B10" s="30"/>
      <c r="C10" s="42" t="s">
        <v>805</v>
      </c>
      <c r="D10" s="42"/>
      <c r="E10" s="42"/>
      <c r="F10" s="43"/>
      <c r="G10" s="26" t="s">
        <v>798</v>
      </c>
      <c r="J10" s="95"/>
      <c r="K10" s="64"/>
      <c r="L10" s="95"/>
      <c r="M10" s="64"/>
    </row>
    <row r="11" spans="1:23" x14ac:dyDescent="0.25">
      <c r="B11" s="31"/>
      <c r="C11" s="36" t="s">
        <v>806</v>
      </c>
      <c r="D11" s="37"/>
      <c r="E11" s="37"/>
      <c r="F11" s="38"/>
      <c r="G11" s="26" t="s">
        <v>798</v>
      </c>
      <c r="J11" s="95"/>
      <c r="K11" s="64"/>
      <c r="L11" s="95"/>
      <c r="M11" s="64"/>
    </row>
    <row r="12" spans="1:23" ht="15.75" thickBot="1" x14ac:dyDescent="0.3">
      <c r="J12" s="95"/>
      <c r="K12" s="64"/>
      <c r="L12" s="95"/>
      <c r="M12" s="64"/>
    </row>
    <row r="13" spans="1:23" ht="54.75" customHeight="1" x14ac:dyDescent="0.25">
      <c r="A13" s="746" t="s">
        <v>28</v>
      </c>
      <c r="B13" s="747" t="s">
        <v>4</v>
      </c>
      <c r="C13" s="748" t="s">
        <v>8</v>
      </c>
      <c r="D13" s="748" t="s">
        <v>1357</v>
      </c>
      <c r="E13" s="748" t="s">
        <v>29</v>
      </c>
      <c r="F13" s="748" t="s">
        <v>23</v>
      </c>
      <c r="G13" s="748" t="s">
        <v>4916</v>
      </c>
      <c r="H13" s="748" t="s">
        <v>0</v>
      </c>
      <c r="I13" s="748" t="s">
        <v>11</v>
      </c>
      <c r="J13" s="749" t="s">
        <v>12</v>
      </c>
      <c r="K13" s="750" t="s">
        <v>13</v>
      </c>
      <c r="L13" s="751" t="s">
        <v>14</v>
      </c>
      <c r="M13" s="752" t="s">
        <v>24</v>
      </c>
      <c r="N13" s="753" t="s">
        <v>15</v>
      </c>
      <c r="O13" s="748" t="s">
        <v>16</v>
      </c>
      <c r="P13" s="748" t="s">
        <v>17</v>
      </c>
      <c r="Q13" s="748" t="s">
        <v>18</v>
      </c>
      <c r="R13" s="754" t="s">
        <v>19</v>
      </c>
      <c r="S13" s="754" t="s">
        <v>20</v>
      </c>
      <c r="T13" s="754" t="s">
        <v>21</v>
      </c>
      <c r="U13" s="754" t="s">
        <v>22</v>
      </c>
      <c r="V13" s="755" t="s">
        <v>26</v>
      </c>
      <c r="W13" s="343" t="s">
        <v>27</v>
      </c>
    </row>
    <row r="14" spans="1:23" x14ac:dyDescent="0.25">
      <c r="A14" s="31">
        <v>1</v>
      </c>
      <c r="B14" s="31" t="s">
        <v>4021</v>
      </c>
      <c r="C14" s="31" t="s">
        <v>1122</v>
      </c>
      <c r="D14" s="31" t="s">
        <v>1085</v>
      </c>
      <c r="E14" s="31">
        <v>20.148</v>
      </c>
      <c r="F14" s="31">
        <v>110</v>
      </c>
      <c r="G14" s="31" t="s">
        <v>4019</v>
      </c>
      <c r="H14" s="31" t="s">
        <v>963</v>
      </c>
      <c r="I14" s="31" t="s">
        <v>1075</v>
      </c>
      <c r="J14" s="81">
        <v>7030220916654</v>
      </c>
      <c r="K14" s="82">
        <v>45246</v>
      </c>
      <c r="L14" s="31"/>
      <c r="M14" s="31"/>
      <c r="N14" s="31"/>
      <c r="O14" s="31"/>
      <c r="P14" s="31"/>
      <c r="Q14" s="31"/>
      <c r="R14" s="31"/>
      <c r="S14" s="31"/>
      <c r="T14" s="31"/>
      <c r="U14" s="31"/>
      <c r="V14" s="31"/>
      <c r="W14"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Eolian</vt:lpstr>
      <vt:lpstr>Hidro</vt:lpstr>
      <vt:lpstr>Cogenerare</vt:lpstr>
      <vt:lpstr>Biomasa</vt:lpstr>
      <vt:lpstr>Biogaz</vt:lpstr>
      <vt:lpstr>Fotovoltaic</vt:lpstr>
      <vt:lpstr>Geotermal</vt:lpstr>
      <vt:lpstr>Termo (centrale clasice)</vt:lpstr>
      <vt:lpstr>Consumatori</vt:lpstr>
      <vt:lpstr>Instalații electrice</vt:lpstr>
      <vt:lpstr>IS</vt:lpstr>
      <vt:lpstr>CEM</vt:lpstr>
      <vt:lpstr>Gaz</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2024-12-18T16:33:45Z</dcterms:modified>
</cp:coreProperties>
</file>